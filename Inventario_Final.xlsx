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LIMH1IT06\Downloads\"/>
    </mc:Choice>
  </mc:AlternateContent>
  <xr:revisionPtr revIDLastSave="0" documentId="13_ncr:1_{FAA1468B-D026-4ACE-8729-5ECC7033C993}" xr6:coauthVersionLast="47" xr6:coauthVersionMax="47" xr10:uidLastSave="{00000000-0000-0000-0000-000000000000}"/>
  <bookViews>
    <workbookView xWindow="-120" yWindow="-120" windowWidth="24240" windowHeight="13020" tabRatio="772" activeTab="1" xr2:uid="{00000000-000D-0000-FFFF-FFFF00000000}"/>
  </bookViews>
  <sheets>
    <sheet name="Personal" sheetId="3" r:id="rId1"/>
    <sheet name="InventarioSwiss" sheetId="1" r:id="rId2"/>
    <sheet name="Dinamica" sheetId="8" r:id="rId3"/>
    <sheet name="PC-Laptop" sheetId="13" state="hidden" r:id="rId4"/>
    <sheet name="ImpresoasDinamica" sheetId="10" r:id="rId5"/>
    <sheet name="Micros" sheetId="17" r:id="rId6"/>
    <sheet name="Datos" sheetId="2" r:id="rId7"/>
    <sheet name="Suministros Impresoras" sheetId="9" r:id="rId8"/>
    <sheet name="Pendientes" sheetId="6" r:id="rId9"/>
    <sheet name="Borrador" sheetId="7" r:id="rId10"/>
    <sheet name="Hostname" sheetId="4" r:id="rId11"/>
  </sheets>
  <definedNames>
    <definedName name="_xlnm._FilterDatabase" localSheetId="9" hidden="1">Borrador!$B$31:$J$53</definedName>
    <definedName name="_xlnm._FilterDatabase" localSheetId="1" hidden="1">InventarioSwiss!$B$5:$AR$705</definedName>
    <definedName name="_xlnm._FilterDatabase" localSheetId="0" hidden="1">Personal!$A$1:$J$265</definedName>
    <definedName name="_xlnm._FilterDatabase" localSheetId="7" hidden="1">'Suministros Impresoras'!$B$13:$D$13</definedName>
  </definedNames>
  <calcPr calcId="191029"/>
  <pivotCaches>
    <pivotCache cacheId="855" r:id="rId12"/>
    <pivotCache cacheId="887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75" i="1" l="1"/>
  <c r="AQ117" i="1"/>
  <c r="AM78" i="1"/>
  <c r="AN78" i="1"/>
  <c r="AO78" i="1"/>
  <c r="AP78" i="1"/>
  <c r="AQ78" i="1"/>
  <c r="AM79" i="1"/>
  <c r="AN79" i="1"/>
  <c r="AO79" i="1"/>
  <c r="AP79" i="1"/>
  <c r="AQ79" i="1"/>
  <c r="AM80" i="1"/>
  <c r="AN80" i="1"/>
  <c r="AO80" i="1"/>
  <c r="AP80" i="1"/>
  <c r="AQ80" i="1"/>
  <c r="AM81" i="1"/>
  <c r="AN81" i="1"/>
  <c r="AO81" i="1"/>
  <c r="AP81" i="1"/>
  <c r="AQ81" i="1"/>
  <c r="AM82" i="1"/>
  <c r="AN82" i="1"/>
  <c r="AO82" i="1"/>
  <c r="AP82" i="1"/>
  <c r="AQ82" i="1"/>
  <c r="AM83" i="1"/>
  <c r="AN83" i="1"/>
  <c r="AO83" i="1"/>
  <c r="AP83" i="1"/>
  <c r="AQ83" i="1"/>
  <c r="AM84" i="1"/>
  <c r="AN84" i="1"/>
  <c r="AO84" i="1"/>
  <c r="AP84" i="1"/>
  <c r="AQ84" i="1"/>
  <c r="AM85" i="1"/>
  <c r="AN85" i="1"/>
  <c r="AO85" i="1"/>
  <c r="AP85" i="1"/>
  <c r="AQ85" i="1"/>
  <c r="AM86" i="1"/>
  <c r="AN86" i="1"/>
  <c r="AO86" i="1"/>
  <c r="AP86" i="1"/>
  <c r="AQ86" i="1"/>
  <c r="AM87" i="1"/>
  <c r="AN87" i="1"/>
  <c r="AO87" i="1"/>
  <c r="AP87" i="1"/>
  <c r="AQ87" i="1"/>
  <c r="AM88" i="1"/>
  <c r="AN88" i="1"/>
  <c r="AO88" i="1"/>
  <c r="AP88" i="1"/>
  <c r="AQ88" i="1"/>
  <c r="AM89" i="1"/>
  <c r="AN89" i="1"/>
  <c r="AO89" i="1"/>
  <c r="AP89" i="1"/>
  <c r="AQ89" i="1"/>
  <c r="AM90" i="1"/>
  <c r="AN90" i="1"/>
  <c r="AO90" i="1"/>
  <c r="AP90" i="1"/>
  <c r="AQ90" i="1"/>
  <c r="AM91" i="1"/>
  <c r="AN91" i="1"/>
  <c r="AO91" i="1"/>
  <c r="AP91" i="1"/>
  <c r="AQ91" i="1"/>
  <c r="AM92" i="1"/>
  <c r="AN92" i="1"/>
  <c r="AO92" i="1"/>
  <c r="AP92" i="1"/>
  <c r="AQ92" i="1"/>
  <c r="AM93" i="1"/>
  <c r="AN93" i="1"/>
  <c r="AO93" i="1"/>
  <c r="AP93" i="1"/>
  <c r="AQ93" i="1"/>
  <c r="AM94" i="1"/>
  <c r="AN94" i="1"/>
  <c r="AO94" i="1"/>
  <c r="AP94" i="1"/>
  <c r="AQ94" i="1"/>
  <c r="AM95" i="1"/>
  <c r="AN95" i="1"/>
  <c r="AO95" i="1"/>
  <c r="AP95" i="1"/>
  <c r="AQ95" i="1"/>
  <c r="AM96" i="1"/>
  <c r="AN96" i="1"/>
  <c r="AO96" i="1"/>
  <c r="AP96" i="1"/>
  <c r="AQ96" i="1"/>
  <c r="AM97" i="1"/>
  <c r="AN97" i="1"/>
  <c r="AO97" i="1"/>
  <c r="AP97" i="1"/>
  <c r="AQ97" i="1"/>
  <c r="AM98" i="1"/>
  <c r="AN98" i="1"/>
  <c r="AO98" i="1"/>
  <c r="AP98" i="1"/>
  <c r="AQ98" i="1"/>
  <c r="AM99" i="1"/>
  <c r="AN99" i="1"/>
  <c r="AO99" i="1"/>
  <c r="AP99" i="1"/>
  <c r="AQ99" i="1"/>
  <c r="AM100" i="1"/>
  <c r="AN100" i="1"/>
  <c r="AO100" i="1"/>
  <c r="AP100" i="1"/>
  <c r="AQ100" i="1"/>
  <c r="AM101" i="1"/>
  <c r="AN101" i="1"/>
  <c r="AO101" i="1"/>
  <c r="AP101" i="1"/>
  <c r="AQ101" i="1"/>
  <c r="AM102" i="1"/>
  <c r="AN102" i="1"/>
  <c r="AO102" i="1"/>
  <c r="AP102" i="1"/>
  <c r="AQ102" i="1"/>
  <c r="AM103" i="1"/>
  <c r="AN103" i="1"/>
  <c r="AO103" i="1"/>
  <c r="AP103" i="1"/>
  <c r="AQ103" i="1"/>
  <c r="AM104" i="1"/>
  <c r="AN104" i="1"/>
  <c r="AO104" i="1"/>
  <c r="AP104" i="1"/>
  <c r="AQ104" i="1"/>
  <c r="AM105" i="1"/>
  <c r="AN105" i="1"/>
  <c r="AO105" i="1"/>
  <c r="AP105" i="1"/>
  <c r="AQ105" i="1"/>
  <c r="AM106" i="1"/>
  <c r="AN106" i="1"/>
  <c r="AO106" i="1"/>
  <c r="AP106" i="1"/>
  <c r="AQ106" i="1"/>
  <c r="AM107" i="1"/>
  <c r="AN107" i="1"/>
  <c r="AO107" i="1"/>
  <c r="AP107" i="1"/>
  <c r="AQ107" i="1"/>
  <c r="AM108" i="1"/>
  <c r="AN108" i="1"/>
  <c r="AO108" i="1"/>
  <c r="AP108" i="1"/>
  <c r="AQ108" i="1"/>
  <c r="AM109" i="1"/>
  <c r="AN109" i="1"/>
  <c r="AO109" i="1"/>
  <c r="AP109" i="1"/>
  <c r="AQ109" i="1"/>
  <c r="AM110" i="1"/>
  <c r="AN110" i="1"/>
  <c r="AO110" i="1"/>
  <c r="AP110" i="1"/>
  <c r="AQ110" i="1"/>
  <c r="AM111" i="1"/>
  <c r="AN111" i="1"/>
  <c r="AO111" i="1"/>
  <c r="AP111" i="1"/>
  <c r="AQ111" i="1"/>
  <c r="AM112" i="1"/>
  <c r="AN112" i="1"/>
  <c r="AO112" i="1"/>
  <c r="AP112" i="1"/>
  <c r="AQ112" i="1"/>
  <c r="AM113" i="1"/>
  <c r="AN113" i="1"/>
  <c r="AO113" i="1"/>
  <c r="AP113" i="1"/>
  <c r="AQ113" i="1"/>
  <c r="AM114" i="1"/>
  <c r="AN114" i="1"/>
  <c r="AO114" i="1"/>
  <c r="AP114" i="1"/>
  <c r="AQ114" i="1"/>
  <c r="AM115" i="1"/>
  <c r="AN115" i="1"/>
  <c r="AO115" i="1"/>
  <c r="AP115" i="1"/>
  <c r="AQ115" i="1"/>
  <c r="AM116" i="1"/>
  <c r="AN116" i="1"/>
  <c r="AO116" i="1"/>
  <c r="AP116" i="1"/>
  <c r="AQ116" i="1"/>
  <c r="AM117" i="1"/>
  <c r="AN117" i="1"/>
  <c r="AO117" i="1"/>
  <c r="AP117" i="1"/>
  <c r="AM118" i="1"/>
  <c r="AN118" i="1"/>
  <c r="AO118" i="1"/>
  <c r="AP118" i="1"/>
  <c r="AQ118" i="1"/>
  <c r="AM119" i="1"/>
  <c r="AN119" i="1"/>
  <c r="AO119" i="1"/>
  <c r="AP119" i="1"/>
  <c r="AQ119" i="1"/>
  <c r="AM120" i="1"/>
  <c r="AN120" i="1"/>
  <c r="AO120" i="1"/>
  <c r="AP120" i="1"/>
  <c r="AQ120" i="1"/>
  <c r="AM121" i="1"/>
  <c r="AN121" i="1"/>
  <c r="AO121" i="1"/>
  <c r="AP121" i="1"/>
  <c r="AQ121" i="1"/>
  <c r="AM122" i="1"/>
  <c r="AN122" i="1"/>
  <c r="AO122" i="1"/>
  <c r="AP122" i="1"/>
  <c r="AQ122" i="1"/>
  <c r="AM123" i="1"/>
  <c r="AN123" i="1"/>
  <c r="AO123" i="1"/>
  <c r="AP123" i="1"/>
  <c r="AQ123" i="1"/>
  <c r="AM124" i="1"/>
  <c r="AN124" i="1"/>
  <c r="AO124" i="1"/>
  <c r="AP124" i="1"/>
  <c r="AQ124" i="1"/>
  <c r="AM125" i="1"/>
  <c r="AN125" i="1"/>
  <c r="AO125" i="1"/>
  <c r="AP125" i="1"/>
  <c r="AQ125" i="1"/>
  <c r="AM126" i="1"/>
  <c r="AN126" i="1"/>
  <c r="AO126" i="1"/>
  <c r="AP126" i="1"/>
  <c r="AQ126" i="1"/>
  <c r="AM127" i="1"/>
  <c r="AN127" i="1"/>
  <c r="AO127" i="1"/>
  <c r="AP127" i="1"/>
  <c r="AQ127" i="1"/>
  <c r="AM128" i="1"/>
  <c r="AN128" i="1"/>
  <c r="AO128" i="1"/>
  <c r="AP128" i="1"/>
  <c r="AQ128" i="1"/>
  <c r="AM129" i="1"/>
  <c r="AN129" i="1"/>
  <c r="AO129" i="1"/>
  <c r="AP129" i="1"/>
  <c r="AQ129" i="1"/>
  <c r="AM130" i="1"/>
  <c r="AN130" i="1"/>
  <c r="AO130" i="1"/>
  <c r="AP130" i="1"/>
  <c r="AQ130" i="1"/>
  <c r="AM131" i="1"/>
  <c r="AN131" i="1"/>
  <c r="AO131" i="1"/>
  <c r="AP131" i="1"/>
  <c r="AQ131" i="1"/>
  <c r="AM132" i="1"/>
  <c r="AN132" i="1"/>
  <c r="AO132" i="1"/>
  <c r="AP132" i="1"/>
  <c r="AQ132" i="1"/>
  <c r="AM133" i="1"/>
  <c r="AN133" i="1"/>
  <c r="AO133" i="1"/>
  <c r="AP133" i="1"/>
  <c r="AQ133" i="1"/>
  <c r="AM134" i="1"/>
  <c r="AN134" i="1"/>
  <c r="AO134" i="1"/>
  <c r="AP134" i="1"/>
  <c r="AQ134" i="1"/>
  <c r="AM135" i="1"/>
  <c r="AN135" i="1"/>
  <c r="AO135" i="1"/>
  <c r="AP135" i="1"/>
  <c r="AQ135" i="1"/>
  <c r="AM136" i="1"/>
  <c r="AN136" i="1"/>
  <c r="AO136" i="1"/>
  <c r="AP136" i="1"/>
  <c r="AQ136" i="1"/>
  <c r="AM137" i="1"/>
  <c r="AN137" i="1"/>
  <c r="AO137" i="1"/>
  <c r="AP137" i="1"/>
  <c r="AQ137" i="1"/>
  <c r="AM138" i="1"/>
  <c r="AN138" i="1"/>
  <c r="AO138" i="1"/>
  <c r="AP138" i="1"/>
  <c r="AQ138" i="1"/>
  <c r="AM139" i="1"/>
  <c r="AN139" i="1"/>
  <c r="AO139" i="1"/>
  <c r="AP139" i="1"/>
  <c r="AQ139" i="1"/>
  <c r="AM140" i="1"/>
  <c r="AN140" i="1"/>
  <c r="AO140" i="1"/>
  <c r="AP140" i="1"/>
  <c r="AQ140" i="1"/>
  <c r="AM141" i="1"/>
  <c r="AN141" i="1"/>
  <c r="AO141" i="1"/>
  <c r="AP141" i="1"/>
  <c r="AQ141" i="1"/>
  <c r="AM142" i="1"/>
  <c r="AN142" i="1"/>
  <c r="AO142" i="1"/>
  <c r="AP142" i="1"/>
  <c r="AQ142" i="1"/>
  <c r="AM143" i="1"/>
  <c r="AN143" i="1"/>
  <c r="AO143" i="1"/>
  <c r="AP143" i="1"/>
  <c r="AQ143" i="1"/>
  <c r="AM144" i="1"/>
  <c r="AN144" i="1"/>
  <c r="AO144" i="1"/>
  <c r="AP144" i="1"/>
  <c r="AQ144" i="1"/>
  <c r="AM145" i="1"/>
  <c r="AN145" i="1"/>
  <c r="AO145" i="1"/>
  <c r="AP145" i="1"/>
  <c r="AQ145" i="1"/>
  <c r="AM146" i="1"/>
  <c r="AN146" i="1"/>
  <c r="AO146" i="1"/>
  <c r="AP146" i="1"/>
  <c r="AQ146" i="1"/>
  <c r="AM147" i="1"/>
  <c r="AN147" i="1"/>
  <c r="AO147" i="1"/>
  <c r="AP147" i="1"/>
  <c r="AQ147" i="1"/>
  <c r="AM148" i="1"/>
  <c r="AN148" i="1"/>
  <c r="AO148" i="1"/>
  <c r="AP148" i="1"/>
  <c r="AQ148" i="1"/>
  <c r="AM149" i="1"/>
  <c r="AN149" i="1"/>
  <c r="AO149" i="1"/>
  <c r="AP149" i="1"/>
  <c r="AQ149" i="1"/>
  <c r="AM150" i="1"/>
  <c r="AN150" i="1"/>
  <c r="AO150" i="1"/>
  <c r="AP150" i="1"/>
  <c r="AQ150" i="1"/>
  <c r="AM151" i="1"/>
  <c r="AN151" i="1"/>
  <c r="AO151" i="1"/>
  <c r="AP151" i="1"/>
  <c r="AQ151" i="1"/>
  <c r="AM152" i="1"/>
  <c r="AN152" i="1"/>
  <c r="AO152" i="1"/>
  <c r="AP152" i="1"/>
  <c r="AQ152" i="1"/>
  <c r="AM153" i="1"/>
  <c r="AN153" i="1"/>
  <c r="AO153" i="1"/>
  <c r="AP153" i="1"/>
  <c r="AQ153" i="1"/>
  <c r="AM154" i="1"/>
  <c r="AN154" i="1"/>
  <c r="AO154" i="1"/>
  <c r="AP154" i="1"/>
  <c r="AQ154" i="1"/>
  <c r="AM155" i="1"/>
  <c r="AN155" i="1"/>
  <c r="AO155" i="1"/>
  <c r="AP155" i="1"/>
  <c r="AQ155" i="1"/>
  <c r="AM156" i="1"/>
  <c r="AN156" i="1"/>
  <c r="AO156" i="1"/>
  <c r="AP156" i="1"/>
  <c r="AQ156" i="1"/>
  <c r="AM157" i="1"/>
  <c r="AN157" i="1"/>
  <c r="AO157" i="1"/>
  <c r="AP157" i="1"/>
  <c r="AQ157" i="1"/>
  <c r="AM158" i="1"/>
  <c r="AN158" i="1"/>
  <c r="AO158" i="1"/>
  <c r="AP158" i="1"/>
  <c r="AQ158" i="1"/>
  <c r="AM159" i="1"/>
  <c r="AN159" i="1"/>
  <c r="AO159" i="1"/>
  <c r="AP159" i="1"/>
  <c r="AQ159" i="1"/>
  <c r="AM160" i="1"/>
  <c r="AN160" i="1"/>
  <c r="AO160" i="1"/>
  <c r="AP160" i="1"/>
  <c r="AQ160" i="1"/>
  <c r="AM161" i="1"/>
  <c r="AN161" i="1"/>
  <c r="AO161" i="1"/>
  <c r="AP161" i="1"/>
  <c r="AQ161" i="1"/>
  <c r="AM162" i="1"/>
  <c r="AN162" i="1"/>
  <c r="AO162" i="1"/>
  <c r="AP162" i="1"/>
  <c r="AQ162" i="1"/>
  <c r="AM163" i="1"/>
  <c r="AN163" i="1"/>
  <c r="AO163" i="1"/>
  <c r="AP163" i="1"/>
  <c r="AQ163" i="1"/>
  <c r="AM164" i="1"/>
  <c r="AN164" i="1"/>
  <c r="AO164" i="1"/>
  <c r="AP164" i="1"/>
  <c r="AQ164" i="1"/>
  <c r="AM165" i="1"/>
  <c r="AN165" i="1"/>
  <c r="AO165" i="1"/>
  <c r="AP165" i="1"/>
  <c r="AQ165" i="1"/>
  <c r="AM166" i="1"/>
  <c r="AN166" i="1"/>
  <c r="AO166" i="1"/>
  <c r="AP166" i="1"/>
  <c r="AQ166" i="1"/>
  <c r="AM167" i="1"/>
  <c r="AN167" i="1"/>
  <c r="AO167" i="1"/>
  <c r="AP167" i="1"/>
  <c r="AQ167" i="1"/>
  <c r="AM168" i="1"/>
  <c r="AN168" i="1"/>
  <c r="AO168" i="1"/>
  <c r="AP168" i="1"/>
  <c r="AQ168" i="1"/>
  <c r="AM169" i="1"/>
  <c r="AN169" i="1"/>
  <c r="AO169" i="1"/>
  <c r="AP169" i="1"/>
  <c r="AQ169" i="1"/>
  <c r="AM170" i="1"/>
  <c r="AN170" i="1"/>
  <c r="AO170" i="1"/>
  <c r="AP170" i="1"/>
  <c r="AQ170" i="1"/>
  <c r="AM171" i="1"/>
  <c r="AN171" i="1"/>
  <c r="AO171" i="1"/>
  <c r="AP171" i="1"/>
  <c r="AQ171" i="1"/>
  <c r="AM172" i="1"/>
  <c r="AN172" i="1"/>
  <c r="AO172" i="1"/>
  <c r="AP172" i="1"/>
  <c r="AQ172" i="1"/>
  <c r="AM173" i="1"/>
  <c r="AN173" i="1"/>
  <c r="AO173" i="1"/>
  <c r="AP173" i="1"/>
  <c r="AQ173" i="1"/>
  <c r="AM174" i="1"/>
  <c r="AN174" i="1"/>
  <c r="AO174" i="1"/>
  <c r="AP174" i="1"/>
  <c r="AQ174" i="1"/>
  <c r="AN175" i="1"/>
  <c r="AO175" i="1"/>
  <c r="AP175" i="1"/>
  <c r="AQ175" i="1"/>
  <c r="AM176" i="1"/>
  <c r="AN176" i="1"/>
  <c r="AO176" i="1"/>
  <c r="AP176" i="1"/>
  <c r="AQ176" i="1"/>
  <c r="AM177" i="1"/>
  <c r="AN177" i="1"/>
  <c r="AO177" i="1"/>
  <c r="AP177" i="1"/>
  <c r="AQ177" i="1"/>
  <c r="AM178" i="1"/>
  <c r="AN178" i="1"/>
  <c r="AO178" i="1"/>
  <c r="AP178" i="1"/>
  <c r="AQ178" i="1"/>
  <c r="AM179" i="1"/>
  <c r="AN179" i="1"/>
  <c r="AO179" i="1"/>
  <c r="AP179" i="1"/>
  <c r="AQ179" i="1"/>
  <c r="AM180" i="1"/>
  <c r="AN180" i="1"/>
  <c r="AO180" i="1"/>
  <c r="AP180" i="1"/>
  <c r="AQ180" i="1"/>
  <c r="AM181" i="1"/>
  <c r="AN181" i="1"/>
  <c r="AO181" i="1"/>
  <c r="AP181" i="1"/>
  <c r="AQ181" i="1"/>
  <c r="AM182" i="1"/>
  <c r="AN182" i="1"/>
  <c r="AO182" i="1"/>
  <c r="AP182" i="1"/>
  <c r="AQ182" i="1"/>
  <c r="AM183" i="1"/>
  <c r="AN183" i="1"/>
  <c r="AO183" i="1"/>
  <c r="AP183" i="1"/>
  <c r="AQ183" i="1"/>
  <c r="AM184" i="1"/>
  <c r="AN184" i="1"/>
  <c r="AO184" i="1"/>
  <c r="AP184" i="1"/>
  <c r="AQ184" i="1"/>
  <c r="AM185" i="1"/>
  <c r="AN185" i="1"/>
  <c r="AO185" i="1"/>
  <c r="AP185" i="1"/>
  <c r="AQ185" i="1"/>
  <c r="AM186" i="1"/>
  <c r="AN186" i="1"/>
  <c r="AO186" i="1"/>
  <c r="AP186" i="1"/>
  <c r="AQ186" i="1"/>
  <c r="AM187" i="1"/>
  <c r="AN187" i="1"/>
  <c r="AO187" i="1"/>
  <c r="AP187" i="1"/>
  <c r="AQ187" i="1"/>
  <c r="AM188" i="1"/>
  <c r="AN188" i="1"/>
  <c r="AO188" i="1"/>
  <c r="AP188" i="1"/>
  <c r="AQ188" i="1"/>
  <c r="AM189" i="1"/>
  <c r="AN189" i="1"/>
  <c r="AO189" i="1"/>
  <c r="AP189" i="1"/>
  <c r="AQ189" i="1"/>
  <c r="AM190" i="1"/>
  <c r="AN190" i="1"/>
  <c r="AO190" i="1"/>
  <c r="AP190" i="1"/>
  <c r="AQ190" i="1"/>
  <c r="AM191" i="1"/>
  <c r="AN191" i="1"/>
  <c r="AO191" i="1"/>
  <c r="AP191" i="1"/>
  <c r="AQ191" i="1"/>
  <c r="AM192" i="1"/>
  <c r="AN192" i="1"/>
  <c r="AO192" i="1"/>
  <c r="AP192" i="1"/>
  <c r="AQ192" i="1"/>
  <c r="AM193" i="1"/>
  <c r="AN193" i="1"/>
  <c r="AO193" i="1"/>
  <c r="AP193" i="1"/>
  <c r="AQ193" i="1"/>
  <c r="AM194" i="1"/>
  <c r="AN194" i="1"/>
  <c r="AO194" i="1"/>
  <c r="AP194" i="1"/>
  <c r="AQ194" i="1"/>
  <c r="AM195" i="1"/>
  <c r="AN195" i="1"/>
  <c r="AO195" i="1"/>
  <c r="AP195" i="1"/>
  <c r="AQ195" i="1"/>
  <c r="AM196" i="1"/>
  <c r="AN196" i="1"/>
  <c r="AO196" i="1"/>
  <c r="AP196" i="1"/>
  <c r="AQ196" i="1"/>
  <c r="AM197" i="1"/>
  <c r="AN197" i="1"/>
  <c r="AO197" i="1"/>
  <c r="AP197" i="1"/>
  <c r="AQ197" i="1"/>
  <c r="AM198" i="1"/>
  <c r="AN198" i="1"/>
  <c r="AO198" i="1"/>
  <c r="AP198" i="1"/>
  <c r="AQ198" i="1"/>
  <c r="AM199" i="1"/>
  <c r="AN199" i="1"/>
  <c r="AO199" i="1"/>
  <c r="AP199" i="1"/>
  <c r="AQ199" i="1"/>
  <c r="AM200" i="1"/>
  <c r="AN200" i="1"/>
  <c r="AO200" i="1"/>
  <c r="AP200" i="1"/>
  <c r="AQ200" i="1"/>
  <c r="AM201" i="1"/>
  <c r="AN201" i="1"/>
  <c r="AO201" i="1"/>
  <c r="AP201" i="1"/>
  <c r="AQ201" i="1"/>
  <c r="AM202" i="1"/>
  <c r="AN202" i="1"/>
  <c r="AO202" i="1"/>
  <c r="AP202" i="1"/>
  <c r="AQ202" i="1"/>
  <c r="AM203" i="1"/>
  <c r="AN203" i="1"/>
  <c r="AO203" i="1"/>
  <c r="AP203" i="1"/>
  <c r="AQ203" i="1"/>
  <c r="AM204" i="1"/>
  <c r="AN204" i="1"/>
  <c r="AO204" i="1"/>
  <c r="AP204" i="1"/>
  <c r="AQ204" i="1"/>
  <c r="AM205" i="1"/>
  <c r="AN205" i="1"/>
  <c r="AO205" i="1"/>
  <c r="AP205" i="1"/>
  <c r="AQ205" i="1"/>
  <c r="AM206" i="1"/>
  <c r="AN206" i="1"/>
  <c r="AO206" i="1"/>
  <c r="AP206" i="1"/>
  <c r="AQ206" i="1"/>
  <c r="AM207" i="1"/>
  <c r="AN207" i="1"/>
  <c r="AO207" i="1"/>
  <c r="AP207" i="1"/>
  <c r="AQ207" i="1"/>
  <c r="AM208" i="1"/>
  <c r="AN208" i="1"/>
  <c r="AO208" i="1"/>
  <c r="AP208" i="1"/>
  <c r="AQ208" i="1"/>
  <c r="AM209" i="1"/>
  <c r="AN209" i="1"/>
  <c r="AO209" i="1"/>
  <c r="AP209" i="1"/>
  <c r="AQ209" i="1"/>
  <c r="AM210" i="1"/>
  <c r="AN210" i="1"/>
  <c r="AO210" i="1"/>
  <c r="AP210" i="1"/>
  <c r="AQ210" i="1"/>
  <c r="AM211" i="1"/>
  <c r="AN211" i="1"/>
  <c r="AO211" i="1"/>
  <c r="AP211" i="1"/>
  <c r="AQ211" i="1"/>
  <c r="AM212" i="1"/>
  <c r="AN212" i="1"/>
  <c r="AO212" i="1"/>
  <c r="AP212" i="1"/>
  <c r="AQ212" i="1"/>
  <c r="AM213" i="1"/>
  <c r="AN213" i="1"/>
  <c r="AO213" i="1"/>
  <c r="AP213" i="1"/>
  <c r="AQ213" i="1"/>
  <c r="AM214" i="1"/>
  <c r="AN214" i="1"/>
  <c r="AO214" i="1"/>
  <c r="AP214" i="1"/>
  <c r="AQ214" i="1"/>
  <c r="AM215" i="1"/>
  <c r="AN215" i="1"/>
  <c r="AO215" i="1"/>
  <c r="AP215" i="1"/>
  <c r="AQ215" i="1"/>
  <c r="AM216" i="1"/>
  <c r="AN216" i="1"/>
  <c r="AO216" i="1"/>
  <c r="AP216" i="1"/>
  <c r="AQ216" i="1"/>
  <c r="AM217" i="1"/>
  <c r="AN217" i="1"/>
  <c r="AO217" i="1"/>
  <c r="AP217" i="1"/>
  <c r="AQ217" i="1"/>
  <c r="AM218" i="1"/>
  <c r="AN218" i="1"/>
  <c r="AO218" i="1"/>
  <c r="AP218" i="1"/>
  <c r="AQ218" i="1"/>
  <c r="AM219" i="1"/>
  <c r="AN219" i="1"/>
  <c r="AO219" i="1"/>
  <c r="AP219" i="1"/>
  <c r="AQ219" i="1"/>
  <c r="AM220" i="1"/>
  <c r="AN220" i="1"/>
  <c r="AO220" i="1"/>
  <c r="AP220" i="1"/>
  <c r="AQ220" i="1"/>
  <c r="AM221" i="1"/>
  <c r="AN221" i="1"/>
  <c r="AO221" i="1"/>
  <c r="AP221" i="1"/>
  <c r="AQ221" i="1"/>
  <c r="AM222" i="1"/>
  <c r="AN222" i="1"/>
  <c r="AO222" i="1"/>
  <c r="AP222" i="1"/>
  <c r="AQ222" i="1"/>
  <c r="AM223" i="1"/>
  <c r="AN223" i="1"/>
  <c r="AO223" i="1"/>
  <c r="AP223" i="1"/>
  <c r="AQ223" i="1"/>
  <c r="AM224" i="1"/>
  <c r="AN224" i="1"/>
  <c r="AO224" i="1"/>
  <c r="AP224" i="1"/>
  <c r="AQ224" i="1"/>
  <c r="AM225" i="1"/>
  <c r="AN225" i="1"/>
  <c r="AO225" i="1"/>
  <c r="AP225" i="1"/>
  <c r="AQ225" i="1"/>
  <c r="AM226" i="1"/>
  <c r="AN226" i="1"/>
  <c r="AO226" i="1"/>
  <c r="AP226" i="1"/>
  <c r="AQ226" i="1"/>
  <c r="AM227" i="1"/>
  <c r="AN227" i="1"/>
  <c r="AO227" i="1"/>
  <c r="AP227" i="1"/>
  <c r="AQ227" i="1"/>
  <c r="AM228" i="1"/>
  <c r="AN228" i="1"/>
  <c r="AO228" i="1"/>
  <c r="AP228" i="1"/>
  <c r="AQ228" i="1"/>
  <c r="AM229" i="1"/>
  <c r="AN229" i="1"/>
  <c r="AO229" i="1"/>
  <c r="AP229" i="1"/>
  <c r="AQ229" i="1"/>
  <c r="AM230" i="1"/>
  <c r="AN230" i="1"/>
  <c r="AO230" i="1"/>
  <c r="AP230" i="1"/>
  <c r="AQ230" i="1"/>
  <c r="AM231" i="1"/>
  <c r="AN231" i="1"/>
  <c r="AO231" i="1"/>
  <c r="AP231" i="1"/>
  <c r="AQ231" i="1"/>
  <c r="AM232" i="1"/>
  <c r="AN232" i="1"/>
  <c r="AO232" i="1"/>
  <c r="AP232" i="1"/>
  <c r="AQ232" i="1"/>
  <c r="AM233" i="1"/>
  <c r="AN233" i="1"/>
  <c r="AO233" i="1"/>
  <c r="AP233" i="1"/>
  <c r="AQ233" i="1"/>
  <c r="AM234" i="1"/>
  <c r="AN234" i="1"/>
  <c r="AO234" i="1"/>
  <c r="AP234" i="1"/>
  <c r="AQ234" i="1"/>
  <c r="AM235" i="1"/>
  <c r="AN235" i="1"/>
  <c r="AO235" i="1"/>
  <c r="AP235" i="1"/>
  <c r="AQ235" i="1"/>
  <c r="AM236" i="1"/>
  <c r="AN236" i="1"/>
  <c r="AO236" i="1"/>
  <c r="AP236" i="1"/>
  <c r="AQ236" i="1"/>
  <c r="AM237" i="1"/>
  <c r="AN237" i="1"/>
  <c r="AO237" i="1"/>
  <c r="AP237" i="1"/>
  <c r="AQ237" i="1"/>
  <c r="AM238" i="1"/>
  <c r="AN238" i="1"/>
  <c r="AO238" i="1"/>
  <c r="AP238" i="1"/>
  <c r="AQ238" i="1"/>
  <c r="AM239" i="1"/>
  <c r="AN239" i="1"/>
  <c r="AO239" i="1"/>
  <c r="AP239" i="1"/>
  <c r="AQ239" i="1"/>
  <c r="AM240" i="1"/>
  <c r="AN240" i="1"/>
  <c r="AO240" i="1"/>
  <c r="AP240" i="1"/>
  <c r="AQ240" i="1"/>
  <c r="AM241" i="1"/>
  <c r="AN241" i="1"/>
  <c r="AO241" i="1"/>
  <c r="AP241" i="1"/>
  <c r="AQ241" i="1"/>
  <c r="AM242" i="1"/>
  <c r="AN242" i="1"/>
  <c r="AO242" i="1"/>
  <c r="AP242" i="1"/>
  <c r="AQ242" i="1"/>
  <c r="AM243" i="1"/>
  <c r="AN243" i="1"/>
  <c r="AO243" i="1"/>
  <c r="AP243" i="1"/>
  <c r="AQ243" i="1"/>
  <c r="AM244" i="1"/>
  <c r="AN244" i="1"/>
  <c r="AO244" i="1"/>
  <c r="AP244" i="1"/>
  <c r="AQ244" i="1"/>
  <c r="AM245" i="1"/>
  <c r="AN245" i="1"/>
  <c r="AO245" i="1"/>
  <c r="AP245" i="1"/>
  <c r="AQ245" i="1"/>
  <c r="AM246" i="1"/>
  <c r="AN246" i="1"/>
  <c r="AO246" i="1"/>
  <c r="AP246" i="1"/>
  <c r="AQ246" i="1"/>
  <c r="AM247" i="1"/>
  <c r="AN247" i="1"/>
  <c r="AO247" i="1"/>
  <c r="AP247" i="1"/>
  <c r="AQ247" i="1"/>
  <c r="AM248" i="1"/>
  <c r="AN248" i="1"/>
  <c r="AO248" i="1"/>
  <c r="AP248" i="1"/>
  <c r="AQ248" i="1"/>
  <c r="AM249" i="1"/>
  <c r="AN249" i="1"/>
  <c r="AO249" i="1"/>
  <c r="AP249" i="1"/>
  <c r="AQ249" i="1"/>
  <c r="AM250" i="1"/>
  <c r="AN250" i="1"/>
  <c r="AO250" i="1"/>
  <c r="AP250" i="1"/>
  <c r="AQ250" i="1"/>
  <c r="AM251" i="1"/>
  <c r="AN251" i="1"/>
  <c r="AO251" i="1"/>
  <c r="AP251" i="1"/>
  <c r="AQ251" i="1"/>
  <c r="AM252" i="1"/>
  <c r="AN252" i="1"/>
  <c r="AO252" i="1"/>
  <c r="AP252" i="1"/>
  <c r="AQ252" i="1"/>
  <c r="AM253" i="1"/>
  <c r="AN253" i="1"/>
  <c r="AO253" i="1"/>
  <c r="AP253" i="1"/>
  <c r="AQ253" i="1"/>
  <c r="AM254" i="1"/>
  <c r="AN254" i="1"/>
  <c r="AO254" i="1"/>
  <c r="AP254" i="1"/>
  <c r="AQ254" i="1"/>
  <c r="AM255" i="1"/>
  <c r="AN255" i="1"/>
  <c r="AO255" i="1"/>
  <c r="AP255" i="1"/>
  <c r="AQ255" i="1"/>
  <c r="AM256" i="1"/>
  <c r="AN256" i="1"/>
  <c r="AO256" i="1"/>
  <c r="AP256" i="1"/>
  <c r="AQ256" i="1"/>
  <c r="AM257" i="1"/>
  <c r="AN257" i="1"/>
  <c r="AO257" i="1"/>
  <c r="AP257" i="1"/>
  <c r="AQ257" i="1"/>
  <c r="AM258" i="1"/>
  <c r="AN258" i="1"/>
  <c r="AO258" i="1"/>
  <c r="AP258" i="1"/>
  <c r="AQ258" i="1"/>
  <c r="AM259" i="1"/>
  <c r="AN259" i="1"/>
  <c r="AO259" i="1"/>
  <c r="AP259" i="1"/>
  <c r="AQ259" i="1"/>
  <c r="AM260" i="1"/>
  <c r="AN260" i="1"/>
  <c r="AO260" i="1"/>
  <c r="AP260" i="1"/>
  <c r="AQ260" i="1"/>
  <c r="AM261" i="1"/>
  <c r="AN261" i="1"/>
  <c r="AO261" i="1"/>
  <c r="AP261" i="1"/>
  <c r="AQ261" i="1"/>
  <c r="AM262" i="1"/>
  <c r="AN262" i="1"/>
  <c r="AO262" i="1"/>
  <c r="AP262" i="1"/>
  <c r="AQ262" i="1"/>
  <c r="AM263" i="1"/>
  <c r="AN263" i="1"/>
  <c r="AO263" i="1"/>
  <c r="AP263" i="1"/>
  <c r="AQ263" i="1"/>
  <c r="AM264" i="1"/>
  <c r="AN264" i="1"/>
  <c r="AO264" i="1"/>
  <c r="AP264" i="1"/>
  <c r="AQ264" i="1"/>
  <c r="AM265" i="1"/>
  <c r="AN265" i="1"/>
  <c r="AO265" i="1"/>
  <c r="AP265" i="1"/>
  <c r="AQ265" i="1"/>
  <c r="AM266" i="1"/>
  <c r="AN266" i="1"/>
  <c r="AO266" i="1"/>
  <c r="AP266" i="1"/>
  <c r="AQ266" i="1"/>
  <c r="AM267" i="1"/>
  <c r="AN267" i="1"/>
  <c r="AO267" i="1"/>
  <c r="AP267" i="1"/>
  <c r="AQ267" i="1"/>
  <c r="AM268" i="1"/>
  <c r="AN268" i="1"/>
  <c r="AO268" i="1"/>
  <c r="AP268" i="1"/>
  <c r="AQ268" i="1"/>
  <c r="AM269" i="1"/>
  <c r="AN269" i="1"/>
  <c r="AO269" i="1"/>
  <c r="AP269" i="1"/>
  <c r="AQ269" i="1"/>
  <c r="AM270" i="1"/>
  <c r="AN270" i="1"/>
  <c r="AO270" i="1"/>
  <c r="AP270" i="1"/>
  <c r="AQ270" i="1"/>
  <c r="AM271" i="1"/>
  <c r="AN271" i="1"/>
  <c r="AO271" i="1"/>
  <c r="AP271" i="1"/>
  <c r="AQ271" i="1"/>
  <c r="AM272" i="1"/>
  <c r="AN272" i="1"/>
  <c r="AO272" i="1"/>
  <c r="AP272" i="1"/>
  <c r="AQ272" i="1"/>
  <c r="AM273" i="1"/>
  <c r="AN273" i="1"/>
  <c r="AO273" i="1"/>
  <c r="AP273" i="1"/>
  <c r="AQ273" i="1"/>
  <c r="AM274" i="1"/>
  <c r="AN274" i="1"/>
  <c r="AO274" i="1"/>
  <c r="AP274" i="1"/>
  <c r="AQ274" i="1"/>
  <c r="AM275" i="1"/>
  <c r="AN275" i="1"/>
  <c r="AO275" i="1"/>
  <c r="AP275" i="1"/>
  <c r="AQ275" i="1"/>
  <c r="AM276" i="1"/>
  <c r="AN276" i="1"/>
  <c r="AO276" i="1"/>
  <c r="AP276" i="1"/>
  <c r="AQ276" i="1"/>
  <c r="AM277" i="1"/>
  <c r="AN277" i="1"/>
  <c r="AO277" i="1"/>
  <c r="AP277" i="1"/>
  <c r="AQ277" i="1"/>
  <c r="AM278" i="1"/>
  <c r="AN278" i="1"/>
  <c r="AO278" i="1"/>
  <c r="AP278" i="1"/>
  <c r="AQ278" i="1"/>
  <c r="AM279" i="1"/>
  <c r="AN279" i="1"/>
  <c r="AO279" i="1"/>
  <c r="AP279" i="1"/>
  <c r="AQ279" i="1"/>
  <c r="AM280" i="1"/>
  <c r="AN280" i="1"/>
  <c r="AO280" i="1"/>
  <c r="AP280" i="1"/>
  <c r="AQ280" i="1"/>
  <c r="AM281" i="1"/>
  <c r="AN281" i="1"/>
  <c r="AO281" i="1"/>
  <c r="AP281" i="1"/>
  <c r="AQ281" i="1"/>
  <c r="AM282" i="1"/>
  <c r="AN282" i="1"/>
  <c r="AO282" i="1"/>
  <c r="AP282" i="1"/>
  <c r="AQ282" i="1"/>
  <c r="AM283" i="1"/>
  <c r="AN283" i="1"/>
  <c r="AO283" i="1"/>
  <c r="AP283" i="1"/>
  <c r="AQ283" i="1"/>
  <c r="AM284" i="1"/>
  <c r="AN284" i="1"/>
  <c r="AO284" i="1"/>
  <c r="AP284" i="1"/>
  <c r="AQ284" i="1"/>
  <c r="AM285" i="1"/>
  <c r="AN285" i="1"/>
  <c r="AO285" i="1"/>
  <c r="AP285" i="1"/>
  <c r="AQ285" i="1"/>
  <c r="AM286" i="1"/>
  <c r="AN286" i="1"/>
  <c r="AO286" i="1"/>
  <c r="AP286" i="1"/>
  <c r="AQ286" i="1"/>
  <c r="AM287" i="1"/>
  <c r="AN287" i="1"/>
  <c r="AO287" i="1"/>
  <c r="AP287" i="1"/>
  <c r="AQ287" i="1"/>
  <c r="AM288" i="1"/>
  <c r="AN288" i="1"/>
  <c r="AO288" i="1"/>
  <c r="AP288" i="1"/>
  <c r="AQ288" i="1"/>
  <c r="AM289" i="1"/>
  <c r="AN289" i="1"/>
  <c r="AO289" i="1"/>
  <c r="AP289" i="1"/>
  <c r="AQ289" i="1"/>
  <c r="AM290" i="1"/>
  <c r="AN290" i="1"/>
  <c r="AO290" i="1"/>
  <c r="AP290" i="1"/>
  <c r="AQ290" i="1"/>
  <c r="AM291" i="1"/>
  <c r="AN291" i="1"/>
  <c r="AO291" i="1"/>
  <c r="AP291" i="1"/>
  <c r="AQ291" i="1"/>
  <c r="AM292" i="1"/>
  <c r="AN292" i="1"/>
  <c r="AO292" i="1"/>
  <c r="AP292" i="1"/>
  <c r="AQ292" i="1"/>
  <c r="AM293" i="1"/>
  <c r="AN293" i="1"/>
  <c r="AO293" i="1"/>
  <c r="AP293" i="1"/>
  <c r="AQ293" i="1"/>
  <c r="AM294" i="1"/>
  <c r="AN294" i="1"/>
  <c r="AO294" i="1"/>
  <c r="AP294" i="1"/>
  <c r="AQ294" i="1"/>
  <c r="AM295" i="1"/>
  <c r="AN295" i="1"/>
  <c r="AO295" i="1"/>
  <c r="AP295" i="1"/>
  <c r="AQ295" i="1"/>
  <c r="AM296" i="1"/>
  <c r="AN296" i="1"/>
  <c r="AO296" i="1"/>
  <c r="AP296" i="1"/>
  <c r="AQ296" i="1"/>
  <c r="AM297" i="1"/>
  <c r="AN297" i="1"/>
  <c r="AO297" i="1"/>
  <c r="AP297" i="1"/>
  <c r="AQ297" i="1"/>
  <c r="AM298" i="1"/>
  <c r="AN298" i="1"/>
  <c r="AO298" i="1"/>
  <c r="AP298" i="1"/>
  <c r="AQ298" i="1"/>
  <c r="AM299" i="1"/>
  <c r="AN299" i="1"/>
  <c r="AO299" i="1"/>
  <c r="AP299" i="1"/>
  <c r="AQ299" i="1"/>
  <c r="AM300" i="1"/>
  <c r="AN300" i="1"/>
  <c r="AO300" i="1"/>
  <c r="AP300" i="1"/>
  <c r="AQ300" i="1"/>
  <c r="AM301" i="1"/>
  <c r="AN301" i="1"/>
  <c r="AO301" i="1"/>
  <c r="AP301" i="1"/>
  <c r="AQ301" i="1"/>
  <c r="AM302" i="1"/>
  <c r="AN302" i="1"/>
  <c r="AO302" i="1"/>
  <c r="AP302" i="1"/>
  <c r="AQ302" i="1"/>
  <c r="AM303" i="1"/>
  <c r="AN303" i="1"/>
  <c r="AO303" i="1"/>
  <c r="AP303" i="1"/>
  <c r="AQ303" i="1"/>
  <c r="AM304" i="1"/>
  <c r="AN304" i="1"/>
  <c r="AO304" i="1"/>
  <c r="AP304" i="1"/>
  <c r="AQ304" i="1"/>
  <c r="AM305" i="1"/>
  <c r="AN305" i="1"/>
  <c r="AO305" i="1"/>
  <c r="AP305" i="1"/>
  <c r="AQ305" i="1"/>
  <c r="AM306" i="1"/>
  <c r="AN306" i="1"/>
  <c r="AO306" i="1"/>
  <c r="AP306" i="1"/>
  <c r="AQ306" i="1"/>
  <c r="AM307" i="1"/>
  <c r="AN307" i="1"/>
  <c r="AO307" i="1"/>
  <c r="AP307" i="1"/>
  <c r="AQ307" i="1"/>
  <c r="AM308" i="1"/>
  <c r="AN308" i="1"/>
  <c r="AO308" i="1"/>
  <c r="AP308" i="1"/>
  <c r="AQ308" i="1"/>
  <c r="AM309" i="1"/>
  <c r="AN309" i="1"/>
  <c r="AO309" i="1"/>
  <c r="AP309" i="1"/>
  <c r="AQ309" i="1"/>
  <c r="AM310" i="1"/>
  <c r="AN310" i="1"/>
  <c r="AO310" i="1"/>
  <c r="AP310" i="1"/>
  <c r="AQ310" i="1"/>
  <c r="AM311" i="1"/>
  <c r="AN311" i="1"/>
  <c r="AO311" i="1"/>
  <c r="AP311" i="1"/>
  <c r="AQ311" i="1"/>
  <c r="AM312" i="1"/>
  <c r="AN312" i="1"/>
  <c r="AO312" i="1"/>
  <c r="AP312" i="1"/>
  <c r="AQ312" i="1"/>
  <c r="AM313" i="1"/>
  <c r="AN313" i="1"/>
  <c r="AO313" i="1"/>
  <c r="AP313" i="1"/>
  <c r="AQ313" i="1"/>
  <c r="AM314" i="1"/>
  <c r="AN314" i="1"/>
  <c r="AO314" i="1"/>
  <c r="AP314" i="1"/>
  <c r="AQ314" i="1"/>
  <c r="AM315" i="1"/>
  <c r="AN315" i="1"/>
  <c r="AO315" i="1"/>
  <c r="AP315" i="1"/>
  <c r="AQ315" i="1"/>
  <c r="AM316" i="1"/>
  <c r="AN316" i="1"/>
  <c r="AO316" i="1"/>
  <c r="AP316" i="1"/>
  <c r="AQ316" i="1"/>
  <c r="AM317" i="1"/>
  <c r="AN317" i="1"/>
  <c r="AO317" i="1"/>
  <c r="AP317" i="1"/>
  <c r="AQ317" i="1"/>
  <c r="AM318" i="1"/>
  <c r="AN318" i="1"/>
  <c r="AO318" i="1"/>
  <c r="AP318" i="1"/>
  <c r="AQ318" i="1"/>
  <c r="AM319" i="1"/>
  <c r="AN319" i="1"/>
  <c r="AO319" i="1"/>
  <c r="AP319" i="1"/>
  <c r="AQ319" i="1"/>
  <c r="AM320" i="1"/>
  <c r="AN320" i="1"/>
  <c r="AO320" i="1"/>
  <c r="AP320" i="1"/>
  <c r="AQ320" i="1"/>
  <c r="AM321" i="1"/>
  <c r="AN321" i="1"/>
  <c r="AO321" i="1"/>
  <c r="AP321" i="1"/>
  <c r="AQ321" i="1"/>
  <c r="AM322" i="1"/>
  <c r="AN322" i="1"/>
  <c r="AO322" i="1"/>
  <c r="AP322" i="1"/>
  <c r="AQ322" i="1"/>
  <c r="AM323" i="1"/>
  <c r="AN323" i="1"/>
  <c r="AO323" i="1"/>
  <c r="AP323" i="1"/>
  <c r="AQ323" i="1"/>
  <c r="AM324" i="1"/>
  <c r="AN324" i="1"/>
  <c r="AO324" i="1"/>
  <c r="AP324" i="1"/>
  <c r="AQ324" i="1"/>
  <c r="AM325" i="1"/>
  <c r="AN325" i="1"/>
  <c r="AO325" i="1"/>
  <c r="AP325" i="1"/>
  <c r="AQ325" i="1"/>
  <c r="AM326" i="1"/>
  <c r="AN326" i="1"/>
  <c r="AO326" i="1"/>
  <c r="AP326" i="1"/>
  <c r="AQ326" i="1"/>
  <c r="AM327" i="1"/>
  <c r="AN327" i="1"/>
  <c r="AO327" i="1"/>
  <c r="AP327" i="1"/>
  <c r="AQ327" i="1"/>
  <c r="AM328" i="1"/>
  <c r="AN328" i="1"/>
  <c r="AO328" i="1"/>
  <c r="AP328" i="1"/>
  <c r="AQ328" i="1"/>
  <c r="AM329" i="1"/>
  <c r="AN329" i="1"/>
  <c r="AO329" i="1"/>
  <c r="AP329" i="1"/>
  <c r="AQ329" i="1"/>
  <c r="AM330" i="1"/>
  <c r="AN330" i="1"/>
  <c r="AO330" i="1"/>
  <c r="AP330" i="1"/>
  <c r="AQ330" i="1"/>
  <c r="AM331" i="1"/>
  <c r="AN331" i="1"/>
  <c r="AO331" i="1"/>
  <c r="AP331" i="1"/>
  <c r="AQ331" i="1"/>
  <c r="AM332" i="1"/>
  <c r="AN332" i="1"/>
  <c r="AO332" i="1"/>
  <c r="AP332" i="1"/>
  <c r="AQ332" i="1"/>
  <c r="AM333" i="1"/>
  <c r="AN333" i="1"/>
  <c r="AO333" i="1"/>
  <c r="AP333" i="1"/>
  <c r="AQ333" i="1"/>
  <c r="AM334" i="1"/>
  <c r="AN334" i="1"/>
  <c r="AO334" i="1"/>
  <c r="AP334" i="1"/>
  <c r="AQ334" i="1"/>
  <c r="AM335" i="1"/>
  <c r="AN335" i="1"/>
  <c r="AO335" i="1"/>
  <c r="AP335" i="1"/>
  <c r="AQ335" i="1"/>
  <c r="AM336" i="1"/>
  <c r="AN336" i="1"/>
  <c r="AO336" i="1"/>
  <c r="AP336" i="1"/>
  <c r="AQ336" i="1"/>
  <c r="AM337" i="1"/>
  <c r="AN337" i="1"/>
  <c r="AO337" i="1"/>
  <c r="AP337" i="1"/>
  <c r="AQ337" i="1"/>
  <c r="AM338" i="1"/>
  <c r="AN338" i="1"/>
  <c r="AO338" i="1"/>
  <c r="AP338" i="1"/>
  <c r="AQ338" i="1"/>
  <c r="AM339" i="1"/>
  <c r="AN339" i="1"/>
  <c r="AO339" i="1"/>
  <c r="AP339" i="1"/>
  <c r="AQ339" i="1"/>
  <c r="AM340" i="1"/>
  <c r="AN340" i="1"/>
  <c r="AO340" i="1"/>
  <c r="AP340" i="1"/>
  <c r="AQ340" i="1"/>
  <c r="AM341" i="1"/>
  <c r="AN341" i="1"/>
  <c r="AO341" i="1"/>
  <c r="AP341" i="1"/>
  <c r="AQ341" i="1"/>
  <c r="AM342" i="1"/>
  <c r="AN342" i="1"/>
  <c r="AO342" i="1"/>
  <c r="AP342" i="1"/>
  <c r="AQ342" i="1"/>
  <c r="AM343" i="1"/>
  <c r="AN343" i="1"/>
  <c r="AO343" i="1"/>
  <c r="AP343" i="1"/>
  <c r="AQ343" i="1"/>
  <c r="AM344" i="1"/>
  <c r="AN344" i="1"/>
  <c r="AO344" i="1"/>
  <c r="AP344" i="1"/>
  <c r="AQ344" i="1"/>
  <c r="AM345" i="1"/>
  <c r="AN345" i="1"/>
  <c r="AO345" i="1"/>
  <c r="AP345" i="1"/>
  <c r="AQ345" i="1"/>
  <c r="AM346" i="1"/>
  <c r="AN346" i="1"/>
  <c r="AO346" i="1"/>
  <c r="AP346" i="1"/>
  <c r="AQ346" i="1"/>
  <c r="AM347" i="1"/>
  <c r="AN347" i="1"/>
  <c r="AO347" i="1"/>
  <c r="AP347" i="1"/>
  <c r="AQ347" i="1"/>
  <c r="AM348" i="1"/>
  <c r="AN348" i="1"/>
  <c r="AO348" i="1"/>
  <c r="AP348" i="1"/>
  <c r="AQ348" i="1"/>
  <c r="AM349" i="1"/>
  <c r="AN349" i="1"/>
  <c r="AO349" i="1"/>
  <c r="AP349" i="1"/>
  <c r="AQ349" i="1"/>
  <c r="AM350" i="1"/>
  <c r="AN350" i="1"/>
  <c r="AO350" i="1"/>
  <c r="AP350" i="1"/>
  <c r="AQ350" i="1"/>
  <c r="AM351" i="1"/>
  <c r="AN351" i="1"/>
  <c r="AO351" i="1"/>
  <c r="AP351" i="1"/>
  <c r="AQ351" i="1"/>
  <c r="AM352" i="1"/>
  <c r="AN352" i="1"/>
  <c r="AO352" i="1"/>
  <c r="AP352" i="1"/>
  <c r="AQ352" i="1"/>
  <c r="AM353" i="1"/>
  <c r="AN353" i="1"/>
  <c r="AO353" i="1"/>
  <c r="AP353" i="1"/>
  <c r="AQ353" i="1"/>
  <c r="AM354" i="1"/>
  <c r="AN354" i="1"/>
  <c r="AO354" i="1"/>
  <c r="AP354" i="1"/>
  <c r="AQ354" i="1"/>
  <c r="AM355" i="1"/>
  <c r="AN355" i="1"/>
  <c r="AO355" i="1"/>
  <c r="AP355" i="1"/>
  <c r="AQ355" i="1"/>
  <c r="AM356" i="1"/>
  <c r="AN356" i="1"/>
  <c r="AO356" i="1"/>
  <c r="AP356" i="1"/>
  <c r="AQ356" i="1"/>
  <c r="AM357" i="1"/>
  <c r="AN357" i="1"/>
  <c r="AO357" i="1"/>
  <c r="AP357" i="1"/>
  <c r="AQ357" i="1"/>
  <c r="AM358" i="1"/>
  <c r="AN358" i="1"/>
  <c r="AO358" i="1"/>
  <c r="AP358" i="1"/>
  <c r="AQ358" i="1"/>
  <c r="AM359" i="1"/>
  <c r="AN359" i="1"/>
  <c r="AO359" i="1"/>
  <c r="AP359" i="1"/>
  <c r="AQ359" i="1"/>
  <c r="AM360" i="1"/>
  <c r="AN360" i="1"/>
  <c r="AO360" i="1"/>
  <c r="AP360" i="1"/>
  <c r="AQ360" i="1"/>
  <c r="AM361" i="1"/>
  <c r="AN361" i="1"/>
  <c r="AO361" i="1"/>
  <c r="AP361" i="1"/>
  <c r="AQ361" i="1"/>
  <c r="AM362" i="1"/>
  <c r="AN362" i="1"/>
  <c r="AO362" i="1"/>
  <c r="AP362" i="1"/>
  <c r="AQ362" i="1"/>
  <c r="AM363" i="1"/>
  <c r="AN363" i="1"/>
  <c r="AO363" i="1"/>
  <c r="AP363" i="1"/>
  <c r="AQ363" i="1"/>
  <c r="AM364" i="1"/>
  <c r="AN364" i="1"/>
  <c r="AO364" i="1"/>
  <c r="AP364" i="1"/>
  <c r="AQ364" i="1"/>
  <c r="AM365" i="1"/>
  <c r="AN365" i="1"/>
  <c r="AO365" i="1"/>
  <c r="AP365" i="1"/>
  <c r="AQ365" i="1"/>
  <c r="AM366" i="1"/>
  <c r="AN366" i="1"/>
  <c r="AO366" i="1"/>
  <c r="AP366" i="1"/>
  <c r="AQ366" i="1"/>
  <c r="AM367" i="1"/>
  <c r="AN367" i="1"/>
  <c r="AO367" i="1"/>
  <c r="AP367" i="1"/>
  <c r="AQ367" i="1"/>
  <c r="AM368" i="1"/>
  <c r="AN368" i="1"/>
  <c r="AO368" i="1"/>
  <c r="AP368" i="1"/>
  <c r="AQ368" i="1"/>
  <c r="AM369" i="1"/>
  <c r="AN369" i="1"/>
  <c r="AO369" i="1"/>
  <c r="AP369" i="1"/>
  <c r="AQ369" i="1"/>
  <c r="AM370" i="1"/>
  <c r="AN370" i="1"/>
  <c r="AO370" i="1"/>
  <c r="AP370" i="1"/>
  <c r="AQ370" i="1"/>
  <c r="AM371" i="1"/>
  <c r="AN371" i="1"/>
  <c r="AO371" i="1"/>
  <c r="AP371" i="1"/>
  <c r="AQ371" i="1"/>
  <c r="AM372" i="1"/>
  <c r="AN372" i="1"/>
  <c r="AO372" i="1"/>
  <c r="AP372" i="1"/>
  <c r="AQ372" i="1"/>
  <c r="AM373" i="1"/>
  <c r="AN373" i="1"/>
  <c r="AO373" i="1"/>
  <c r="AP373" i="1"/>
  <c r="AQ373" i="1"/>
  <c r="AM374" i="1"/>
  <c r="AN374" i="1"/>
  <c r="AO374" i="1"/>
  <c r="AP374" i="1"/>
  <c r="AQ374" i="1"/>
  <c r="AM375" i="1"/>
  <c r="AN375" i="1"/>
  <c r="AO375" i="1"/>
  <c r="AP375" i="1"/>
  <c r="AQ375" i="1"/>
  <c r="AM376" i="1"/>
  <c r="AN376" i="1"/>
  <c r="AO376" i="1"/>
  <c r="AP376" i="1"/>
  <c r="AQ376" i="1"/>
  <c r="AM377" i="1"/>
  <c r="AN377" i="1"/>
  <c r="AO377" i="1"/>
  <c r="AP377" i="1"/>
  <c r="AQ377" i="1"/>
  <c r="AM378" i="1"/>
  <c r="AN378" i="1"/>
  <c r="AO378" i="1"/>
  <c r="AP378" i="1"/>
  <c r="AQ378" i="1"/>
  <c r="AM379" i="1"/>
  <c r="AN379" i="1"/>
  <c r="AO379" i="1"/>
  <c r="AP379" i="1"/>
  <c r="AQ379" i="1"/>
  <c r="AM380" i="1"/>
  <c r="AN380" i="1"/>
  <c r="AO380" i="1"/>
  <c r="AP380" i="1"/>
  <c r="AQ380" i="1"/>
  <c r="AM381" i="1"/>
  <c r="AN381" i="1"/>
  <c r="AO381" i="1"/>
  <c r="AP381" i="1"/>
  <c r="AQ381" i="1"/>
  <c r="AM382" i="1"/>
  <c r="AN382" i="1"/>
  <c r="AO382" i="1"/>
  <c r="AP382" i="1"/>
  <c r="AQ382" i="1"/>
  <c r="AM383" i="1"/>
  <c r="AN383" i="1"/>
  <c r="AO383" i="1"/>
  <c r="AP383" i="1"/>
  <c r="AQ383" i="1"/>
  <c r="AM384" i="1"/>
  <c r="AN384" i="1"/>
  <c r="AO384" i="1"/>
  <c r="AP384" i="1"/>
  <c r="AQ384" i="1"/>
  <c r="AM385" i="1"/>
  <c r="AN385" i="1"/>
  <c r="AO385" i="1"/>
  <c r="AP385" i="1"/>
  <c r="AQ385" i="1"/>
  <c r="AM386" i="1"/>
  <c r="AN386" i="1"/>
  <c r="AO386" i="1"/>
  <c r="AP386" i="1"/>
  <c r="AQ386" i="1"/>
  <c r="AM387" i="1"/>
  <c r="AN387" i="1"/>
  <c r="AO387" i="1"/>
  <c r="AP387" i="1"/>
  <c r="AQ387" i="1"/>
  <c r="AM388" i="1"/>
  <c r="AN388" i="1"/>
  <c r="AO388" i="1"/>
  <c r="AP388" i="1"/>
  <c r="AQ388" i="1"/>
  <c r="AM389" i="1"/>
  <c r="AN389" i="1"/>
  <c r="AO389" i="1"/>
  <c r="AP389" i="1"/>
  <c r="AQ389" i="1"/>
  <c r="AM390" i="1"/>
  <c r="AN390" i="1"/>
  <c r="AO390" i="1"/>
  <c r="AP390" i="1"/>
  <c r="AQ390" i="1"/>
  <c r="AM391" i="1"/>
  <c r="AN391" i="1"/>
  <c r="AO391" i="1"/>
  <c r="AP391" i="1"/>
  <c r="AQ391" i="1"/>
  <c r="AM392" i="1"/>
  <c r="AN392" i="1"/>
  <c r="AO392" i="1"/>
  <c r="AP392" i="1"/>
  <c r="AQ392" i="1"/>
  <c r="AM393" i="1"/>
  <c r="AN393" i="1"/>
  <c r="AO393" i="1"/>
  <c r="AP393" i="1"/>
  <c r="AQ393" i="1"/>
  <c r="AM394" i="1"/>
  <c r="AN394" i="1"/>
  <c r="AO394" i="1"/>
  <c r="AP394" i="1"/>
  <c r="AQ394" i="1"/>
  <c r="AM395" i="1"/>
  <c r="AN395" i="1"/>
  <c r="AO395" i="1"/>
  <c r="AP395" i="1"/>
  <c r="AQ395" i="1"/>
  <c r="AM396" i="1"/>
  <c r="AN396" i="1"/>
  <c r="AO396" i="1"/>
  <c r="AP396" i="1"/>
  <c r="AQ396" i="1"/>
  <c r="AM397" i="1"/>
  <c r="AN397" i="1"/>
  <c r="AO397" i="1"/>
  <c r="AP397" i="1"/>
  <c r="AQ397" i="1"/>
  <c r="AM398" i="1"/>
  <c r="AN398" i="1"/>
  <c r="AO398" i="1"/>
  <c r="AP398" i="1"/>
  <c r="AQ398" i="1"/>
  <c r="AM399" i="1"/>
  <c r="AN399" i="1"/>
  <c r="AO399" i="1"/>
  <c r="AP399" i="1"/>
  <c r="AQ399" i="1"/>
  <c r="AM400" i="1"/>
  <c r="AN400" i="1"/>
  <c r="AO400" i="1"/>
  <c r="AP400" i="1"/>
  <c r="AQ400" i="1"/>
  <c r="AM401" i="1"/>
  <c r="AN401" i="1"/>
  <c r="AO401" i="1"/>
  <c r="AP401" i="1"/>
  <c r="AQ401" i="1"/>
  <c r="AM402" i="1"/>
  <c r="AN402" i="1"/>
  <c r="AO402" i="1"/>
  <c r="AP402" i="1"/>
  <c r="AQ402" i="1"/>
  <c r="AM403" i="1"/>
  <c r="AN403" i="1"/>
  <c r="AO403" i="1"/>
  <c r="AP403" i="1"/>
  <c r="AQ403" i="1"/>
  <c r="AM404" i="1"/>
  <c r="AN404" i="1"/>
  <c r="AO404" i="1"/>
  <c r="AP404" i="1"/>
  <c r="AQ404" i="1"/>
  <c r="AM405" i="1"/>
  <c r="AN405" i="1"/>
  <c r="AO405" i="1"/>
  <c r="AP405" i="1"/>
  <c r="AQ405" i="1"/>
  <c r="AM406" i="1"/>
  <c r="AN406" i="1"/>
  <c r="AO406" i="1"/>
  <c r="AP406" i="1"/>
  <c r="AQ406" i="1"/>
  <c r="AM407" i="1"/>
  <c r="AN407" i="1"/>
  <c r="AO407" i="1"/>
  <c r="AP407" i="1"/>
  <c r="AQ407" i="1"/>
  <c r="AM408" i="1"/>
  <c r="AN408" i="1"/>
  <c r="AO408" i="1"/>
  <c r="AP408" i="1"/>
  <c r="AQ408" i="1"/>
  <c r="AM409" i="1"/>
  <c r="AN409" i="1"/>
  <c r="AO409" i="1"/>
  <c r="AP409" i="1"/>
  <c r="AQ409" i="1"/>
  <c r="AM410" i="1"/>
  <c r="AN410" i="1"/>
  <c r="AO410" i="1"/>
  <c r="AP410" i="1"/>
  <c r="AQ410" i="1"/>
  <c r="AM411" i="1"/>
  <c r="AN411" i="1"/>
  <c r="AO411" i="1"/>
  <c r="AP411" i="1"/>
  <c r="AQ411" i="1"/>
  <c r="AM412" i="1"/>
  <c r="AN412" i="1"/>
  <c r="AO412" i="1"/>
  <c r="AP412" i="1"/>
  <c r="AQ412" i="1"/>
  <c r="AM413" i="1"/>
  <c r="AN413" i="1"/>
  <c r="AO413" i="1"/>
  <c r="AP413" i="1"/>
  <c r="AQ413" i="1"/>
  <c r="AM414" i="1"/>
  <c r="AN414" i="1"/>
  <c r="AO414" i="1"/>
  <c r="AP414" i="1"/>
  <c r="AQ414" i="1"/>
  <c r="AM415" i="1"/>
  <c r="AN415" i="1"/>
  <c r="AO415" i="1"/>
  <c r="AP415" i="1"/>
  <c r="AQ415" i="1"/>
  <c r="AM416" i="1"/>
  <c r="AN416" i="1"/>
  <c r="AO416" i="1"/>
  <c r="AP416" i="1"/>
  <c r="AQ416" i="1"/>
  <c r="AM417" i="1"/>
  <c r="AN417" i="1"/>
  <c r="AO417" i="1"/>
  <c r="AP417" i="1"/>
  <c r="AQ417" i="1"/>
  <c r="AM418" i="1"/>
  <c r="AN418" i="1"/>
  <c r="AO418" i="1"/>
  <c r="AP418" i="1"/>
  <c r="AQ418" i="1"/>
  <c r="AM419" i="1"/>
  <c r="AN419" i="1"/>
  <c r="AO419" i="1"/>
  <c r="AP419" i="1"/>
  <c r="AQ419" i="1"/>
  <c r="AM420" i="1"/>
  <c r="AN420" i="1"/>
  <c r="AO420" i="1"/>
  <c r="AP420" i="1"/>
  <c r="AQ420" i="1"/>
  <c r="AM421" i="1"/>
  <c r="AN421" i="1"/>
  <c r="AO421" i="1"/>
  <c r="AP421" i="1"/>
  <c r="AQ421" i="1"/>
  <c r="AM422" i="1"/>
  <c r="AN422" i="1"/>
  <c r="AO422" i="1"/>
  <c r="AP422" i="1"/>
  <c r="AQ422" i="1"/>
  <c r="AM423" i="1"/>
  <c r="AN423" i="1"/>
  <c r="AO423" i="1"/>
  <c r="AP423" i="1"/>
  <c r="AQ423" i="1"/>
  <c r="AM424" i="1"/>
  <c r="AN424" i="1"/>
  <c r="AO424" i="1"/>
  <c r="AP424" i="1"/>
  <c r="AQ424" i="1"/>
  <c r="AM425" i="1"/>
  <c r="AN425" i="1"/>
  <c r="AO425" i="1"/>
  <c r="AP425" i="1"/>
  <c r="AQ425" i="1"/>
  <c r="AM426" i="1"/>
  <c r="AN426" i="1"/>
  <c r="AO426" i="1"/>
  <c r="AP426" i="1"/>
  <c r="AQ426" i="1"/>
  <c r="AM427" i="1"/>
  <c r="AN427" i="1"/>
  <c r="AO427" i="1"/>
  <c r="AP427" i="1"/>
  <c r="AQ427" i="1"/>
  <c r="AM428" i="1"/>
  <c r="AN428" i="1"/>
  <c r="AO428" i="1"/>
  <c r="AP428" i="1"/>
  <c r="AQ428" i="1"/>
  <c r="AM429" i="1"/>
  <c r="AN429" i="1"/>
  <c r="AO429" i="1"/>
  <c r="AP429" i="1"/>
  <c r="AQ429" i="1"/>
  <c r="AM430" i="1"/>
  <c r="AN430" i="1"/>
  <c r="AO430" i="1"/>
  <c r="AP430" i="1"/>
  <c r="AQ430" i="1"/>
  <c r="AM431" i="1"/>
  <c r="AN431" i="1"/>
  <c r="AO431" i="1"/>
  <c r="AP431" i="1"/>
  <c r="AQ431" i="1"/>
  <c r="AM432" i="1"/>
  <c r="AN432" i="1"/>
  <c r="AO432" i="1"/>
  <c r="AP432" i="1"/>
  <c r="AQ432" i="1"/>
  <c r="AM433" i="1"/>
  <c r="AN433" i="1"/>
  <c r="AO433" i="1"/>
  <c r="AP433" i="1"/>
  <c r="AQ433" i="1"/>
  <c r="AM434" i="1"/>
  <c r="AN434" i="1"/>
  <c r="AO434" i="1"/>
  <c r="AP434" i="1"/>
  <c r="AQ434" i="1"/>
  <c r="AM435" i="1"/>
  <c r="AN435" i="1"/>
  <c r="AO435" i="1"/>
  <c r="AP435" i="1"/>
  <c r="AQ435" i="1"/>
  <c r="AM436" i="1"/>
  <c r="AN436" i="1"/>
  <c r="AO436" i="1"/>
  <c r="AP436" i="1"/>
  <c r="AQ436" i="1"/>
  <c r="AM437" i="1"/>
  <c r="AN437" i="1"/>
  <c r="AO437" i="1"/>
  <c r="AP437" i="1"/>
  <c r="AQ437" i="1"/>
  <c r="AM438" i="1"/>
  <c r="AN438" i="1"/>
  <c r="AO438" i="1"/>
  <c r="AP438" i="1"/>
  <c r="AQ438" i="1"/>
  <c r="AM439" i="1"/>
  <c r="AN439" i="1"/>
  <c r="AO439" i="1"/>
  <c r="AP439" i="1"/>
  <c r="AQ439" i="1"/>
  <c r="AM440" i="1"/>
  <c r="AN440" i="1"/>
  <c r="AO440" i="1"/>
  <c r="AP440" i="1"/>
  <c r="AQ440" i="1"/>
  <c r="AM441" i="1"/>
  <c r="AN441" i="1"/>
  <c r="AO441" i="1"/>
  <c r="AP441" i="1"/>
  <c r="AQ441" i="1"/>
  <c r="AM442" i="1"/>
  <c r="AN442" i="1"/>
  <c r="AO442" i="1"/>
  <c r="AP442" i="1"/>
  <c r="AQ442" i="1"/>
  <c r="AM443" i="1"/>
  <c r="AN443" i="1"/>
  <c r="AO443" i="1"/>
  <c r="AP443" i="1"/>
  <c r="AQ443" i="1"/>
  <c r="AM444" i="1"/>
  <c r="AN444" i="1"/>
  <c r="AO444" i="1"/>
  <c r="AP444" i="1"/>
  <c r="AQ444" i="1"/>
  <c r="AM445" i="1"/>
  <c r="AN445" i="1"/>
  <c r="AO445" i="1"/>
  <c r="AP445" i="1"/>
  <c r="AQ445" i="1"/>
  <c r="AM446" i="1"/>
  <c r="AN446" i="1"/>
  <c r="AO446" i="1"/>
  <c r="AP446" i="1"/>
  <c r="AQ446" i="1"/>
  <c r="AM447" i="1"/>
  <c r="AN447" i="1"/>
  <c r="AO447" i="1"/>
  <c r="AP447" i="1"/>
  <c r="AQ447" i="1"/>
  <c r="AM448" i="1"/>
  <c r="AN448" i="1"/>
  <c r="AO448" i="1"/>
  <c r="AP448" i="1"/>
  <c r="AQ448" i="1"/>
  <c r="AM449" i="1"/>
  <c r="AN449" i="1"/>
  <c r="AO449" i="1"/>
  <c r="AP449" i="1"/>
  <c r="AQ449" i="1"/>
  <c r="AM450" i="1"/>
  <c r="AN450" i="1"/>
  <c r="AO450" i="1"/>
  <c r="AP450" i="1"/>
  <c r="AQ450" i="1"/>
  <c r="AM451" i="1"/>
  <c r="AN451" i="1"/>
  <c r="AO451" i="1"/>
  <c r="AP451" i="1"/>
  <c r="AQ451" i="1"/>
  <c r="AM452" i="1"/>
  <c r="AN452" i="1"/>
  <c r="AO452" i="1"/>
  <c r="AP452" i="1"/>
  <c r="AQ452" i="1"/>
  <c r="AM453" i="1"/>
  <c r="AN453" i="1"/>
  <c r="AO453" i="1"/>
  <c r="AP453" i="1"/>
  <c r="AQ453" i="1"/>
  <c r="AM454" i="1"/>
  <c r="AN454" i="1"/>
  <c r="AO454" i="1"/>
  <c r="AP454" i="1"/>
  <c r="AQ454" i="1"/>
  <c r="AM455" i="1"/>
  <c r="AN455" i="1"/>
  <c r="AO455" i="1"/>
  <c r="AP455" i="1"/>
  <c r="AQ455" i="1"/>
  <c r="AM456" i="1"/>
  <c r="AN456" i="1"/>
  <c r="AO456" i="1"/>
  <c r="AP456" i="1"/>
  <c r="AQ456" i="1"/>
  <c r="AM457" i="1"/>
  <c r="AN457" i="1"/>
  <c r="AO457" i="1"/>
  <c r="AP457" i="1"/>
  <c r="AQ457" i="1"/>
  <c r="AM458" i="1"/>
  <c r="AN458" i="1"/>
  <c r="AO458" i="1"/>
  <c r="AP458" i="1"/>
  <c r="AQ458" i="1"/>
  <c r="AM459" i="1"/>
  <c r="AN459" i="1"/>
  <c r="AO459" i="1"/>
  <c r="AP459" i="1"/>
  <c r="AQ459" i="1"/>
  <c r="AM460" i="1"/>
  <c r="AN460" i="1"/>
  <c r="AO460" i="1"/>
  <c r="AP460" i="1"/>
  <c r="AQ460" i="1"/>
  <c r="AM461" i="1"/>
  <c r="AN461" i="1"/>
  <c r="AO461" i="1"/>
  <c r="AP461" i="1"/>
  <c r="AQ461" i="1"/>
  <c r="AM462" i="1"/>
  <c r="AN462" i="1"/>
  <c r="AO462" i="1"/>
  <c r="AP462" i="1"/>
  <c r="AQ462" i="1"/>
  <c r="AM463" i="1"/>
  <c r="AN463" i="1"/>
  <c r="AO463" i="1"/>
  <c r="AP463" i="1"/>
  <c r="AQ463" i="1"/>
  <c r="AM464" i="1"/>
  <c r="AN464" i="1"/>
  <c r="AO464" i="1"/>
  <c r="AP464" i="1"/>
  <c r="AQ464" i="1"/>
  <c r="AM465" i="1"/>
  <c r="AN465" i="1"/>
  <c r="AO465" i="1"/>
  <c r="AP465" i="1"/>
  <c r="AQ465" i="1"/>
  <c r="AM466" i="1"/>
  <c r="AN466" i="1"/>
  <c r="AO466" i="1"/>
  <c r="AP466" i="1"/>
  <c r="AQ466" i="1"/>
  <c r="AM467" i="1"/>
  <c r="AN467" i="1"/>
  <c r="AO467" i="1"/>
  <c r="AP467" i="1"/>
  <c r="AQ467" i="1"/>
  <c r="AM468" i="1"/>
  <c r="AN468" i="1"/>
  <c r="AO468" i="1"/>
  <c r="AP468" i="1"/>
  <c r="AQ468" i="1"/>
  <c r="AM469" i="1"/>
  <c r="AN469" i="1"/>
  <c r="AO469" i="1"/>
  <c r="AP469" i="1"/>
  <c r="AQ469" i="1"/>
  <c r="AM470" i="1"/>
  <c r="AN470" i="1"/>
  <c r="AO470" i="1"/>
  <c r="AP470" i="1"/>
  <c r="AQ470" i="1"/>
  <c r="AM471" i="1"/>
  <c r="AN471" i="1"/>
  <c r="AO471" i="1"/>
  <c r="AP471" i="1"/>
  <c r="AQ471" i="1"/>
  <c r="AM472" i="1"/>
  <c r="AN472" i="1"/>
  <c r="AO472" i="1"/>
  <c r="AP472" i="1"/>
  <c r="AQ472" i="1"/>
  <c r="AM473" i="1"/>
  <c r="AN473" i="1"/>
  <c r="AO473" i="1"/>
  <c r="AP473" i="1"/>
  <c r="AQ473" i="1"/>
  <c r="AM474" i="1"/>
  <c r="AN474" i="1"/>
  <c r="AO474" i="1"/>
  <c r="AP474" i="1"/>
  <c r="AQ474" i="1"/>
  <c r="AM475" i="1"/>
  <c r="AN475" i="1"/>
  <c r="AO475" i="1"/>
  <c r="AP475" i="1"/>
  <c r="AQ475" i="1"/>
  <c r="AM476" i="1"/>
  <c r="AN476" i="1"/>
  <c r="AO476" i="1"/>
  <c r="AP476" i="1"/>
  <c r="AQ476" i="1"/>
  <c r="AM477" i="1"/>
  <c r="AN477" i="1"/>
  <c r="AO477" i="1"/>
  <c r="AP477" i="1"/>
  <c r="AQ477" i="1"/>
  <c r="AM478" i="1"/>
  <c r="AN478" i="1"/>
  <c r="AO478" i="1"/>
  <c r="AP478" i="1"/>
  <c r="AQ478" i="1"/>
  <c r="AM479" i="1"/>
  <c r="AN479" i="1"/>
  <c r="AO479" i="1"/>
  <c r="AP479" i="1"/>
  <c r="AQ479" i="1"/>
  <c r="AM480" i="1"/>
  <c r="AN480" i="1"/>
  <c r="AO480" i="1"/>
  <c r="AP480" i="1"/>
  <c r="AQ480" i="1"/>
  <c r="AM481" i="1"/>
  <c r="AN481" i="1"/>
  <c r="AO481" i="1"/>
  <c r="AP481" i="1"/>
  <c r="AQ481" i="1"/>
  <c r="AM482" i="1"/>
  <c r="AN482" i="1"/>
  <c r="AO482" i="1"/>
  <c r="AP482" i="1"/>
  <c r="AQ482" i="1"/>
  <c r="AM483" i="1"/>
  <c r="AN483" i="1"/>
  <c r="AO483" i="1"/>
  <c r="AP483" i="1"/>
  <c r="AQ483" i="1"/>
  <c r="AM484" i="1"/>
  <c r="AN484" i="1"/>
  <c r="AO484" i="1"/>
  <c r="AP484" i="1"/>
  <c r="AQ484" i="1"/>
  <c r="AM485" i="1"/>
  <c r="AN485" i="1"/>
  <c r="AO485" i="1"/>
  <c r="AP485" i="1"/>
  <c r="AQ485" i="1"/>
  <c r="AM486" i="1"/>
  <c r="AN486" i="1"/>
  <c r="AO486" i="1"/>
  <c r="AP486" i="1"/>
  <c r="AQ486" i="1"/>
  <c r="AM487" i="1"/>
  <c r="AN487" i="1"/>
  <c r="AO487" i="1"/>
  <c r="AP487" i="1"/>
  <c r="AQ487" i="1"/>
  <c r="AM488" i="1"/>
  <c r="AN488" i="1"/>
  <c r="AO488" i="1"/>
  <c r="AP488" i="1"/>
  <c r="AQ488" i="1"/>
  <c r="AM489" i="1"/>
  <c r="AN489" i="1"/>
  <c r="AO489" i="1"/>
  <c r="AP489" i="1"/>
  <c r="AQ489" i="1"/>
  <c r="AM490" i="1"/>
  <c r="AN490" i="1"/>
  <c r="AO490" i="1"/>
  <c r="AP490" i="1"/>
  <c r="AQ490" i="1"/>
  <c r="AM491" i="1"/>
  <c r="AN491" i="1"/>
  <c r="AO491" i="1"/>
  <c r="AP491" i="1"/>
  <c r="AQ491" i="1"/>
  <c r="AM492" i="1"/>
  <c r="AN492" i="1"/>
  <c r="AO492" i="1"/>
  <c r="AP492" i="1"/>
  <c r="AQ492" i="1"/>
  <c r="AM493" i="1"/>
  <c r="AN493" i="1"/>
  <c r="AO493" i="1"/>
  <c r="AP493" i="1"/>
  <c r="AQ493" i="1"/>
  <c r="AM494" i="1"/>
  <c r="AN494" i="1"/>
  <c r="AO494" i="1"/>
  <c r="AP494" i="1"/>
  <c r="AQ494" i="1"/>
  <c r="AM495" i="1"/>
  <c r="AN495" i="1"/>
  <c r="AO495" i="1"/>
  <c r="AP495" i="1"/>
  <c r="AQ495" i="1"/>
  <c r="AM496" i="1"/>
  <c r="AN496" i="1"/>
  <c r="AO496" i="1"/>
  <c r="AP496" i="1"/>
  <c r="AQ496" i="1"/>
  <c r="AM497" i="1"/>
  <c r="AN497" i="1"/>
  <c r="AO497" i="1"/>
  <c r="AP497" i="1"/>
  <c r="AQ497" i="1"/>
  <c r="AM498" i="1"/>
  <c r="AN498" i="1"/>
  <c r="AO498" i="1"/>
  <c r="AP498" i="1"/>
  <c r="AQ498" i="1"/>
  <c r="AM499" i="1"/>
  <c r="AN499" i="1"/>
  <c r="AO499" i="1"/>
  <c r="AP499" i="1"/>
  <c r="AQ499" i="1"/>
  <c r="AM500" i="1"/>
  <c r="AN500" i="1"/>
  <c r="AO500" i="1"/>
  <c r="AP500" i="1"/>
  <c r="AQ500" i="1"/>
  <c r="AM501" i="1"/>
  <c r="AN501" i="1"/>
  <c r="AO501" i="1"/>
  <c r="AP501" i="1"/>
  <c r="AQ501" i="1"/>
  <c r="AM502" i="1"/>
  <c r="AN502" i="1"/>
  <c r="AO502" i="1"/>
  <c r="AP502" i="1"/>
  <c r="AQ502" i="1"/>
  <c r="AM503" i="1"/>
  <c r="AN503" i="1"/>
  <c r="AO503" i="1"/>
  <c r="AP503" i="1"/>
  <c r="AQ503" i="1"/>
  <c r="AM504" i="1"/>
  <c r="AN504" i="1"/>
  <c r="AO504" i="1"/>
  <c r="AP504" i="1"/>
  <c r="AQ504" i="1"/>
  <c r="AM505" i="1"/>
  <c r="AN505" i="1"/>
  <c r="AO505" i="1"/>
  <c r="AP505" i="1"/>
  <c r="AQ505" i="1"/>
  <c r="AM506" i="1"/>
  <c r="AN506" i="1"/>
  <c r="AO506" i="1"/>
  <c r="AP506" i="1"/>
  <c r="AQ506" i="1"/>
  <c r="AM507" i="1"/>
  <c r="AN507" i="1"/>
  <c r="AO507" i="1"/>
  <c r="AP507" i="1"/>
  <c r="AQ507" i="1"/>
  <c r="AM508" i="1"/>
  <c r="AN508" i="1"/>
  <c r="AO508" i="1"/>
  <c r="AP508" i="1"/>
  <c r="AQ508" i="1"/>
  <c r="AM509" i="1"/>
  <c r="AN509" i="1"/>
  <c r="AO509" i="1"/>
  <c r="AP509" i="1"/>
  <c r="AQ509" i="1"/>
  <c r="AM510" i="1"/>
  <c r="AN510" i="1"/>
  <c r="AO510" i="1"/>
  <c r="AP510" i="1"/>
  <c r="AQ510" i="1"/>
  <c r="AM511" i="1"/>
  <c r="AN511" i="1"/>
  <c r="AO511" i="1"/>
  <c r="AP511" i="1"/>
  <c r="AQ511" i="1"/>
  <c r="AM512" i="1"/>
  <c r="AN512" i="1"/>
  <c r="AO512" i="1"/>
  <c r="AP512" i="1"/>
  <c r="AQ512" i="1"/>
  <c r="AM513" i="1"/>
  <c r="AN513" i="1"/>
  <c r="AO513" i="1"/>
  <c r="AP513" i="1"/>
  <c r="AQ513" i="1"/>
  <c r="AM514" i="1"/>
  <c r="AN514" i="1"/>
  <c r="AO514" i="1"/>
  <c r="AP514" i="1"/>
  <c r="AQ514" i="1"/>
  <c r="AM515" i="1"/>
  <c r="AN515" i="1"/>
  <c r="AO515" i="1"/>
  <c r="AP515" i="1"/>
  <c r="AQ515" i="1"/>
  <c r="AM516" i="1"/>
  <c r="AN516" i="1"/>
  <c r="AO516" i="1"/>
  <c r="AP516" i="1"/>
  <c r="AQ516" i="1"/>
  <c r="AM517" i="1"/>
  <c r="AN517" i="1"/>
  <c r="AO517" i="1"/>
  <c r="AP517" i="1"/>
  <c r="AQ517" i="1"/>
  <c r="AM518" i="1"/>
  <c r="AN518" i="1"/>
  <c r="AO518" i="1"/>
  <c r="AP518" i="1"/>
  <c r="AQ518" i="1"/>
  <c r="AM519" i="1"/>
  <c r="AN519" i="1"/>
  <c r="AO519" i="1"/>
  <c r="AP519" i="1"/>
  <c r="AQ519" i="1"/>
  <c r="AM520" i="1"/>
  <c r="AN520" i="1"/>
  <c r="AO520" i="1"/>
  <c r="AP520" i="1"/>
  <c r="AQ520" i="1"/>
  <c r="AM521" i="1"/>
  <c r="AN521" i="1"/>
  <c r="AO521" i="1"/>
  <c r="AP521" i="1"/>
  <c r="AQ521" i="1"/>
  <c r="AM522" i="1"/>
  <c r="AN522" i="1"/>
  <c r="AO522" i="1"/>
  <c r="AP522" i="1"/>
  <c r="AQ522" i="1"/>
  <c r="AM523" i="1"/>
  <c r="AN523" i="1"/>
  <c r="AO523" i="1"/>
  <c r="AP523" i="1"/>
  <c r="AQ523" i="1"/>
  <c r="AM524" i="1"/>
  <c r="AN524" i="1"/>
  <c r="AO524" i="1"/>
  <c r="AP524" i="1"/>
  <c r="AQ524" i="1"/>
  <c r="AM525" i="1"/>
  <c r="AN525" i="1"/>
  <c r="AO525" i="1"/>
  <c r="AP525" i="1"/>
  <c r="AQ525" i="1"/>
  <c r="AM526" i="1"/>
  <c r="AN526" i="1"/>
  <c r="AO526" i="1"/>
  <c r="AP526" i="1"/>
  <c r="AQ526" i="1"/>
  <c r="AM527" i="1"/>
  <c r="AN527" i="1"/>
  <c r="AO527" i="1"/>
  <c r="AP527" i="1"/>
  <c r="AQ527" i="1"/>
  <c r="AM528" i="1"/>
  <c r="AN528" i="1"/>
  <c r="AO528" i="1"/>
  <c r="AP528" i="1"/>
  <c r="AQ528" i="1"/>
  <c r="AM529" i="1"/>
  <c r="AN529" i="1"/>
  <c r="AO529" i="1"/>
  <c r="AP529" i="1"/>
  <c r="AQ529" i="1"/>
  <c r="AM530" i="1"/>
  <c r="AN530" i="1"/>
  <c r="AO530" i="1"/>
  <c r="AP530" i="1"/>
  <c r="AQ530" i="1"/>
  <c r="AM531" i="1"/>
  <c r="AN531" i="1"/>
  <c r="AO531" i="1"/>
  <c r="AP531" i="1"/>
  <c r="AQ531" i="1"/>
  <c r="AM532" i="1"/>
  <c r="AN532" i="1"/>
  <c r="AO532" i="1"/>
  <c r="AP532" i="1"/>
  <c r="AQ532" i="1"/>
  <c r="AM533" i="1"/>
  <c r="AN533" i="1"/>
  <c r="AO533" i="1"/>
  <c r="AP533" i="1"/>
  <c r="AQ533" i="1"/>
  <c r="AM534" i="1"/>
  <c r="AN534" i="1"/>
  <c r="AO534" i="1"/>
  <c r="AP534" i="1"/>
  <c r="AQ534" i="1"/>
  <c r="AM535" i="1"/>
  <c r="AN535" i="1"/>
  <c r="AO535" i="1"/>
  <c r="AP535" i="1"/>
  <c r="AQ535" i="1"/>
  <c r="AM536" i="1"/>
  <c r="AN536" i="1"/>
  <c r="AO536" i="1"/>
  <c r="AP536" i="1"/>
  <c r="AQ536" i="1"/>
  <c r="AM537" i="1"/>
  <c r="AN537" i="1"/>
  <c r="AO537" i="1"/>
  <c r="AP537" i="1"/>
  <c r="AQ537" i="1"/>
  <c r="AM538" i="1"/>
  <c r="AN538" i="1"/>
  <c r="AO538" i="1"/>
  <c r="AP538" i="1"/>
  <c r="AQ538" i="1"/>
  <c r="AM539" i="1"/>
  <c r="AN539" i="1"/>
  <c r="AO539" i="1"/>
  <c r="AP539" i="1"/>
  <c r="AQ539" i="1"/>
  <c r="AM540" i="1"/>
  <c r="AN540" i="1"/>
  <c r="AO540" i="1"/>
  <c r="AP540" i="1"/>
  <c r="AQ540" i="1"/>
  <c r="AM541" i="1"/>
  <c r="AN541" i="1"/>
  <c r="AO541" i="1"/>
  <c r="AP541" i="1"/>
  <c r="AQ541" i="1"/>
  <c r="AM542" i="1"/>
  <c r="AN542" i="1"/>
  <c r="AO542" i="1"/>
  <c r="AP542" i="1"/>
  <c r="AQ542" i="1"/>
  <c r="AM543" i="1"/>
  <c r="AN543" i="1"/>
  <c r="AO543" i="1"/>
  <c r="AP543" i="1"/>
  <c r="AQ543" i="1"/>
  <c r="AM544" i="1"/>
  <c r="AN544" i="1"/>
  <c r="AO544" i="1"/>
  <c r="AP544" i="1"/>
  <c r="AQ544" i="1"/>
  <c r="AM545" i="1"/>
  <c r="AN545" i="1"/>
  <c r="AO545" i="1"/>
  <c r="AP545" i="1"/>
  <c r="AQ545" i="1"/>
  <c r="AM546" i="1"/>
  <c r="AN546" i="1"/>
  <c r="AO546" i="1"/>
  <c r="AP546" i="1"/>
  <c r="AQ546" i="1"/>
  <c r="AM547" i="1"/>
  <c r="AN547" i="1"/>
  <c r="AO547" i="1"/>
  <c r="AP547" i="1"/>
  <c r="AQ547" i="1"/>
  <c r="AM548" i="1"/>
  <c r="AN548" i="1"/>
  <c r="AO548" i="1"/>
  <c r="AP548" i="1"/>
  <c r="AQ548" i="1"/>
  <c r="AM549" i="1"/>
  <c r="AN549" i="1"/>
  <c r="AO549" i="1"/>
  <c r="AP549" i="1"/>
  <c r="AQ549" i="1"/>
  <c r="AM550" i="1"/>
  <c r="AN550" i="1"/>
  <c r="AO550" i="1"/>
  <c r="AP550" i="1"/>
  <c r="AQ550" i="1"/>
  <c r="AM551" i="1"/>
  <c r="AN551" i="1"/>
  <c r="AO551" i="1"/>
  <c r="AP551" i="1"/>
  <c r="AQ551" i="1"/>
  <c r="AM552" i="1"/>
  <c r="AN552" i="1"/>
  <c r="AO552" i="1"/>
  <c r="AP552" i="1"/>
  <c r="AQ552" i="1"/>
  <c r="AM553" i="1"/>
  <c r="AN553" i="1"/>
  <c r="AO553" i="1"/>
  <c r="AP553" i="1"/>
  <c r="AQ553" i="1"/>
  <c r="AM554" i="1"/>
  <c r="AN554" i="1"/>
  <c r="AO554" i="1"/>
  <c r="AP554" i="1"/>
  <c r="AQ554" i="1"/>
  <c r="AM555" i="1"/>
  <c r="AN555" i="1"/>
  <c r="AO555" i="1"/>
  <c r="AP555" i="1"/>
  <c r="AQ555" i="1"/>
  <c r="AM556" i="1"/>
  <c r="AN556" i="1"/>
  <c r="AO556" i="1"/>
  <c r="AP556" i="1"/>
  <c r="AQ556" i="1"/>
  <c r="AM557" i="1"/>
  <c r="AN557" i="1"/>
  <c r="AO557" i="1"/>
  <c r="AP557" i="1"/>
  <c r="AQ557" i="1"/>
  <c r="AM558" i="1"/>
  <c r="AN558" i="1"/>
  <c r="AO558" i="1"/>
  <c r="AP558" i="1"/>
  <c r="AQ558" i="1"/>
  <c r="AM559" i="1"/>
  <c r="AN559" i="1"/>
  <c r="AO559" i="1"/>
  <c r="AP559" i="1"/>
  <c r="AQ559" i="1"/>
  <c r="AM560" i="1"/>
  <c r="AN560" i="1"/>
  <c r="AO560" i="1"/>
  <c r="AP560" i="1"/>
  <c r="AQ560" i="1"/>
  <c r="AM561" i="1"/>
  <c r="AN561" i="1"/>
  <c r="AO561" i="1"/>
  <c r="AP561" i="1"/>
  <c r="AQ561" i="1"/>
  <c r="AM562" i="1"/>
  <c r="AN562" i="1"/>
  <c r="AO562" i="1"/>
  <c r="AP562" i="1"/>
  <c r="AQ562" i="1"/>
  <c r="AM563" i="1"/>
  <c r="AN563" i="1"/>
  <c r="AO563" i="1"/>
  <c r="AP563" i="1"/>
  <c r="AQ563" i="1"/>
  <c r="AM564" i="1"/>
  <c r="AN564" i="1"/>
  <c r="AO564" i="1"/>
  <c r="AP564" i="1"/>
  <c r="AQ564" i="1"/>
  <c r="AM565" i="1"/>
  <c r="AN565" i="1"/>
  <c r="AO565" i="1"/>
  <c r="AP565" i="1"/>
  <c r="AQ565" i="1"/>
  <c r="AM566" i="1"/>
  <c r="AN566" i="1"/>
  <c r="AO566" i="1"/>
  <c r="AP566" i="1"/>
  <c r="AQ566" i="1"/>
  <c r="AM567" i="1"/>
  <c r="AN567" i="1"/>
  <c r="AO567" i="1"/>
  <c r="AP567" i="1"/>
  <c r="AQ567" i="1"/>
  <c r="AM568" i="1"/>
  <c r="AN568" i="1"/>
  <c r="AO568" i="1"/>
  <c r="AP568" i="1"/>
  <c r="AQ568" i="1"/>
  <c r="AM569" i="1"/>
  <c r="AN569" i="1"/>
  <c r="AO569" i="1"/>
  <c r="AP569" i="1"/>
  <c r="AQ569" i="1"/>
  <c r="AM570" i="1"/>
  <c r="AN570" i="1"/>
  <c r="AO570" i="1"/>
  <c r="AP570" i="1"/>
  <c r="AQ570" i="1"/>
  <c r="AM571" i="1"/>
  <c r="AN571" i="1"/>
  <c r="AO571" i="1"/>
  <c r="AP571" i="1"/>
  <c r="AQ571" i="1"/>
  <c r="AM572" i="1"/>
  <c r="AN572" i="1"/>
  <c r="AO572" i="1"/>
  <c r="AP572" i="1"/>
  <c r="AQ572" i="1"/>
  <c r="AM573" i="1"/>
  <c r="AN573" i="1"/>
  <c r="AO573" i="1"/>
  <c r="AP573" i="1"/>
  <c r="AQ573" i="1"/>
  <c r="AM574" i="1"/>
  <c r="AN574" i="1"/>
  <c r="AO574" i="1"/>
  <c r="AP574" i="1"/>
  <c r="AQ574" i="1"/>
  <c r="AM575" i="1"/>
  <c r="AN575" i="1"/>
  <c r="AO575" i="1"/>
  <c r="AP575" i="1"/>
  <c r="AQ575" i="1"/>
  <c r="AM576" i="1"/>
  <c r="AN576" i="1"/>
  <c r="AO576" i="1"/>
  <c r="AP576" i="1"/>
  <c r="AQ576" i="1"/>
  <c r="AM577" i="1"/>
  <c r="AN577" i="1"/>
  <c r="AO577" i="1"/>
  <c r="AP577" i="1"/>
  <c r="AQ577" i="1"/>
  <c r="AM578" i="1"/>
  <c r="AN578" i="1"/>
  <c r="AO578" i="1"/>
  <c r="AP578" i="1"/>
  <c r="AQ578" i="1"/>
  <c r="AM579" i="1"/>
  <c r="AN579" i="1"/>
  <c r="AO579" i="1"/>
  <c r="AP579" i="1"/>
  <c r="AQ579" i="1"/>
  <c r="AM580" i="1"/>
  <c r="AN580" i="1"/>
  <c r="AO580" i="1"/>
  <c r="AP580" i="1"/>
  <c r="AQ580" i="1"/>
  <c r="AM581" i="1"/>
  <c r="AN581" i="1"/>
  <c r="AO581" i="1"/>
  <c r="AP581" i="1"/>
  <c r="AQ581" i="1"/>
  <c r="AM582" i="1"/>
  <c r="AN582" i="1"/>
  <c r="AO582" i="1"/>
  <c r="AP582" i="1"/>
  <c r="AQ582" i="1"/>
  <c r="AM583" i="1"/>
  <c r="AN583" i="1"/>
  <c r="AO583" i="1"/>
  <c r="AP583" i="1"/>
  <c r="AQ583" i="1"/>
  <c r="AM584" i="1"/>
  <c r="AN584" i="1"/>
  <c r="AO584" i="1"/>
  <c r="AP584" i="1"/>
  <c r="AQ584" i="1"/>
  <c r="AM585" i="1"/>
  <c r="AN585" i="1"/>
  <c r="AO585" i="1"/>
  <c r="AP585" i="1"/>
  <c r="AQ585" i="1"/>
  <c r="AM586" i="1"/>
  <c r="AN586" i="1"/>
  <c r="AO586" i="1"/>
  <c r="AP586" i="1"/>
  <c r="AQ586" i="1"/>
  <c r="AM587" i="1"/>
  <c r="AN587" i="1"/>
  <c r="AO587" i="1"/>
  <c r="AP587" i="1"/>
  <c r="AQ587" i="1"/>
  <c r="AM588" i="1"/>
  <c r="AN588" i="1"/>
  <c r="AO588" i="1"/>
  <c r="AP588" i="1"/>
  <c r="AQ588" i="1"/>
  <c r="AM589" i="1"/>
  <c r="AN589" i="1"/>
  <c r="AO589" i="1"/>
  <c r="AP589" i="1"/>
  <c r="AQ589" i="1"/>
  <c r="AM590" i="1"/>
  <c r="AN590" i="1"/>
  <c r="AO590" i="1"/>
  <c r="AP590" i="1"/>
  <c r="AQ590" i="1"/>
  <c r="AM591" i="1"/>
  <c r="AN591" i="1"/>
  <c r="AO591" i="1"/>
  <c r="AP591" i="1"/>
  <c r="AQ591" i="1"/>
  <c r="AM592" i="1"/>
  <c r="AN592" i="1"/>
  <c r="AO592" i="1"/>
  <c r="AP592" i="1"/>
  <c r="AQ592" i="1"/>
  <c r="AM593" i="1"/>
  <c r="AN593" i="1"/>
  <c r="AO593" i="1"/>
  <c r="AP593" i="1"/>
  <c r="AQ593" i="1"/>
  <c r="AM594" i="1"/>
  <c r="AN594" i="1"/>
  <c r="AO594" i="1"/>
  <c r="AP594" i="1"/>
  <c r="AQ594" i="1"/>
  <c r="AM595" i="1"/>
  <c r="AN595" i="1"/>
  <c r="AO595" i="1"/>
  <c r="AP595" i="1"/>
  <c r="AQ595" i="1"/>
  <c r="AM596" i="1"/>
  <c r="AN596" i="1"/>
  <c r="AO596" i="1"/>
  <c r="AP596" i="1"/>
  <c r="AQ596" i="1"/>
  <c r="AM597" i="1"/>
  <c r="AN597" i="1"/>
  <c r="AO597" i="1"/>
  <c r="AP597" i="1"/>
  <c r="AQ597" i="1"/>
  <c r="AM598" i="1"/>
  <c r="AN598" i="1"/>
  <c r="AO598" i="1"/>
  <c r="AP598" i="1"/>
  <c r="AQ598" i="1"/>
  <c r="AM599" i="1"/>
  <c r="AN599" i="1"/>
  <c r="AO599" i="1"/>
  <c r="AP599" i="1"/>
  <c r="AQ599" i="1"/>
  <c r="AM600" i="1"/>
  <c r="AN600" i="1"/>
  <c r="AO600" i="1"/>
  <c r="AP600" i="1"/>
  <c r="AQ600" i="1"/>
  <c r="AM601" i="1"/>
  <c r="AN601" i="1"/>
  <c r="AO601" i="1"/>
  <c r="AP601" i="1"/>
  <c r="AQ601" i="1"/>
  <c r="AM602" i="1"/>
  <c r="AN602" i="1"/>
  <c r="AO602" i="1"/>
  <c r="AP602" i="1"/>
  <c r="AQ602" i="1"/>
  <c r="AM603" i="1"/>
  <c r="AN603" i="1"/>
  <c r="AO603" i="1"/>
  <c r="AP603" i="1"/>
  <c r="AQ603" i="1"/>
  <c r="AM604" i="1"/>
  <c r="AN604" i="1"/>
  <c r="AO604" i="1"/>
  <c r="AP604" i="1"/>
  <c r="AQ604" i="1"/>
  <c r="AM605" i="1"/>
  <c r="AN605" i="1"/>
  <c r="AO605" i="1"/>
  <c r="AP605" i="1"/>
  <c r="AQ605" i="1"/>
  <c r="AM606" i="1"/>
  <c r="AN606" i="1"/>
  <c r="AO606" i="1"/>
  <c r="AP606" i="1"/>
  <c r="AQ606" i="1"/>
  <c r="AM607" i="1"/>
  <c r="AN607" i="1"/>
  <c r="AO607" i="1"/>
  <c r="AP607" i="1"/>
  <c r="AQ607" i="1"/>
  <c r="AM608" i="1"/>
  <c r="AN608" i="1"/>
  <c r="AO608" i="1"/>
  <c r="AP608" i="1"/>
  <c r="AQ608" i="1"/>
  <c r="AM609" i="1"/>
  <c r="AN609" i="1"/>
  <c r="AO609" i="1"/>
  <c r="AP609" i="1"/>
  <c r="AQ609" i="1"/>
  <c r="AM610" i="1"/>
  <c r="AN610" i="1"/>
  <c r="AO610" i="1"/>
  <c r="AP610" i="1"/>
  <c r="AQ610" i="1"/>
  <c r="AM611" i="1"/>
  <c r="AN611" i="1"/>
  <c r="AO611" i="1"/>
  <c r="AP611" i="1"/>
  <c r="AQ611" i="1"/>
  <c r="AM612" i="1"/>
  <c r="AN612" i="1"/>
  <c r="AO612" i="1"/>
  <c r="AP612" i="1"/>
  <c r="AQ612" i="1"/>
  <c r="AM613" i="1"/>
  <c r="AN613" i="1"/>
  <c r="AO613" i="1"/>
  <c r="AP613" i="1"/>
  <c r="AQ613" i="1"/>
  <c r="AM614" i="1"/>
  <c r="AN614" i="1"/>
  <c r="AO614" i="1"/>
  <c r="AP614" i="1"/>
  <c r="AQ614" i="1"/>
  <c r="AM615" i="1"/>
  <c r="AN615" i="1"/>
  <c r="AO615" i="1"/>
  <c r="AP615" i="1"/>
  <c r="AQ615" i="1"/>
  <c r="AM616" i="1"/>
  <c r="AN616" i="1"/>
  <c r="AO616" i="1"/>
  <c r="AP616" i="1"/>
  <c r="AQ616" i="1"/>
  <c r="AM617" i="1"/>
  <c r="AN617" i="1"/>
  <c r="AO617" i="1"/>
  <c r="AP617" i="1"/>
  <c r="AQ617" i="1"/>
  <c r="AM618" i="1"/>
  <c r="AN618" i="1"/>
  <c r="AO618" i="1"/>
  <c r="AP618" i="1"/>
  <c r="AQ618" i="1"/>
  <c r="AM619" i="1"/>
  <c r="AN619" i="1"/>
  <c r="AO619" i="1"/>
  <c r="AP619" i="1"/>
  <c r="AQ619" i="1"/>
  <c r="AM620" i="1"/>
  <c r="AN620" i="1"/>
  <c r="AO620" i="1"/>
  <c r="AP620" i="1"/>
  <c r="AQ620" i="1"/>
  <c r="AM621" i="1"/>
  <c r="AN621" i="1"/>
  <c r="AO621" i="1"/>
  <c r="AP621" i="1"/>
  <c r="AQ621" i="1"/>
  <c r="AM622" i="1"/>
  <c r="AN622" i="1"/>
  <c r="AO622" i="1"/>
  <c r="AP622" i="1"/>
  <c r="AQ622" i="1"/>
  <c r="AM623" i="1"/>
  <c r="AN623" i="1"/>
  <c r="AO623" i="1"/>
  <c r="AP623" i="1"/>
  <c r="AQ623" i="1"/>
  <c r="AM624" i="1"/>
  <c r="AN624" i="1"/>
  <c r="AO624" i="1"/>
  <c r="AP624" i="1"/>
  <c r="AQ624" i="1"/>
  <c r="AM625" i="1"/>
  <c r="AN625" i="1"/>
  <c r="AO625" i="1"/>
  <c r="AP625" i="1"/>
  <c r="AQ625" i="1"/>
  <c r="AM626" i="1"/>
  <c r="AN626" i="1"/>
  <c r="AO626" i="1"/>
  <c r="AP626" i="1"/>
  <c r="AQ626" i="1"/>
  <c r="AM627" i="1"/>
  <c r="AN627" i="1"/>
  <c r="AO627" i="1"/>
  <c r="AP627" i="1"/>
  <c r="AQ627" i="1"/>
  <c r="AM628" i="1"/>
  <c r="AN628" i="1"/>
  <c r="AO628" i="1"/>
  <c r="AP628" i="1"/>
  <c r="AQ628" i="1"/>
  <c r="AM629" i="1"/>
  <c r="AN629" i="1"/>
  <c r="AO629" i="1"/>
  <c r="AP629" i="1"/>
  <c r="AQ629" i="1"/>
  <c r="AM630" i="1"/>
  <c r="AN630" i="1"/>
  <c r="AO630" i="1"/>
  <c r="AP630" i="1"/>
  <c r="AQ630" i="1"/>
  <c r="AM631" i="1"/>
  <c r="AN631" i="1"/>
  <c r="AO631" i="1"/>
  <c r="AP631" i="1"/>
  <c r="AQ631" i="1"/>
  <c r="AM632" i="1"/>
  <c r="AN632" i="1"/>
  <c r="AO632" i="1"/>
  <c r="AP632" i="1"/>
  <c r="AQ632" i="1"/>
  <c r="AM633" i="1"/>
  <c r="AN633" i="1"/>
  <c r="AO633" i="1"/>
  <c r="AP633" i="1"/>
  <c r="AQ633" i="1"/>
  <c r="AM634" i="1"/>
  <c r="AN634" i="1"/>
  <c r="AO634" i="1"/>
  <c r="AP634" i="1"/>
  <c r="AQ634" i="1"/>
  <c r="AM635" i="1"/>
  <c r="AN635" i="1"/>
  <c r="AO635" i="1"/>
  <c r="AP635" i="1"/>
  <c r="AQ635" i="1"/>
  <c r="AM636" i="1"/>
  <c r="AN636" i="1"/>
  <c r="AO636" i="1"/>
  <c r="AP636" i="1"/>
  <c r="AQ636" i="1"/>
  <c r="AM637" i="1"/>
  <c r="AN637" i="1"/>
  <c r="AO637" i="1"/>
  <c r="AP637" i="1"/>
  <c r="AQ637" i="1"/>
  <c r="AM638" i="1"/>
  <c r="AN638" i="1"/>
  <c r="AO638" i="1"/>
  <c r="AP638" i="1"/>
  <c r="AQ638" i="1"/>
  <c r="AM639" i="1"/>
  <c r="AN639" i="1"/>
  <c r="AO639" i="1"/>
  <c r="AP639" i="1"/>
  <c r="AQ639" i="1"/>
  <c r="AM640" i="1"/>
  <c r="AN640" i="1"/>
  <c r="AO640" i="1"/>
  <c r="AP640" i="1"/>
  <c r="AQ640" i="1"/>
  <c r="AM641" i="1"/>
  <c r="AN641" i="1"/>
  <c r="AO641" i="1"/>
  <c r="AP641" i="1"/>
  <c r="AQ641" i="1"/>
  <c r="AM642" i="1"/>
  <c r="AN642" i="1"/>
  <c r="AO642" i="1"/>
  <c r="AP642" i="1"/>
  <c r="AQ642" i="1"/>
  <c r="AM643" i="1"/>
  <c r="AN643" i="1"/>
  <c r="AO643" i="1"/>
  <c r="AP643" i="1"/>
  <c r="AQ643" i="1"/>
  <c r="AM644" i="1"/>
  <c r="AN644" i="1"/>
  <c r="AO644" i="1"/>
  <c r="AP644" i="1"/>
  <c r="AQ644" i="1"/>
  <c r="AM645" i="1"/>
  <c r="AN645" i="1"/>
  <c r="AO645" i="1"/>
  <c r="AP645" i="1"/>
  <c r="AQ645" i="1"/>
  <c r="AM646" i="1"/>
  <c r="AN646" i="1"/>
  <c r="AO646" i="1"/>
  <c r="AP646" i="1"/>
  <c r="AQ646" i="1"/>
  <c r="AM647" i="1"/>
  <c r="AN647" i="1"/>
  <c r="AO647" i="1"/>
  <c r="AP647" i="1"/>
  <c r="AQ647" i="1"/>
  <c r="AM648" i="1"/>
  <c r="AN648" i="1"/>
  <c r="AO648" i="1"/>
  <c r="AP648" i="1"/>
  <c r="AQ648" i="1"/>
  <c r="AM649" i="1"/>
  <c r="AN649" i="1"/>
  <c r="AO649" i="1"/>
  <c r="AP649" i="1"/>
  <c r="AQ649" i="1"/>
  <c r="AM650" i="1"/>
  <c r="AN650" i="1"/>
  <c r="AO650" i="1"/>
  <c r="AP650" i="1"/>
  <c r="AQ650" i="1"/>
  <c r="AM651" i="1"/>
  <c r="AN651" i="1"/>
  <c r="AO651" i="1"/>
  <c r="AP651" i="1"/>
  <c r="AQ651" i="1"/>
  <c r="AM652" i="1"/>
  <c r="AN652" i="1"/>
  <c r="AO652" i="1"/>
  <c r="AP652" i="1"/>
  <c r="AQ652" i="1"/>
  <c r="AM653" i="1"/>
  <c r="AN653" i="1"/>
  <c r="AO653" i="1"/>
  <c r="AP653" i="1"/>
  <c r="AQ653" i="1"/>
  <c r="AM654" i="1"/>
  <c r="AN654" i="1"/>
  <c r="AO654" i="1"/>
  <c r="AP654" i="1"/>
  <c r="AQ654" i="1"/>
  <c r="AM655" i="1"/>
  <c r="AN655" i="1"/>
  <c r="AO655" i="1"/>
  <c r="AP655" i="1"/>
  <c r="AQ655" i="1"/>
  <c r="AM656" i="1"/>
  <c r="AN656" i="1"/>
  <c r="AO656" i="1"/>
  <c r="AP656" i="1"/>
  <c r="AQ656" i="1"/>
  <c r="AM657" i="1"/>
  <c r="AN657" i="1"/>
  <c r="AO657" i="1"/>
  <c r="AP657" i="1"/>
  <c r="AQ657" i="1"/>
  <c r="AM658" i="1"/>
  <c r="AN658" i="1"/>
  <c r="AO658" i="1"/>
  <c r="AP658" i="1"/>
  <c r="AQ658" i="1"/>
  <c r="AM659" i="1"/>
  <c r="AN659" i="1"/>
  <c r="AO659" i="1"/>
  <c r="AP659" i="1"/>
  <c r="AQ659" i="1"/>
  <c r="AM660" i="1"/>
  <c r="AN660" i="1"/>
  <c r="AO660" i="1"/>
  <c r="AP660" i="1"/>
  <c r="AQ660" i="1"/>
  <c r="AM661" i="1"/>
  <c r="AN661" i="1"/>
  <c r="AO661" i="1"/>
  <c r="AP661" i="1"/>
  <c r="AQ661" i="1"/>
  <c r="AM662" i="1"/>
  <c r="AN662" i="1"/>
  <c r="AO662" i="1"/>
  <c r="AP662" i="1"/>
  <c r="AQ662" i="1"/>
  <c r="AM663" i="1"/>
  <c r="AN663" i="1"/>
  <c r="AO663" i="1"/>
  <c r="AP663" i="1"/>
  <c r="AQ663" i="1"/>
  <c r="AM664" i="1"/>
  <c r="AN664" i="1"/>
  <c r="AO664" i="1"/>
  <c r="AP664" i="1"/>
  <c r="AQ664" i="1"/>
  <c r="AM665" i="1"/>
  <c r="AN665" i="1"/>
  <c r="AO665" i="1"/>
  <c r="AP665" i="1"/>
  <c r="AQ665" i="1"/>
  <c r="AM666" i="1"/>
  <c r="AN666" i="1"/>
  <c r="AO666" i="1"/>
  <c r="AP666" i="1"/>
  <c r="AQ666" i="1"/>
  <c r="AM667" i="1"/>
  <c r="AN667" i="1"/>
  <c r="AO667" i="1"/>
  <c r="AP667" i="1"/>
  <c r="AQ667" i="1"/>
  <c r="AM668" i="1"/>
  <c r="AN668" i="1"/>
  <c r="AO668" i="1"/>
  <c r="AP668" i="1"/>
  <c r="AQ668" i="1"/>
  <c r="AM669" i="1"/>
  <c r="AN669" i="1"/>
  <c r="AO669" i="1"/>
  <c r="AP669" i="1"/>
  <c r="AQ669" i="1"/>
  <c r="AM670" i="1"/>
  <c r="AN670" i="1"/>
  <c r="AO670" i="1"/>
  <c r="AP670" i="1"/>
  <c r="AQ670" i="1"/>
  <c r="AM671" i="1"/>
  <c r="AN671" i="1"/>
  <c r="AO671" i="1"/>
  <c r="AP671" i="1"/>
  <c r="AQ671" i="1"/>
  <c r="AM672" i="1"/>
  <c r="AN672" i="1"/>
  <c r="AO672" i="1"/>
  <c r="AP672" i="1"/>
  <c r="AQ672" i="1"/>
  <c r="AM673" i="1"/>
  <c r="AN673" i="1"/>
  <c r="AO673" i="1"/>
  <c r="AP673" i="1"/>
  <c r="AQ673" i="1"/>
  <c r="AM674" i="1"/>
  <c r="AN674" i="1"/>
  <c r="AO674" i="1"/>
  <c r="AP674" i="1"/>
  <c r="AQ674" i="1"/>
  <c r="AM675" i="1"/>
  <c r="AN675" i="1"/>
  <c r="AO675" i="1"/>
  <c r="AP675" i="1"/>
  <c r="AQ675" i="1"/>
  <c r="AM676" i="1"/>
  <c r="AN676" i="1"/>
  <c r="AO676" i="1"/>
  <c r="AP676" i="1"/>
  <c r="AQ676" i="1"/>
  <c r="AM677" i="1"/>
  <c r="AN677" i="1"/>
  <c r="AO677" i="1"/>
  <c r="AP677" i="1"/>
  <c r="AQ677" i="1"/>
  <c r="AM678" i="1"/>
  <c r="AN678" i="1"/>
  <c r="AO678" i="1"/>
  <c r="AP678" i="1"/>
  <c r="AQ678" i="1"/>
  <c r="AM679" i="1"/>
  <c r="AN679" i="1"/>
  <c r="AO679" i="1"/>
  <c r="AP679" i="1"/>
  <c r="AQ679" i="1"/>
  <c r="AM680" i="1"/>
  <c r="AN680" i="1"/>
  <c r="AO680" i="1"/>
  <c r="AP680" i="1"/>
  <c r="AQ680" i="1"/>
  <c r="AM681" i="1"/>
  <c r="AN681" i="1"/>
  <c r="AO681" i="1"/>
  <c r="AP681" i="1"/>
  <c r="AQ681" i="1"/>
  <c r="AM682" i="1"/>
  <c r="AN682" i="1"/>
  <c r="AO682" i="1"/>
  <c r="AP682" i="1"/>
  <c r="AQ682" i="1"/>
  <c r="AM683" i="1"/>
  <c r="AN683" i="1"/>
  <c r="AO683" i="1"/>
  <c r="AP683" i="1"/>
  <c r="AQ683" i="1"/>
  <c r="AM684" i="1"/>
  <c r="AN684" i="1"/>
  <c r="AO684" i="1"/>
  <c r="AP684" i="1"/>
  <c r="AQ684" i="1"/>
  <c r="AM685" i="1"/>
  <c r="AN685" i="1"/>
  <c r="AO685" i="1"/>
  <c r="AP685" i="1"/>
  <c r="AQ685" i="1"/>
  <c r="AM686" i="1"/>
  <c r="AN686" i="1"/>
  <c r="AO686" i="1"/>
  <c r="AP686" i="1"/>
  <c r="AQ686" i="1"/>
  <c r="AM687" i="1"/>
  <c r="AN687" i="1"/>
  <c r="AO687" i="1"/>
  <c r="AP687" i="1"/>
  <c r="AQ687" i="1"/>
  <c r="AM688" i="1"/>
  <c r="AN688" i="1"/>
  <c r="AO688" i="1"/>
  <c r="AP688" i="1"/>
  <c r="AQ688" i="1"/>
  <c r="AM689" i="1"/>
  <c r="AN689" i="1"/>
  <c r="AO689" i="1"/>
  <c r="AP689" i="1"/>
  <c r="AQ689" i="1"/>
  <c r="AM690" i="1"/>
  <c r="AN690" i="1"/>
  <c r="AO690" i="1"/>
  <c r="AP690" i="1"/>
  <c r="AQ690" i="1"/>
  <c r="AM691" i="1"/>
  <c r="AN691" i="1"/>
  <c r="AO691" i="1"/>
  <c r="AP691" i="1"/>
  <c r="AQ691" i="1"/>
  <c r="AM692" i="1"/>
  <c r="AN692" i="1"/>
  <c r="AO692" i="1"/>
  <c r="AP692" i="1"/>
  <c r="AQ692" i="1"/>
  <c r="AM693" i="1"/>
  <c r="AN693" i="1"/>
  <c r="AO693" i="1"/>
  <c r="AP693" i="1"/>
  <c r="AQ693" i="1"/>
  <c r="AM694" i="1"/>
  <c r="AN694" i="1"/>
  <c r="AO694" i="1"/>
  <c r="AP694" i="1"/>
  <c r="AQ694" i="1"/>
  <c r="AM695" i="1"/>
  <c r="AN695" i="1"/>
  <c r="AO695" i="1"/>
  <c r="AP695" i="1"/>
  <c r="AQ695" i="1"/>
  <c r="AM696" i="1"/>
  <c r="AN696" i="1"/>
  <c r="AO696" i="1"/>
  <c r="AP696" i="1"/>
  <c r="AQ696" i="1"/>
  <c r="AM697" i="1"/>
  <c r="AN697" i="1"/>
  <c r="AO697" i="1"/>
  <c r="AP697" i="1"/>
  <c r="AQ697" i="1"/>
  <c r="AM698" i="1"/>
  <c r="AN698" i="1"/>
  <c r="AO698" i="1"/>
  <c r="AP698" i="1"/>
  <c r="AQ698" i="1"/>
  <c r="AM699" i="1"/>
  <c r="AN699" i="1"/>
  <c r="AO699" i="1"/>
  <c r="AP699" i="1"/>
  <c r="AQ699" i="1"/>
  <c r="AM700" i="1"/>
  <c r="AN700" i="1"/>
  <c r="AO700" i="1"/>
  <c r="AP700" i="1"/>
  <c r="AQ700" i="1"/>
  <c r="AM701" i="1"/>
  <c r="AN701" i="1"/>
  <c r="AO701" i="1"/>
  <c r="AP701" i="1"/>
  <c r="AQ701" i="1"/>
  <c r="AM702" i="1"/>
  <c r="AN702" i="1"/>
  <c r="AO702" i="1"/>
  <c r="AP702" i="1"/>
  <c r="AQ702" i="1"/>
  <c r="AM703" i="1"/>
  <c r="AN703" i="1"/>
  <c r="AO703" i="1"/>
  <c r="AP703" i="1"/>
  <c r="AQ703" i="1"/>
  <c r="AM704" i="1"/>
  <c r="AN704" i="1"/>
  <c r="AO704" i="1"/>
  <c r="AP704" i="1"/>
  <c r="AQ704" i="1"/>
  <c r="AM705" i="1"/>
  <c r="AN705" i="1"/>
  <c r="AO705" i="1"/>
  <c r="AP705" i="1"/>
  <c r="AQ705" i="1"/>
  <c r="AM72" i="1"/>
  <c r="AN72" i="1"/>
  <c r="AO72" i="1"/>
  <c r="AP72" i="1"/>
  <c r="AQ72" i="1"/>
  <c r="AM73" i="1"/>
  <c r="AN73" i="1"/>
  <c r="AO73" i="1"/>
  <c r="AP73" i="1"/>
  <c r="AQ73" i="1"/>
  <c r="AM74" i="1"/>
  <c r="AN74" i="1"/>
  <c r="AO74" i="1"/>
  <c r="AP74" i="1"/>
  <c r="AQ74" i="1"/>
  <c r="AM75" i="1"/>
  <c r="AN75" i="1"/>
  <c r="AO75" i="1"/>
  <c r="AP75" i="1"/>
  <c r="AQ75" i="1"/>
  <c r="AM76" i="1"/>
  <c r="AN76" i="1"/>
  <c r="AO76" i="1"/>
  <c r="AP76" i="1"/>
  <c r="AQ76" i="1"/>
  <c r="AM77" i="1"/>
  <c r="AN77" i="1"/>
  <c r="AO77" i="1"/>
  <c r="AP77" i="1"/>
  <c r="AQ77" i="1"/>
  <c r="AM54" i="1"/>
  <c r="AN54" i="1"/>
  <c r="AO54" i="1"/>
  <c r="AP54" i="1"/>
  <c r="AQ54" i="1"/>
  <c r="AM55" i="1"/>
  <c r="AN55" i="1"/>
  <c r="AO55" i="1"/>
  <c r="AP55" i="1"/>
  <c r="AQ55" i="1"/>
  <c r="AM56" i="1"/>
  <c r="AN56" i="1"/>
  <c r="AO56" i="1"/>
  <c r="AP56" i="1"/>
  <c r="AQ56" i="1"/>
  <c r="AM57" i="1"/>
  <c r="AN57" i="1"/>
  <c r="AO57" i="1"/>
  <c r="AP57" i="1"/>
  <c r="AQ57" i="1"/>
  <c r="AM58" i="1"/>
  <c r="AN58" i="1"/>
  <c r="AO58" i="1"/>
  <c r="AP58" i="1"/>
  <c r="AQ58" i="1"/>
  <c r="AM59" i="1"/>
  <c r="AN59" i="1"/>
  <c r="AO59" i="1"/>
  <c r="AP59" i="1"/>
  <c r="AQ59" i="1"/>
  <c r="AM60" i="1"/>
  <c r="AN60" i="1"/>
  <c r="AO60" i="1"/>
  <c r="AP60" i="1"/>
  <c r="AQ60" i="1"/>
  <c r="AM61" i="1"/>
  <c r="AN61" i="1"/>
  <c r="AO61" i="1"/>
  <c r="AP61" i="1"/>
  <c r="AQ61" i="1"/>
  <c r="AM62" i="1"/>
  <c r="AN62" i="1"/>
  <c r="AO62" i="1"/>
  <c r="AP62" i="1"/>
  <c r="AQ62" i="1"/>
  <c r="AM63" i="1"/>
  <c r="AN63" i="1"/>
  <c r="AO63" i="1"/>
  <c r="AP63" i="1"/>
  <c r="AQ63" i="1"/>
  <c r="AM64" i="1"/>
  <c r="AN64" i="1"/>
  <c r="AO64" i="1"/>
  <c r="AP64" i="1"/>
  <c r="AQ64" i="1"/>
  <c r="AM65" i="1"/>
  <c r="AN65" i="1"/>
  <c r="AO65" i="1"/>
  <c r="AP65" i="1"/>
  <c r="AQ65" i="1"/>
  <c r="AM66" i="1"/>
  <c r="AN66" i="1"/>
  <c r="AO66" i="1"/>
  <c r="AP66" i="1"/>
  <c r="AQ66" i="1"/>
  <c r="AM67" i="1"/>
  <c r="AN67" i="1"/>
  <c r="AO67" i="1"/>
  <c r="AP67" i="1"/>
  <c r="AQ67" i="1"/>
  <c r="AM68" i="1"/>
  <c r="AN68" i="1"/>
  <c r="AO68" i="1"/>
  <c r="AP68" i="1"/>
  <c r="AQ68" i="1"/>
  <c r="AM69" i="1"/>
  <c r="AN69" i="1"/>
  <c r="AO69" i="1"/>
  <c r="AP69" i="1"/>
  <c r="AQ69" i="1"/>
  <c r="AM70" i="1"/>
  <c r="AN70" i="1"/>
  <c r="AO70" i="1"/>
  <c r="AP70" i="1"/>
  <c r="AQ70" i="1"/>
  <c r="AM71" i="1"/>
  <c r="AN71" i="1"/>
  <c r="AO71" i="1"/>
  <c r="AP71" i="1"/>
  <c r="AQ71" i="1"/>
  <c r="AM33" i="1"/>
  <c r="AN33" i="1"/>
  <c r="AO33" i="1"/>
  <c r="AP33" i="1"/>
  <c r="AQ33" i="1"/>
  <c r="AM34" i="1"/>
  <c r="AN34" i="1"/>
  <c r="AO34" i="1"/>
  <c r="AP34" i="1"/>
  <c r="AQ34" i="1"/>
  <c r="AM35" i="1"/>
  <c r="AN35" i="1"/>
  <c r="AO35" i="1"/>
  <c r="AP35" i="1"/>
  <c r="AQ35" i="1"/>
  <c r="AM36" i="1"/>
  <c r="AN36" i="1"/>
  <c r="AO36" i="1"/>
  <c r="AP36" i="1"/>
  <c r="AQ36" i="1"/>
  <c r="AM37" i="1"/>
  <c r="AN37" i="1"/>
  <c r="AO37" i="1"/>
  <c r="AP37" i="1"/>
  <c r="AQ37" i="1"/>
  <c r="AM38" i="1"/>
  <c r="AN38" i="1"/>
  <c r="AO38" i="1"/>
  <c r="AP38" i="1"/>
  <c r="AQ38" i="1"/>
  <c r="AM39" i="1"/>
  <c r="AN39" i="1"/>
  <c r="AO39" i="1"/>
  <c r="AP39" i="1"/>
  <c r="AQ39" i="1"/>
  <c r="AM40" i="1"/>
  <c r="AN40" i="1"/>
  <c r="AO40" i="1"/>
  <c r="AP40" i="1"/>
  <c r="AQ40" i="1"/>
  <c r="AM41" i="1"/>
  <c r="AN41" i="1"/>
  <c r="AO41" i="1"/>
  <c r="AP41" i="1"/>
  <c r="AQ41" i="1"/>
  <c r="AM42" i="1"/>
  <c r="AN42" i="1"/>
  <c r="AO42" i="1"/>
  <c r="AP42" i="1"/>
  <c r="AQ42" i="1"/>
  <c r="AM43" i="1"/>
  <c r="AN43" i="1"/>
  <c r="AO43" i="1"/>
  <c r="AP43" i="1"/>
  <c r="AQ43" i="1"/>
  <c r="AM44" i="1"/>
  <c r="AN44" i="1"/>
  <c r="AO44" i="1"/>
  <c r="AP44" i="1"/>
  <c r="AQ44" i="1"/>
  <c r="AM45" i="1"/>
  <c r="AN45" i="1"/>
  <c r="AO45" i="1"/>
  <c r="AP45" i="1"/>
  <c r="AQ45" i="1"/>
  <c r="AM46" i="1"/>
  <c r="AN46" i="1"/>
  <c r="AO46" i="1"/>
  <c r="AP46" i="1"/>
  <c r="AQ46" i="1"/>
  <c r="AM47" i="1"/>
  <c r="AN47" i="1"/>
  <c r="AO47" i="1"/>
  <c r="AP47" i="1"/>
  <c r="AQ47" i="1"/>
  <c r="AM48" i="1"/>
  <c r="AN48" i="1"/>
  <c r="AO48" i="1"/>
  <c r="AP48" i="1"/>
  <c r="AQ48" i="1"/>
  <c r="AM49" i="1"/>
  <c r="AN49" i="1"/>
  <c r="AO49" i="1"/>
  <c r="AP49" i="1"/>
  <c r="AQ49" i="1"/>
  <c r="AM50" i="1"/>
  <c r="AN50" i="1"/>
  <c r="AO50" i="1"/>
  <c r="AP50" i="1"/>
  <c r="AQ50" i="1"/>
  <c r="AM51" i="1"/>
  <c r="AN51" i="1"/>
  <c r="AO51" i="1"/>
  <c r="AP51" i="1"/>
  <c r="AQ51" i="1"/>
  <c r="AM52" i="1"/>
  <c r="AN52" i="1"/>
  <c r="AO52" i="1"/>
  <c r="AP52" i="1"/>
  <c r="AQ52" i="1"/>
  <c r="AM53" i="1"/>
  <c r="AN53" i="1"/>
  <c r="AO53" i="1"/>
  <c r="AP53" i="1"/>
  <c r="AQ53" i="1"/>
  <c r="AM16" i="1"/>
  <c r="AN16" i="1"/>
  <c r="AO16" i="1"/>
  <c r="AP16" i="1"/>
  <c r="AQ16" i="1"/>
  <c r="AM17" i="1"/>
  <c r="AN17" i="1"/>
  <c r="AO17" i="1"/>
  <c r="AP17" i="1"/>
  <c r="AQ17" i="1"/>
  <c r="AM18" i="1"/>
  <c r="AN18" i="1"/>
  <c r="AO18" i="1"/>
  <c r="AP18" i="1"/>
  <c r="AQ18" i="1"/>
  <c r="AM19" i="1"/>
  <c r="AN19" i="1"/>
  <c r="AO19" i="1"/>
  <c r="AP19" i="1"/>
  <c r="AQ19" i="1"/>
  <c r="AM20" i="1"/>
  <c r="AN20" i="1"/>
  <c r="AO20" i="1"/>
  <c r="AP20" i="1"/>
  <c r="AQ20" i="1"/>
  <c r="AM21" i="1"/>
  <c r="AN21" i="1"/>
  <c r="AO21" i="1"/>
  <c r="AP21" i="1"/>
  <c r="AQ21" i="1"/>
  <c r="AM22" i="1"/>
  <c r="AN22" i="1"/>
  <c r="AO22" i="1"/>
  <c r="AP22" i="1"/>
  <c r="AQ22" i="1"/>
  <c r="AM23" i="1"/>
  <c r="AN23" i="1"/>
  <c r="AO23" i="1"/>
  <c r="AP23" i="1"/>
  <c r="AQ23" i="1"/>
  <c r="AM24" i="1"/>
  <c r="AN24" i="1"/>
  <c r="AO24" i="1"/>
  <c r="AP24" i="1"/>
  <c r="AQ24" i="1"/>
  <c r="AM25" i="1"/>
  <c r="AN25" i="1"/>
  <c r="AO25" i="1"/>
  <c r="AP25" i="1"/>
  <c r="AQ25" i="1"/>
  <c r="AM26" i="1"/>
  <c r="AN26" i="1"/>
  <c r="AO26" i="1"/>
  <c r="AP26" i="1"/>
  <c r="AQ26" i="1"/>
  <c r="AM27" i="1"/>
  <c r="AN27" i="1"/>
  <c r="AO27" i="1"/>
  <c r="AP27" i="1"/>
  <c r="AQ27" i="1"/>
  <c r="AM28" i="1"/>
  <c r="AN28" i="1"/>
  <c r="AO28" i="1"/>
  <c r="AP28" i="1"/>
  <c r="AQ28" i="1"/>
  <c r="AM29" i="1"/>
  <c r="AN29" i="1"/>
  <c r="AO29" i="1"/>
  <c r="AP29" i="1"/>
  <c r="AQ29" i="1"/>
  <c r="AM30" i="1"/>
  <c r="AN30" i="1"/>
  <c r="AO30" i="1"/>
  <c r="AP30" i="1"/>
  <c r="AQ30" i="1"/>
  <c r="AM31" i="1"/>
  <c r="AN31" i="1"/>
  <c r="AO31" i="1"/>
  <c r="AP31" i="1"/>
  <c r="AQ31" i="1"/>
  <c r="AM32" i="1"/>
  <c r="AN32" i="1"/>
  <c r="AO32" i="1"/>
  <c r="AP32" i="1"/>
  <c r="AQ32" i="1"/>
  <c r="AM7" i="1"/>
  <c r="AM8" i="1"/>
  <c r="AM9" i="1"/>
  <c r="AM10" i="1"/>
  <c r="AM11" i="1"/>
  <c r="AM12" i="1"/>
  <c r="AM13" i="1"/>
  <c r="AM14" i="1"/>
  <c r="AM15" i="1"/>
  <c r="AM6" i="1"/>
  <c r="AN15" i="1"/>
  <c r="AO15" i="1"/>
  <c r="AP15" i="1"/>
  <c r="AQ15" i="1"/>
  <c r="AN14" i="1"/>
  <c r="AO14" i="1"/>
  <c r="AP14" i="1"/>
  <c r="AQ14" i="1"/>
  <c r="AN13" i="1"/>
  <c r="AO13" i="1"/>
  <c r="AP13" i="1"/>
  <c r="AQ13" i="1"/>
  <c r="AN12" i="1"/>
  <c r="AO12" i="1"/>
  <c r="AP12" i="1"/>
  <c r="AQ12" i="1"/>
  <c r="AN10" i="1"/>
  <c r="AO10" i="1"/>
  <c r="AP10" i="1"/>
  <c r="AQ10" i="1"/>
  <c r="AN11" i="1"/>
  <c r="AO11" i="1"/>
  <c r="AP11" i="1"/>
  <c r="AQ11" i="1"/>
  <c r="AN9" i="1"/>
  <c r="AO9" i="1"/>
  <c r="AP9" i="1"/>
  <c r="AQ9" i="1"/>
  <c r="AN7" i="1"/>
  <c r="AO7" i="1"/>
  <c r="AP7" i="1"/>
  <c r="AQ7" i="1"/>
  <c r="AN8" i="1"/>
  <c r="AO8" i="1"/>
  <c r="AP8" i="1"/>
  <c r="AQ8" i="1"/>
  <c r="AQ6" i="1"/>
  <c r="AP6" i="1"/>
  <c r="AO6" i="1"/>
  <c r="AN6" i="1"/>
</calcChain>
</file>

<file path=xl/sharedStrings.xml><?xml version="1.0" encoding="utf-8"?>
<sst xmlns="http://schemas.openxmlformats.org/spreadsheetml/2006/main" count="10280" uniqueCount="2119">
  <si>
    <t>Item</t>
  </si>
  <si>
    <t>Equipo</t>
  </si>
  <si>
    <t>Tipo</t>
  </si>
  <si>
    <t>Marca</t>
  </si>
  <si>
    <t>Modelo</t>
  </si>
  <si>
    <t>S/N</t>
  </si>
  <si>
    <t>P/N</t>
  </si>
  <si>
    <t>IMEI1</t>
  </si>
  <si>
    <t>IMEI2</t>
  </si>
  <si>
    <t>Mac Address</t>
  </si>
  <si>
    <t>Nombre Host</t>
  </si>
  <si>
    <t>Nuevo Nombre Host</t>
  </si>
  <si>
    <t>Operador</t>
  </si>
  <si>
    <t>Linea</t>
  </si>
  <si>
    <t>Procesador</t>
  </si>
  <si>
    <t>Ram</t>
  </si>
  <si>
    <t>Ram Actual</t>
  </si>
  <si>
    <t>Almacenamiento</t>
  </si>
  <si>
    <t>Pantalla</t>
  </si>
  <si>
    <t>IP</t>
  </si>
  <si>
    <t>Sistema Operativo</t>
  </si>
  <si>
    <t>Cuenta Gmail</t>
  </si>
  <si>
    <t>Clave Gmail</t>
  </si>
  <si>
    <t>Fech. Ini Garantía</t>
  </si>
  <si>
    <t>Fech. Fin Garantía</t>
  </si>
  <si>
    <t>Propiedad</t>
  </si>
  <si>
    <t>Estado</t>
  </si>
  <si>
    <t>DNI</t>
  </si>
  <si>
    <t>Código</t>
  </si>
  <si>
    <t>Usuario</t>
  </si>
  <si>
    <t>Cargo</t>
  </si>
  <si>
    <t>Centro Costo</t>
  </si>
  <si>
    <t>Unidad</t>
  </si>
  <si>
    <t>PC</t>
  </si>
  <si>
    <t>Laptop</t>
  </si>
  <si>
    <t>Monitor</t>
  </si>
  <si>
    <t>Celular</t>
  </si>
  <si>
    <t>Impresora</t>
  </si>
  <si>
    <t>Servidor</t>
  </si>
  <si>
    <t xml:space="preserve">Access Point </t>
  </si>
  <si>
    <t>Switch</t>
  </si>
  <si>
    <t>Router</t>
  </si>
  <si>
    <t>Anexos IP</t>
  </si>
  <si>
    <t>Anexo Analógico</t>
  </si>
  <si>
    <t>TV</t>
  </si>
  <si>
    <t>Parlantes</t>
  </si>
  <si>
    <t>Dell</t>
  </si>
  <si>
    <t>Lenovo</t>
  </si>
  <si>
    <t>HP</t>
  </si>
  <si>
    <t>Toshiba</t>
  </si>
  <si>
    <t>Movistar</t>
  </si>
  <si>
    <t>Claro</t>
  </si>
  <si>
    <t>Entel</t>
  </si>
  <si>
    <t xml:space="preserve">Intel Core i3 </t>
  </si>
  <si>
    <t>Intel Core i5</t>
  </si>
  <si>
    <t>Intel Core i7</t>
  </si>
  <si>
    <t>Intel Core i9</t>
  </si>
  <si>
    <t>4 GB DDR3</t>
  </si>
  <si>
    <t>8 GB DDR3</t>
  </si>
  <si>
    <t>12 GB DDR3</t>
  </si>
  <si>
    <t>16 GB DDR3</t>
  </si>
  <si>
    <t>20 GB DDR3</t>
  </si>
  <si>
    <t>32 GB DDR3</t>
  </si>
  <si>
    <t>8 GB DDR4</t>
  </si>
  <si>
    <t>12 GB DDR4</t>
  </si>
  <si>
    <t>16 GB DDR4</t>
  </si>
  <si>
    <t>Generación Procesador</t>
  </si>
  <si>
    <t>20 GB DDR4</t>
  </si>
  <si>
    <t>32 GB DDR4</t>
  </si>
  <si>
    <t>8 GB DDR5</t>
  </si>
  <si>
    <t>12 GB DDR5</t>
  </si>
  <si>
    <t>16 GB DDR5</t>
  </si>
  <si>
    <t>20 GB DDR5</t>
  </si>
  <si>
    <t>32 GB DDR5</t>
  </si>
  <si>
    <t>250 GB HHD</t>
  </si>
  <si>
    <t>500 GB HDD</t>
  </si>
  <si>
    <t>1000 GB HDD</t>
  </si>
  <si>
    <t>250 GB SSD</t>
  </si>
  <si>
    <t>500 GB SSD</t>
  </si>
  <si>
    <t>1000 GB SSD</t>
  </si>
  <si>
    <t>14"</t>
  </si>
  <si>
    <t>15"</t>
  </si>
  <si>
    <t>22"</t>
  </si>
  <si>
    <t>24"</t>
  </si>
  <si>
    <t>27"</t>
  </si>
  <si>
    <t>32"</t>
  </si>
  <si>
    <t>42"</t>
  </si>
  <si>
    <t>49"</t>
  </si>
  <si>
    <t>Windows 11 Pro</t>
  </si>
  <si>
    <t>4ta Gen.</t>
  </si>
  <si>
    <t>5ta Gen.</t>
  </si>
  <si>
    <t>6ta Gen.</t>
  </si>
  <si>
    <t>7ma Gen.</t>
  </si>
  <si>
    <t>8va Gen.</t>
  </si>
  <si>
    <t>9va Gen.</t>
  </si>
  <si>
    <t>10ma Gen.</t>
  </si>
  <si>
    <t>11va Gen.</t>
  </si>
  <si>
    <t>12va Gen.</t>
  </si>
  <si>
    <t>13va Gen.</t>
  </si>
  <si>
    <t>Intel Xeon</t>
  </si>
  <si>
    <t>AMD Ryzen</t>
  </si>
  <si>
    <t>14va Gen.</t>
  </si>
  <si>
    <t xml:space="preserve">Ultra </t>
  </si>
  <si>
    <t>64 GB DDR4</t>
  </si>
  <si>
    <t>128 GB DDR4</t>
  </si>
  <si>
    <t>64 GB DDR5</t>
  </si>
  <si>
    <t>128 GB DDR5</t>
  </si>
  <si>
    <t>HOTELERA COSTA DEL PACIFICO</t>
  </si>
  <si>
    <t>Prov. DATACONT</t>
  </si>
  <si>
    <t>Operativo</t>
  </si>
  <si>
    <t>Inoperativo</t>
  </si>
  <si>
    <t>Por Reparar</t>
  </si>
  <si>
    <t>Por Repotenciar</t>
  </si>
  <si>
    <t>Obsoleto</t>
  </si>
  <si>
    <t>Por Revisar</t>
  </si>
  <si>
    <t>Chip Video</t>
  </si>
  <si>
    <t>NVIDEA</t>
  </si>
  <si>
    <t>Intel Integrado</t>
  </si>
  <si>
    <t xml:space="preserve">AMD ATI </t>
  </si>
  <si>
    <t>Notebook HP -15</t>
  </si>
  <si>
    <t>CND8322H3N</t>
  </si>
  <si>
    <t>3PX38LA</t>
  </si>
  <si>
    <t>Mac Address - Wifi</t>
  </si>
  <si>
    <t>50-91-E3-FC-3F-ED</t>
  </si>
  <si>
    <t>D0-C5-D3-21-1D-29</t>
  </si>
  <si>
    <t>Samsung</t>
  </si>
  <si>
    <t>LG</t>
  </si>
  <si>
    <t>Tablet</t>
  </si>
  <si>
    <t>S27E370D</t>
  </si>
  <si>
    <t>0NWEHTHH600028Y</t>
  </si>
  <si>
    <t>Observación</t>
  </si>
  <si>
    <t>1era Gen.</t>
  </si>
  <si>
    <t>2da Gen.</t>
  </si>
  <si>
    <t>3era Gen.</t>
  </si>
  <si>
    <t>Inventario Equipos TI</t>
  </si>
  <si>
    <t>HW-J250</t>
  </si>
  <si>
    <t>0BE814MJ200528E</t>
  </si>
  <si>
    <t>ZTE</t>
  </si>
  <si>
    <t>Apple</t>
  </si>
  <si>
    <t>Oppo</t>
  </si>
  <si>
    <t>Movil</t>
  </si>
  <si>
    <t xml:space="preserve">4GB + 8GB </t>
  </si>
  <si>
    <t>4GB</t>
  </si>
  <si>
    <t>6GB</t>
  </si>
  <si>
    <t>8GB</t>
  </si>
  <si>
    <t>64 GB</t>
  </si>
  <si>
    <t>128 GB</t>
  </si>
  <si>
    <t>250 GB</t>
  </si>
  <si>
    <t>6.75"</t>
  </si>
  <si>
    <t>8"</t>
  </si>
  <si>
    <t>9"</t>
  </si>
  <si>
    <t>10"</t>
  </si>
  <si>
    <t>11"</t>
  </si>
  <si>
    <t>12"</t>
  </si>
  <si>
    <t>6.1"</t>
  </si>
  <si>
    <t>6.8"</t>
  </si>
  <si>
    <t>4.7"</t>
  </si>
  <si>
    <t>6.6"</t>
  </si>
  <si>
    <t>Windows Server 2008</t>
  </si>
  <si>
    <t>Windows Server 2012</t>
  </si>
  <si>
    <t>Windows Server 2022</t>
  </si>
  <si>
    <t>Windows Server 2025</t>
  </si>
  <si>
    <t>Android</t>
  </si>
  <si>
    <t>iOS</t>
  </si>
  <si>
    <t>ZTE Blade A55</t>
  </si>
  <si>
    <t>54-1F-8D-A0-17-C3</t>
  </si>
  <si>
    <t>Orden de Compra</t>
  </si>
  <si>
    <t>Pedido</t>
  </si>
  <si>
    <t>Antivirus</t>
  </si>
  <si>
    <t>Si</t>
  </si>
  <si>
    <t>No</t>
  </si>
  <si>
    <t>Pendiente</t>
  </si>
  <si>
    <t>N/A</t>
  </si>
  <si>
    <t>Office</t>
  </si>
  <si>
    <t>MS Office 2007 HB</t>
  </si>
  <si>
    <t>MS Office 365 HB</t>
  </si>
  <si>
    <t>Custodia - Operativo</t>
  </si>
  <si>
    <t>Custodia - Inoperativo</t>
  </si>
  <si>
    <t>Custodia - Por Revisar</t>
  </si>
  <si>
    <t>Custodia - Por Reparar</t>
  </si>
  <si>
    <t>Custodia - Obsoleto</t>
  </si>
  <si>
    <t>Falta cover que tapa la memoria ram.</t>
  </si>
  <si>
    <t>YD039184H</t>
  </si>
  <si>
    <t>PORTEGE-R930-SP3256KL</t>
  </si>
  <si>
    <t>PT331P-0KW0GT</t>
  </si>
  <si>
    <t>B8-6B-23-AD-0C-20</t>
  </si>
  <si>
    <t>B4-B6-76-FB-46-4F</t>
  </si>
  <si>
    <t>Thinkcentre Neo 50S</t>
  </si>
  <si>
    <t>YLT1642S</t>
  </si>
  <si>
    <t>12XG0015LS</t>
  </si>
  <si>
    <t>YLT16443</t>
  </si>
  <si>
    <t>D0-F4-05-3E-74-C1</t>
  </si>
  <si>
    <t>E4-1F-D5-E8-9F-CC</t>
  </si>
  <si>
    <t>Optiplex 3020</t>
  </si>
  <si>
    <t>355VN22</t>
  </si>
  <si>
    <t>Equipo con etiqueta de Finanzas</t>
  </si>
  <si>
    <t>D08SN22</t>
  </si>
  <si>
    <t>CZZFN22</t>
  </si>
  <si>
    <t>D0DHN22</t>
  </si>
  <si>
    <t>Para asignar Ventas</t>
  </si>
  <si>
    <t>CZNGN22</t>
  </si>
  <si>
    <t>GJWQN22</t>
  </si>
  <si>
    <t>D1BSN22</t>
  </si>
  <si>
    <t>D00RN22</t>
  </si>
  <si>
    <t>D04SN22</t>
  </si>
  <si>
    <t>GK1TN22</t>
  </si>
  <si>
    <t>Custodia - Por Repotenciar</t>
  </si>
  <si>
    <t>A7600-F</t>
  </si>
  <si>
    <t>HJH0ATGD</t>
  </si>
  <si>
    <t>60-D9-A0-20-3A7F</t>
  </si>
  <si>
    <t>8.9"</t>
  </si>
  <si>
    <t>16 GB</t>
  </si>
  <si>
    <t>32gb</t>
  </si>
  <si>
    <t>1GB</t>
  </si>
  <si>
    <t>2GB</t>
  </si>
  <si>
    <t>SIN CARGADOR</t>
  </si>
  <si>
    <t>Gigabyte</t>
  </si>
  <si>
    <t>GB-BSi3H-6100</t>
  </si>
  <si>
    <t>SE USARA PARA CLONACION DE IMÁGENES WINDOWS</t>
  </si>
  <si>
    <t>YLT16FYF</t>
  </si>
  <si>
    <t>9C-67-D6-78-99-A2</t>
  </si>
  <si>
    <t>D0-F4-05-3F-CC-11</t>
  </si>
  <si>
    <t>YD039215H</t>
  </si>
  <si>
    <t>YLT1643J</t>
  </si>
  <si>
    <t>Para Front Desk</t>
  </si>
  <si>
    <t>Para Contabilidad</t>
  </si>
  <si>
    <t>E2014HC</t>
  </si>
  <si>
    <t>CN012MWY6418046P3JJU</t>
  </si>
  <si>
    <t>17"</t>
  </si>
  <si>
    <t>19"</t>
  </si>
  <si>
    <t>20"</t>
  </si>
  <si>
    <t>CN012MWY6418046P3P7U</t>
  </si>
  <si>
    <t>DB22D-P</t>
  </si>
  <si>
    <t>03AMHCJJ100119B</t>
  </si>
  <si>
    <t>480 GB SSD</t>
  </si>
  <si>
    <t>MXL4321BG8</t>
  </si>
  <si>
    <t>Nombre</t>
  </si>
  <si>
    <t>Foto</t>
  </si>
  <si>
    <t>Fecha de Ingreso</t>
  </si>
  <si>
    <t>Puesto Real</t>
  </si>
  <si>
    <t>CC Real</t>
  </si>
  <si>
    <t>Unidad Real</t>
  </si>
  <si>
    <t>08869374</t>
  </si>
  <si>
    <t>0000F00015</t>
  </si>
  <si>
    <t>PINEDA LOPEZ GLADYS DIANA</t>
  </si>
  <si>
    <t>SI</t>
  </si>
  <si>
    <t>Contralora Regional</t>
  </si>
  <si>
    <t>Contraloría</t>
  </si>
  <si>
    <t>10287285</t>
  </si>
  <si>
    <t>0000000025</t>
  </si>
  <si>
    <t>TOULLIER ARTEAGA MIGUEL ANGEL</t>
  </si>
  <si>
    <t>Jefe de Gimnasio</t>
  </si>
  <si>
    <t>Gym &amp; Spa</t>
  </si>
  <si>
    <t>División de Habitaciones (Operaciones)</t>
  </si>
  <si>
    <t>10479259</t>
  </si>
  <si>
    <t>0000000031</t>
  </si>
  <si>
    <t>MEDINA CASTILLO ALVARO GERARDO</t>
  </si>
  <si>
    <t xml:space="preserve">Sub Gerente de A&amp;B </t>
  </si>
  <si>
    <t>Gerencia A&amp;B</t>
  </si>
  <si>
    <t>Alimentos y Bebidas</t>
  </si>
  <si>
    <t>08738298</t>
  </si>
  <si>
    <t>0000F00011</t>
  </si>
  <si>
    <t>CASTRO MORA NELLY YOLANDA</t>
  </si>
  <si>
    <t>Gerente de Compras Regional</t>
  </si>
  <si>
    <t>Compras</t>
  </si>
  <si>
    <t>09649733</t>
  </si>
  <si>
    <t>0000000037</t>
  </si>
  <si>
    <t>OBARA AVI JUAN FERNANDO</t>
  </si>
  <si>
    <t>Gerente de Compras</t>
  </si>
  <si>
    <t>06111494</t>
  </si>
  <si>
    <t>0000000086</t>
  </si>
  <si>
    <t>MOTA CASTRO JIM EDUARDO</t>
  </si>
  <si>
    <t>Auditor de Ingresos</t>
  </si>
  <si>
    <t>Auditoría de Ingresos</t>
  </si>
  <si>
    <t>09933993</t>
  </si>
  <si>
    <t>0000000116</t>
  </si>
  <si>
    <t>SARMIENTO CONTRERAS RICARDO MARTIN</t>
  </si>
  <si>
    <t>Empleado de Lavanderia</t>
  </si>
  <si>
    <t>Lavandería</t>
  </si>
  <si>
    <t>0000000232</t>
  </si>
  <si>
    <t>SALAS MENDOZA ROMULO OMAR</t>
  </si>
  <si>
    <t xml:space="preserve"> Técnico Electricista</t>
  </si>
  <si>
    <t>Mantenimiento</t>
  </si>
  <si>
    <t>07764331</t>
  </si>
  <si>
    <t>0000000251</t>
  </si>
  <si>
    <t>ORE QUIJADA ADALBERTO</t>
  </si>
  <si>
    <t>Barman</t>
  </si>
  <si>
    <t>Lobby</t>
  </si>
  <si>
    <t>09692690</t>
  </si>
  <si>
    <t>0000000269</t>
  </si>
  <si>
    <t>VEGA ARRATEA JAVIER VICTOR</t>
  </si>
  <si>
    <t>Supervisor Jr. de Steward</t>
  </si>
  <si>
    <t>Steward</t>
  </si>
  <si>
    <t>08876264</t>
  </si>
  <si>
    <t>0000000260</t>
  </si>
  <si>
    <t>SALAS PARRA MONICA</t>
  </si>
  <si>
    <t>Costurero</t>
  </si>
  <si>
    <t xml:space="preserve">Housekeeping </t>
  </si>
  <si>
    <t>03822662</t>
  </si>
  <si>
    <t>0000000282</t>
  </si>
  <si>
    <t>ACHA ZAPATA JOAQUIN ALEJANDRO</t>
  </si>
  <si>
    <t>Supervisor Senior de Control y Monitoreo</t>
  </si>
  <si>
    <t>Control y Monitoreo</t>
  </si>
  <si>
    <t>08906688</t>
  </si>
  <si>
    <t>0000000304</t>
  </si>
  <si>
    <t>LLANCA ZUÑIGA JIMMY WIELER</t>
  </si>
  <si>
    <t>Técnico de Mantenimiento</t>
  </si>
  <si>
    <t>09789487</t>
  </si>
  <si>
    <t>0000000323</t>
  </si>
  <si>
    <t>HERNANDEZ HERNANDEZ EDILBRANDO</t>
  </si>
  <si>
    <t>Supervisor de Control y Monitoreo</t>
  </si>
  <si>
    <t>09884050</t>
  </si>
  <si>
    <t>0000000345</t>
  </si>
  <si>
    <t>MARTINEZ SOTELO LUIS ENRIQUE</t>
  </si>
  <si>
    <t>Supervisor Senior de Limpieza</t>
  </si>
  <si>
    <t>Limpieza</t>
  </si>
  <si>
    <t>09457769</t>
  </si>
  <si>
    <t>0000000438</t>
  </si>
  <si>
    <t>ORELLANA GODOY MELCHORA OLINDA</t>
  </si>
  <si>
    <t>Contador</t>
  </si>
  <si>
    <t>Contabilidad</t>
  </si>
  <si>
    <t>10096345</t>
  </si>
  <si>
    <t>0000000445</t>
  </si>
  <si>
    <t>CANO VEGA ALFREDO FRAY</t>
  </si>
  <si>
    <t>Supervisor Jr. De Limpieza</t>
  </si>
  <si>
    <t>08971022</t>
  </si>
  <si>
    <t>0000000508</t>
  </si>
  <si>
    <t>VIGO MONTORO LUCIA</t>
  </si>
  <si>
    <t>Empleado de Housekeeping</t>
  </si>
  <si>
    <t>07644641</t>
  </si>
  <si>
    <t>0000000566</t>
  </si>
  <si>
    <t>FLORES RAMIREZ PERCY FERNANDO</t>
  </si>
  <si>
    <t>Asistente de Cuentas por Cobrar</t>
  </si>
  <si>
    <t>10806822</t>
  </si>
  <si>
    <t>0000000423</t>
  </si>
  <si>
    <t>UGAZ OLIVARES PALOMA</t>
  </si>
  <si>
    <t>Supervisor Senior de A&amp;B</t>
  </si>
  <si>
    <t>09398469</t>
  </si>
  <si>
    <t>0000000732</t>
  </si>
  <si>
    <t>TELLO FARFAN JAVIER ALEJANDRO</t>
  </si>
  <si>
    <t>Empleado Puesto de Control</t>
  </si>
  <si>
    <t>41108703</t>
  </si>
  <si>
    <t>0000000735</t>
  </si>
  <si>
    <t>VELIZ CHUCO WILIAN</t>
  </si>
  <si>
    <t>Jardinero</t>
  </si>
  <si>
    <t>25830800</t>
  </si>
  <si>
    <t>0000000736</t>
  </si>
  <si>
    <t>PACHAS DELGADO CARMEN ROSA</t>
  </si>
  <si>
    <t>Ejecutiva de Ventas</t>
  </si>
  <si>
    <t>Ventas</t>
  </si>
  <si>
    <t>Ventas y Marketing</t>
  </si>
  <si>
    <t>40856376</t>
  </si>
  <si>
    <t>0000000772</t>
  </si>
  <si>
    <t>CARHUANCOTA CHAVEZ ANDRES ALBERTO</t>
  </si>
  <si>
    <t>Asistente Senior de Contabilidad</t>
  </si>
  <si>
    <t>08694596</t>
  </si>
  <si>
    <t>0000000783</t>
  </si>
  <si>
    <t>QUISPE LOPEZ RICARDO</t>
  </si>
  <si>
    <t>Limpieza de Cocina</t>
  </si>
  <si>
    <t>0000000806</t>
  </si>
  <si>
    <t>TRUJILLO GARAY MONICA ALEJANDRA</t>
  </si>
  <si>
    <t>Gerente de Congresos y Convenciones</t>
  </si>
  <si>
    <t>07448369</t>
  </si>
  <si>
    <t>0000000802</t>
  </si>
  <si>
    <t>ZAMUDIO VICENTE ANTERO FERNANDO</t>
  </si>
  <si>
    <t>42354767</t>
  </si>
  <si>
    <t>0000000809</t>
  </si>
  <si>
    <t>VALDERRAMA ALVAREZ PABLO CESAR</t>
  </si>
  <si>
    <t xml:space="preserve">Supervisor Senior de Lavanderia </t>
  </si>
  <si>
    <t>09952724</t>
  </si>
  <si>
    <t>0000000834</t>
  </si>
  <si>
    <t>MUCHA ROBLES ALEJANDRO CESAR</t>
  </si>
  <si>
    <t>15356442</t>
  </si>
  <si>
    <t>0000000844</t>
  </si>
  <si>
    <t>MENDIETA SOLANO WILLIAM JESUS</t>
  </si>
  <si>
    <t>Gerente de Control y Monitero</t>
  </si>
  <si>
    <t>10093494</t>
  </si>
  <si>
    <t>0000000841</t>
  </si>
  <si>
    <t>BERRU DIAZ ALEXANDER HUMBERTO</t>
  </si>
  <si>
    <t>40263172</t>
  </si>
  <si>
    <t>0000000868</t>
  </si>
  <si>
    <t>PECHING CHIONG KARINA JANET</t>
  </si>
  <si>
    <t>Gerenta de Reservas</t>
  </si>
  <si>
    <t>Reservas</t>
  </si>
  <si>
    <t>10158051</t>
  </si>
  <si>
    <t>0000000874</t>
  </si>
  <si>
    <t>FALCON PAZ JULIAN MIGUEL ANGEL</t>
  </si>
  <si>
    <t>Banquetes</t>
  </si>
  <si>
    <t>43813442</t>
  </si>
  <si>
    <t>0000000952</t>
  </si>
  <si>
    <t>PIPA ACEVEDO RICHARD</t>
  </si>
  <si>
    <t>Carpintero</t>
  </si>
  <si>
    <t>09790217</t>
  </si>
  <si>
    <t>0000000982</t>
  </si>
  <si>
    <t>OLIVEROS AGAMA ALEX MARIANO</t>
  </si>
  <si>
    <t>Chofer</t>
  </si>
  <si>
    <t>Gerencia General</t>
  </si>
  <si>
    <t>40530952</t>
  </si>
  <si>
    <t>0000000993</t>
  </si>
  <si>
    <t>CARPIO PONCE GARY ANDRES</t>
  </si>
  <si>
    <t>Bodeguero</t>
  </si>
  <si>
    <t>Bodegas</t>
  </si>
  <si>
    <t>40073853</t>
  </si>
  <si>
    <t>0000001005</t>
  </si>
  <si>
    <t>BUENDIA LIMA NILTON HENRY</t>
  </si>
  <si>
    <t>41712577</t>
  </si>
  <si>
    <t>0000001044</t>
  </si>
  <si>
    <t>MEJIA VELASQUEZ GONSALO</t>
  </si>
  <si>
    <t>Pintor</t>
  </si>
  <si>
    <t>42283222</t>
  </si>
  <si>
    <t>0000001068</t>
  </si>
  <si>
    <t>HERRERA DELZO MARCO ANTONIO</t>
  </si>
  <si>
    <t>80041385</t>
  </si>
  <si>
    <t>0000001105</t>
  </si>
  <si>
    <t>CERRON ACUÑA JUAN MIGUEL</t>
  </si>
  <si>
    <t xml:space="preserve">Supervisor Jr. De Lavanderia </t>
  </si>
  <si>
    <t>45818643</t>
  </si>
  <si>
    <t>0000001110</t>
  </si>
  <si>
    <t>RAMIREZ MORALES CARLO MARIO</t>
  </si>
  <si>
    <t>Coordinador de Eventos</t>
  </si>
  <si>
    <t>41994040</t>
  </si>
  <si>
    <t>0000001121</t>
  </si>
  <si>
    <t>VASQUEZ MORALES MARIELA IRAIS</t>
  </si>
  <si>
    <t>Gerente de Ventas Corporativas</t>
  </si>
  <si>
    <t>77345910</t>
  </si>
  <si>
    <t>0000001377</t>
  </si>
  <si>
    <t>OBANDO MARTINS ANTHONY ALFREDO</t>
  </si>
  <si>
    <t>Capitán de Banquetes</t>
  </si>
  <si>
    <t>45463083</t>
  </si>
  <si>
    <t>0000001379</t>
  </si>
  <si>
    <t>LICAS MIGUEL LUIS ENRIQUE</t>
  </si>
  <si>
    <t>Empleado de Limpieza</t>
  </si>
  <si>
    <t>45321314</t>
  </si>
  <si>
    <t>0000001382</t>
  </si>
  <si>
    <t>TRUJILLO MILLA JOAN ELIZABETH</t>
  </si>
  <si>
    <t>40691981</t>
  </si>
  <si>
    <t>0000001222</t>
  </si>
  <si>
    <t>LESMA SANTA MARIA CHRISTIAN RAFAEL</t>
  </si>
  <si>
    <t xml:space="preserve">Chef de Banquetes </t>
  </si>
  <si>
    <t xml:space="preserve">Cocina Producción </t>
  </si>
  <si>
    <t>Cocina</t>
  </si>
  <si>
    <t>42368244</t>
  </si>
  <si>
    <t>0000001385</t>
  </si>
  <si>
    <t>SIFUENTES DIAZ MARGOT YESENIA</t>
  </si>
  <si>
    <t>Supervisor Cocina La Locanda</t>
  </si>
  <si>
    <t xml:space="preserve">Cocina La Locanda </t>
  </si>
  <si>
    <t>07538285</t>
  </si>
  <si>
    <t>0000001227</t>
  </si>
  <si>
    <t>FLORES GARCIA TEODOSIO</t>
  </si>
  <si>
    <t>09928346</t>
  </si>
  <si>
    <t>0000001244</t>
  </si>
  <si>
    <t>CUETO LOPEZ VICTOR HUGO</t>
  </si>
  <si>
    <t xml:space="preserve">Consejero Gastronómico </t>
  </si>
  <si>
    <t>Room Service</t>
  </si>
  <si>
    <t>46524399</t>
  </si>
  <si>
    <t>0000001278</t>
  </si>
  <si>
    <t>PAJUELO ANGELES FRANCOIS ERNESTO</t>
  </si>
  <si>
    <t>41381117</t>
  </si>
  <si>
    <t>0000001283</t>
  </si>
  <si>
    <t>NAVEROS CHIRINOS JULIO ALBERTO</t>
  </si>
  <si>
    <t>41712679</t>
  </si>
  <si>
    <t>0000F00041</t>
  </si>
  <si>
    <t>RIOS IGREDA DE HOLLERER CLAUDIA MAGALI</t>
  </si>
  <si>
    <t>Gerenta de Operaciones</t>
  </si>
  <si>
    <t>Operaciones</t>
  </si>
  <si>
    <t>43828971</t>
  </si>
  <si>
    <t>0000001297</t>
  </si>
  <si>
    <t>SICHA PEREZ IRIS GIOVANNA</t>
  </si>
  <si>
    <t>Supervisor Jr. De Housekeeping</t>
  </si>
  <si>
    <t>71221009</t>
  </si>
  <si>
    <t>0000001292</t>
  </si>
  <si>
    <t>CHAUCA CHAQQUERE JORDAN EDUARDO</t>
  </si>
  <si>
    <t>07622746</t>
  </si>
  <si>
    <t>0000001303</t>
  </si>
  <si>
    <t>JAIME ESTABRIDIS FELIX ROBERTO</t>
  </si>
  <si>
    <t>Preparador Fisico</t>
  </si>
  <si>
    <t>70067325</t>
  </si>
  <si>
    <t>0000001311</t>
  </si>
  <si>
    <t>DIAZ PALACIOS CELESTE MERCEDES</t>
  </si>
  <si>
    <t xml:space="preserve">Le Café </t>
  </si>
  <si>
    <t>43513749</t>
  </si>
  <si>
    <t>0000001316</t>
  </si>
  <si>
    <t>GONZALES GUERRA DANTE</t>
  </si>
  <si>
    <t>10086968</t>
  </si>
  <si>
    <t>0000001317</t>
  </si>
  <si>
    <t>OCHOA RAYME EDITH BETTY</t>
  </si>
  <si>
    <t>46411356</t>
  </si>
  <si>
    <t>0000001406</t>
  </si>
  <si>
    <t>CORDOVA ESTRADA JESUS MARTIN</t>
  </si>
  <si>
    <t>40677617</t>
  </si>
  <si>
    <t>0000001326</t>
  </si>
  <si>
    <t>POLO CASAFRANCA MARCO</t>
  </si>
  <si>
    <t>60652016</t>
  </si>
  <si>
    <t>0000001408</t>
  </si>
  <si>
    <t>GARAY SALAZAR ELLIANE ANNEL</t>
  </si>
  <si>
    <t xml:space="preserve">Supervisor Cocina Fria </t>
  </si>
  <si>
    <t>Cocina Fría</t>
  </si>
  <si>
    <t>70005695</t>
  </si>
  <si>
    <t>0000001335</t>
  </si>
  <si>
    <t>CARBAJAL BRAVO ROMMEL MARTIN</t>
  </si>
  <si>
    <t>Gerente de Turno</t>
  </si>
  <si>
    <t>Recepción</t>
  </si>
  <si>
    <t>43329158</t>
  </si>
  <si>
    <t>0000001417</t>
  </si>
  <si>
    <t>CARDENAS ALCAZABA PAOLA RAQUEL</t>
  </si>
  <si>
    <t>44118819</t>
  </si>
  <si>
    <t>0000001420</t>
  </si>
  <si>
    <t>HINOSTROZA CRUZ JOSE LUIS</t>
  </si>
  <si>
    <t>44910871</t>
  </si>
  <si>
    <t>0000001428</t>
  </si>
  <si>
    <t>CARRILLO SILVA ENRIQUE RAFAEL</t>
  </si>
  <si>
    <t>Botones</t>
  </si>
  <si>
    <t>48136066</t>
  </si>
  <si>
    <t>0000001429</t>
  </si>
  <si>
    <t>LIZARZABURU COLAN CLAUDIA IRINNA</t>
  </si>
  <si>
    <t>48198139</t>
  </si>
  <si>
    <t>0000001351</t>
  </si>
  <si>
    <t>FERNANDEZ ALBERCA JORDANS JORGE LUIS</t>
  </si>
  <si>
    <t>46421369</t>
  </si>
  <si>
    <t>0000001207</t>
  </si>
  <si>
    <t>LOZADA PAREDES LIZBETH</t>
  </si>
  <si>
    <t xml:space="preserve">Ejecutiva de Eventos </t>
  </si>
  <si>
    <t>75624465</t>
  </si>
  <si>
    <t>0000001434</t>
  </si>
  <si>
    <t>CARDENAS CARDENAS JESUS JUNIOR</t>
  </si>
  <si>
    <t>Recepcionista</t>
  </si>
  <si>
    <t>10710564</t>
  </si>
  <si>
    <t>0000000875</t>
  </si>
  <si>
    <t>COBOS GRANDA GLADYS EDITH</t>
  </si>
  <si>
    <t>Gerente de Capacitación y Desarrollo</t>
  </si>
  <si>
    <t>Personas y Cultura</t>
  </si>
  <si>
    <t>60005193</t>
  </si>
  <si>
    <t>0000001441</t>
  </si>
  <si>
    <t>ORIHUELA CARHUALLANQUI ROSMERY</t>
  </si>
  <si>
    <t>Supervisor de A&amp;B</t>
  </si>
  <si>
    <t>La Fondue</t>
  </si>
  <si>
    <t>75623367</t>
  </si>
  <si>
    <t>0000001439</t>
  </si>
  <si>
    <t>GOMEZ COBEÑA PERCY BOLIVAR</t>
  </si>
  <si>
    <t>71544844</t>
  </si>
  <si>
    <t>0000001448</t>
  </si>
  <si>
    <t>CHAVEZ LING SUSANA BETSABE</t>
  </si>
  <si>
    <t>Supervisor Pasteleria / Panadería</t>
  </si>
  <si>
    <t>Pastelería</t>
  </si>
  <si>
    <t>46333532</t>
  </si>
  <si>
    <t>0000001365</t>
  </si>
  <si>
    <t>CANCHO VELIT MARCO ANTONIO</t>
  </si>
  <si>
    <t>70022345</t>
  </si>
  <si>
    <t>0000001457</t>
  </si>
  <si>
    <t>MENDOZA LLANTAY VICTOR ANGEL</t>
  </si>
  <si>
    <t>73539255</t>
  </si>
  <si>
    <t>0000001458</t>
  </si>
  <si>
    <t>QUISPE CANCHARI JOSE ALBERTO</t>
  </si>
  <si>
    <t>46960867</t>
  </si>
  <si>
    <t>0000001462</t>
  </si>
  <si>
    <t>HUAPAYA PEREZ LUIS ANGEL</t>
  </si>
  <si>
    <t>75732420</t>
  </si>
  <si>
    <t>0000001463</t>
  </si>
  <si>
    <t>OREJUELA OLIVARES ANGELA ROSA</t>
  </si>
  <si>
    <t>Consierge</t>
  </si>
  <si>
    <t>75965593</t>
  </si>
  <si>
    <t>0000001461</t>
  </si>
  <si>
    <t>CCORAHUA PEÑA VICTOR HUGO</t>
  </si>
  <si>
    <t>001007594</t>
  </si>
  <si>
    <t>0000F00031</t>
  </si>
  <si>
    <t>VILLACIS PAREDES MARIA DE LOS ANGELES</t>
  </si>
  <si>
    <t>NA</t>
  </si>
  <si>
    <t>Directora Regional de Revenue</t>
  </si>
  <si>
    <t>Revenue</t>
  </si>
  <si>
    <t>10793198</t>
  </si>
  <si>
    <t>0000001374</t>
  </si>
  <si>
    <t>VIDAL LORENZZI FRANCO</t>
  </si>
  <si>
    <t>44260173</t>
  </si>
  <si>
    <t>0000001151</t>
  </si>
  <si>
    <t>LUNA MARIÑO FANNY ISABEL</t>
  </si>
  <si>
    <t xml:space="preserve">Jefe de Recepción </t>
  </si>
  <si>
    <t>0000001491</t>
  </si>
  <si>
    <t>GAMBONI KOIFMAN DE TENORIO SANCHO DAVI C</t>
  </si>
  <si>
    <t>Asistente de Gerencia General</t>
  </si>
  <si>
    <t>000042032</t>
  </si>
  <si>
    <t>0000F00013</t>
  </si>
  <si>
    <t>SPIELVOGEL XXXX FRANK</t>
  </si>
  <si>
    <t>Gerente General</t>
  </si>
  <si>
    <t>0000001236</t>
  </si>
  <si>
    <t>BAUTISTA CARDENAS MIGUEL ALEJANDRO</t>
  </si>
  <si>
    <t>Sub Chef</t>
  </si>
  <si>
    <t>44817223</t>
  </si>
  <si>
    <t>0000001496</t>
  </si>
  <si>
    <t>GAMARRA MARCELO TONY EISNTEIN</t>
  </si>
  <si>
    <t>02856974</t>
  </si>
  <si>
    <t>0000001501</t>
  </si>
  <si>
    <t>YAMUNAQUE CASTILLO HECTOR ARTURO</t>
  </si>
  <si>
    <t>Gerente de Sistemas</t>
  </si>
  <si>
    <t xml:space="preserve">Tecnologias de Información </t>
  </si>
  <si>
    <t>46376235</t>
  </si>
  <si>
    <t>0000001505</t>
  </si>
  <si>
    <t>PASAPERA ROMAN MANUEL ADRIAN</t>
  </si>
  <si>
    <t>Técnico Sanitario</t>
  </si>
  <si>
    <t>45809468</t>
  </si>
  <si>
    <t>0000001510</t>
  </si>
  <si>
    <t>CHAVEZ CRUZ MARITZA DINA</t>
  </si>
  <si>
    <t>44588268</t>
  </si>
  <si>
    <t>0000001511</t>
  </si>
  <si>
    <t>HINOSTROZA TOCCAS MIGUEL ANGEL</t>
  </si>
  <si>
    <t>Supervisor Cocina Producción</t>
  </si>
  <si>
    <t>76698020</t>
  </si>
  <si>
    <t>0000001512</t>
  </si>
  <si>
    <t>SAMAME MERA YOSEMAR</t>
  </si>
  <si>
    <t>Ayudante de Cocina</t>
  </si>
  <si>
    <t>74404325</t>
  </si>
  <si>
    <t>0000001513</t>
  </si>
  <si>
    <t>RODRIGUEZ ROJAS JEAN PIERRE</t>
  </si>
  <si>
    <t>Cocinero 1</t>
  </si>
  <si>
    <t>Cocina Le Café</t>
  </si>
  <si>
    <t>44247838</t>
  </si>
  <si>
    <t>0000001516</t>
  </si>
  <si>
    <t>ROQUE SILVA TANIA MARYORI</t>
  </si>
  <si>
    <t>Agente de Reservas</t>
  </si>
  <si>
    <t>42356973</t>
  </si>
  <si>
    <t>0000001520</t>
  </si>
  <si>
    <t>ROMERO ORTIZ ALEX ARGENIS</t>
  </si>
  <si>
    <t>Pastelero 1</t>
  </si>
  <si>
    <t>44543975</t>
  </si>
  <si>
    <t>0000001522</t>
  </si>
  <si>
    <t>GUIDOTTI BOSSIO OSCAR OSMAR</t>
  </si>
  <si>
    <t>46885186</t>
  </si>
  <si>
    <t>0000001527</t>
  </si>
  <si>
    <t>MECHATO VILCAPOMA MARCIA LUISA</t>
  </si>
  <si>
    <t>44673548</t>
  </si>
  <si>
    <t>0000001529</t>
  </si>
  <si>
    <t>VILCHEZ QUISPE SHEILLA FIORELLA</t>
  </si>
  <si>
    <t>Team Leader de Banquetes</t>
  </si>
  <si>
    <t>76211885</t>
  </si>
  <si>
    <t>0000001539</t>
  </si>
  <si>
    <t>HERRERA SOLIS CLAUDIA DANIELA FELICITA</t>
  </si>
  <si>
    <t>Restaurant Manager</t>
  </si>
  <si>
    <t xml:space="preserve">La Locanda </t>
  </si>
  <si>
    <t>74649557</t>
  </si>
  <si>
    <t>0000001542</t>
  </si>
  <si>
    <t>RODRIGUEZ ESPINOZA CYANE MILAGROS</t>
  </si>
  <si>
    <t>Piso Ejecutivo</t>
  </si>
  <si>
    <t>72266940</t>
  </si>
  <si>
    <t>0000001540</t>
  </si>
  <si>
    <t>VARGAS VILCA ANA GABRIELA</t>
  </si>
  <si>
    <t>43860201</t>
  </si>
  <si>
    <t>0000001546</t>
  </si>
  <si>
    <t>ALCANTARA RONDO SERGIO MANUEL</t>
  </si>
  <si>
    <t>40728257</t>
  </si>
  <si>
    <t>0000001548</t>
  </si>
  <si>
    <t>QUINTANA TALLEDO ANGELA VIRGINIA</t>
  </si>
  <si>
    <t>45933007</t>
  </si>
  <si>
    <t>0000001551</t>
  </si>
  <si>
    <t>ABAD PALOMINO BRYAN DEIVY</t>
  </si>
  <si>
    <t>40611017</t>
  </si>
  <si>
    <t>0000001553</t>
  </si>
  <si>
    <t>DAVILA GUERRERO DIANA MARIELLA</t>
  </si>
  <si>
    <t xml:space="preserve">Ejecutiva de Ventas Senior </t>
  </si>
  <si>
    <t>74602111</t>
  </si>
  <si>
    <t>0000001552</t>
  </si>
  <si>
    <t>ZARATE CHACON LUZ ANGELINA</t>
  </si>
  <si>
    <t>Panadero 1</t>
  </si>
  <si>
    <t>45138069</t>
  </si>
  <si>
    <t>0000001554</t>
  </si>
  <si>
    <t>BASILIO HERRERA JUAN RONALD</t>
  </si>
  <si>
    <t>43007664</t>
  </si>
  <si>
    <t>0000001557</t>
  </si>
  <si>
    <t>CARBAJAL SANDOVAL KARIN GEORGHET</t>
  </si>
  <si>
    <t>Enfermera</t>
  </si>
  <si>
    <t>74828393</t>
  </si>
  <si>
    <t>0000P00622</t>
  </si>
  <si>
    <t>RAMIREZ MARTINEZ ABIGAIL ROXANA</t>
  </si>
  <si>
    <t>Practicante de Cocina</t>
  </si>
  <si>
    <t>10791102</t>
  </si>
  <si>
    <t>0000001426</t>
  </si>
  <si>
    <t>RODRIGUEZ MELGAREJO FRANCISCO JAVIER</t>
  </si>
  <si>
    <t>72169288</t>
  </si>
  <si>
    <t>0000001561</t>
  </si>
  <si>
    <t>NEVES ESPINOZA LUIS ALEJANDRO</t>
  </si>
  <si>
    <t>74759968</t>
  </si>
  <si>
    <t>0000001564</t>
  </si>
  <si>
    <t>CANTARO NOLASCO OMAR</t>
  </si>
  <si>
    <t>Técnico Mecánico Sanitario</t>
  </si>
  <si>
    <t>74815152</t>
  </si>
  <si>
    <t>0000001566</t>
  </si>
  <si>
    <t>GARCIA POEMAPE JANKO ALBERTO</t>
  </si>
  <si>
    <t>46380959</t>
  </si>
  <si>
    <t>0000001568</t>
  </si>
  <si>
    <t>BAGLIETTO ROJAS PIERO GIOVANI</t>
  </si>
  <si>
    <t>Jefe de Revenue</t>
  </si>
  <si>
    <t>74722987</t>
  </si>
  <si>
    <t>0000001570</t>
  </si>
  <si>
    <t>COLLACHAGUA DIMAS PAOLA VALERIA</t>
  </si>
  <si>
    <t>Cocinero 2</t>
  </si>
  <si>
    <t>71337245</t>
  </si>
  <si>
    <t>0000001575</t>
  </si>
  <si>
    <t>ABANTO CARRANZA ANDREA SOFIA</t>
  </si>
  <si>
    <t>09961825</t>
  </si>
  <si>
    <t>0000001576</t>
  </si>
  <si>
    <t>MARQUEZ GODOY LUIS ANGEL</t>
  </si>
  <si>
    <t>Analista de Seguridad y Salud en el Trabajo</t>
  </si>
  <si>
    <t>Seguridad y Salud en el Trabajo</t>
  </si>
  <si>
    <t>75141101</t>
  </si>
  <si>
    <t>0000001578</t>
  </si>
  <si>
    <t>ALFARO RODRIGUEZ  JESUS JEAN PIERRE</t>
  </si>
  <si>
    <t>0000001577</t>
  </si>
  <si>
    <t>RAFAELO LORENZO ANA ROSA</t>
  </si>
  <si>
    <t>76621194</t>
  </si>
  <si>
    <t>0000001581</t>
  </si>
  <si>
    <t>GARAUNDO MEZA DAYANNA ZARELA</t>
  </si>
  <si>
    <t>75521197</t>
  </si>
  <si>
    <t>0000001580</t>
  </si>
  <si>
    <t>RAMOS MAGAN HANNA GRACE</t>
  </si>
  <si>
    <t>43775267</t>
  </si>
  <si>
    <t>0000001593</t>
  </si>
  <si>
    <t>GAMBOA FERNANDEZ HENRY</t>
  </si>
  <si>
    <t>75439914</t>
  </si>
  <si>
    <t>0000001592</t>
  </si>
  <si>
    <t>LUDEÑA MESTANZA CARLOS ALFONSO</t>
  </si>
  <si>
    <t>72786745</t>
  </si>
  <si>
    <t>0000001589</t>
  </si>
  <si>
    <t>ZETA NAQUICHE ESTHER MARIA</t>
  </si>
  <si>
    <t>74648043</t>
  </si>
  <si>
    <t>0000001590</t>
  </si>
  <si>
    <t>QUISPE DOMINGUEZ FABRIZIO AMADOR</t>
  </si>
  <si>
    <t>74915395</t>
  </si>
  <si>
    <t>0000P00661</t>
  </si>
  <si>
    <t>ORELLANA CHIPANA MARTIN SANTIAGO</t>
  </si>
  <si>
    <t>Practicante de Contabilidad</t>
  </si>
  <si>
    <t>72039132</t>
  </si>
  <si>
    <t>0000001596</t>
  </si>
  <si>
    <t>GARCIA HERRERA YAZMIN MILAGROS</t>
  </si>
  <si>
    <t>75206333</t>
  </si>
  <si>
    <t>0000P00696</t>
  </si>
  <si>
    <t>AGURTO RIVEROS ASTHRID SHANTHAL</t>
  </si>
  <si>
    <t>Practicante de Alimentos y Bebidas</t>
  </si>
  <si>
    <t>76224369</t>
  </si>
  <si>
    <t>0000P00708</t>
  </si>
  <si>
    <t>CLOUTIER GALVEZ ALEXANDRA JESUS</t>
  </si>
  <si>
    <t>72111568</t>
  </si>
  <si>
    <t>0000001599</t>
  </si>
  <si>
    <t>HERNANDEZ HERRERA FARID SEBASTIAN</t>
  </si>
  <si>
    <t>75674022</t>
  </si>
  <si>
    <t>0000001602</t>
  </si>
  <si>
    <t>FLORES CAMPOS SILVIA MILAGROS</t>
  </si>
  <si>
    <t>0000001605</t>
  </si>
  <si>
    <t>ALEGRE ANGELES FERNANDA LUCIA</t>
  </si>
  <si>
    <t>Jefa de Aseguramiento de Calidad</t>
  </si>
  <si>
    <t>Calidad</t>
  </si>
  <si>
    <t>46704334</t>
  </si>
  <si>
    <t>0000001610</t>
  </si>
  <si>
    <t>LOAYZA FLORES KATHERINE</t>
  </si>
  <si>
    <t>47995897</t>
  </si>
  <si>
    <t>0000001611</t>
  </si>
  <si>
    <t>MORALES APONTE FRANK CARLO</t>
  </si>
  <si>
    <t>Recepcionista Gym &amp; Spa</t>
  </si>
  <si>
    <t>70764459</t>
  </si>
  <si>
    <t>0000001613</t>
  </si>
  <si>
    <t>CASTILLO COTRINA JANER WILSON</t>
  </si>
  <si>
    <t>70910414</t>
  </si>
  <si>
    <t>0000001622</t>
  </si>
  <si>
    <t>SARAVIA LOAYZA FANNY GABRIELA</t>
  </si>
  <si>
    <t>76047157</t>
  </si>
  <si>
    <t>0000001617</t>
  </si>
  <si>
    <t>CAJO HUAMAN DAVID</t>
  </si>
  <si>
    <t>75915801</t>
  </si>
  <si>
    <t>0000001629</t>
  </si>
  <si>
    <t>SEGOVIA CRISPIN XAVIER ALONSO</t>
  </si>
  <si>
    <t>Asistente de Contabilidad</t>
  </si>
  <si>
    <t>75651754</t>
  </si>
  <si>
    <t>0000001630</t>
  </si>
  <si>
    <t>LLAUCE VIDAURRE CRISTHIAN JUNIOR</t>
  </si>
  <si>
    <t>72787160</t>
  </si>
  <si>
    <t>0000001628</t>
  </si>
  <si>
    <t>VERGARA MORENO YADELIN ANAHI</t>
  </si>
  <si>
    <t>42581170</t>
  </si>
  <si>
    <t>0000001633</t>
  </si>
  <si>
    <t>FARFAN SANTIAGO GINO PAOLI</t>
  </si>
  <si>
    <t>45216654</t>
  </si>
  <si>
    <t>0000001638</t>
  </si>
  <si>
    <t>GUERRERO MORALES YOSET GABRIEL</t>
  </si>
  <si>
    <t>46478745</t>
  </si>
  <si>
    <t>0000001641</t>
  </si>
  <si>
    <t>REYES TITO CRISTIAN BRUNO</t>
  </si>
  <si>
    <t>70549038</t>
  </si>
  <si>
    <t>0000001642</t>
  </si>
  <si>
    <t>BECERRIL YUMPE JHON ERICK</t>
  </si>
  <si>
    <t>46753168</t>
  </si>
  <si>
    <t>0000001643</t>
  </si>
  <si>
    <t>SANCHEZ CASTILLO CLEMENTE</t>
  </si>
  <si>
    <t>71095640</t>
  </si>
  <si>
    <t>0000001645</t>
  </si>
  <si>
    <t>MACHUCA ARANA  DANNY ALFREDO</t>
  </si>
  <si>
    <t>73240904</t>
  </si>
  <si>
    <t>0000001646</t>
  </si>
  <si>
    <t>GUTIERREZ OYARDO ANGELA GEORGINA</t>
  </si>
  <si>
    <t>45089994</t>
  </si>
  <si>
    <t>0000001647</t>
  </si>
  <si>
    <t>RETO VELASQUEZ ALEXIS</t>
  </si>
  <si>
    <t>15641243</t>
  </si>
  <si>
    <t>0000001648</t>
  </si>
  <si>
    <t>CHAFALOTE MAURICIO CESAR HUGO</t>
  </si>
  <si>
    <t>77923958</t>
  </si>
  <si>
    <t>0000001649</t>
  </si>
  <si>
    <t>ROBLES CRIOLLO JESUS MANUEL</t>
  </si>
  <si>
    <t>74239086</t>
  </si>
  <si>
    <t>0000001650</t>
  </si>
  <si>
    <t>TAIPE GUARNIZO CARLOS MAURICIO</t>
  </si>
  <si>
    <t>71241983</t>
  </si>
  <si>
    <t>0000001651</t>
  </si>
  <si>
    <t>NUÑEZ CARDENAS VIVIANA LUZ</t>
  </si>
  <si>
    <t>72796484</t>
  </si>
  <si>
    <t>0000001653</t>
  </si>
  <si>
    <t>CANO AGUILAR KARINA MIA</t>
  </si>
  <si>
    <t>73217667</t>
  </si>
  <si>
    <t>0000001655</t>
  </si>
  <si>
    <t>PUMA VELARDE ANGEL MARTIN</t>
  </si>
  <si>
    <t>46759006</t>
  </si>
  <si>
    <t>0000001657</t>
  </si>
  <si>
    <t>REYES MANRIQUE EVELYNNE DAISY</t>
  </si>
  <si>
    <t>Pastelero 2</t>
  </si>
  <si>
    <t>40029121</t>
  </si>
  <si>
    <t>0000001660</t>
  </si>
  <si>
    <t>JAIME CASTILLO MIGUEL ANGEL</t>
  </si>
  <si>
    <t>41625652</t>
  </si>
  <si>
    <t>0000001661</t>
  </si>
  <si>
    <t>PEREZ VILCA WILLIAM FRANK</t>
  </si>
  <si>
    <t>45987182</t>
  </si>
  <si>
    <t>0000F00047</t>
  </si>
  <si>
    <t>TEJADA RIVEROS DIEGO JOEL</t>
  </si>
  <si>
    <t>Gerente de Personas y Cultura</t>
  </si>
  <si>
    <t>75693785</t>
  </si>
  <si>
    <t>0000001662</t>
  </si>
  <si>
    <t>CHAHUA SALAZAR ISAAC</t>
  </si>
  <si>
    <t>75896895</t>
  </si>
  <si>
    <t>0000001659</t>
  </si>
  <si>
    <t>IBAÑEZ ALAYO ANDREA FIORELLA</t>
  </si>
  <si>
    <t>72861241</t>
  </si>
  <si>
    <t>0000P00506</t>
  </si>
  <si>
    <t>TRONCOS REQUEJO MELANIE ALICIA</t>
  </si>
  <si>
    <t>Practicante Administrativo de Cocina</t>
  </si>
  <si>
    <t>41302115</t>
  </si>
  <si>
    <t>0000001663</t>
  </si>
  <si>
    <t>LLACSAHUANGA VALENCIA EDITH</t>
  </si>
  <si>
    <t>Jefe de Housekeeping</t>
  </si>
  <si>
    <t>71335209</t>
  </si>
  <si>
    <t>0000001665</t>
  </si>
  <si>
    <t>SALAS AGUILAR CARLA INES ALEJANDRA</t>
  </si>
  <si>
    <t>Ayudante de Pasteleria</t>
  </si>
  <si>
    <t>75644838</t>
  </si>
  <si>
    <t>0000P00721</t>
  </si>
  <si>
    <t>CUNYA ROSALES PIERO YAMPOL</t>
  </si>
  <si>
    <t>70930637</t>
  </si>
  <si>
    <t>0000P00729</t>
  </si>
  <si>
    <t>LEON GUERRERO GERMAN ALEJANDRO</t>
  </si>
  <si>
    <t>70553034</t>
  </si>
  <si>
    <t>0000P00723</t>
  </si>
  <si>
    <t>LAZO CHIPANA CESAR AUGUSTO</t>
  </si>
  <si>
    <t>72163489</t>
  </si>
  <si>
    <t>0000P00722</t>
  </si>
  <si>
    <t>FABIAN ARCE ANGEL POOL</t>
  </si>
  <si>
    <t>76335323</t>
  </si>
  <si>
    <t>0000P00725</t>
  </si>
  <si>
    <t>VEGA RODRIGUEZ ALBERTO ALEX</t>
  </si>
  <si>
    <t>76204111</t>
  </si>
  <si>
    <t>0000001670</t>
  </si>
  <si>
    <t>CARRERA PALACIOS ROSALIA RENE</t>
  </si>
  <si>
    <t>Asistente de Personas y Cultura</t>
  </si>
  <si>
    <t>46792349</t>
  </si>
  <si>
    <t>0000001671</t>
  </si>
  <si>
    <t>SANCHEZ ESPINOZA JEFF ANTHONY</t>
  </si>
  <si>
    <t>70421223</t>
  </si>
  <si>
    <t>0000001672</t>
  </si>
  <si>
    <t>CANDIA CUETO NORA MARILIN</t>
  </si>
  <si>
    <t>76800788</t>
  </si>
  <si>
    <t>0000001674</t>
  </si>
  <si>
    <t>OBREGON HUAMACCTO JUNIOR DONACIANO</t>
  </si>
  <si>
    <t>0000P00734</t>
  </si>
  <si>
    <t>CHASQUIBOL DAZA CARLOS JHAIR</t>
  </si>
  <si>
    <t>0000P00733</t>
  </si>
  <si>
    <t>ASENCIOS RAMIREZ CIELO MARYORY</t>
  </si>
  <si>
    <t>76560398</t>
  </si>
  <si>
    <t>0000001675</t>
  </si>
  <si>
    <t>VENTURA CAJUSOL SOFIA AZUCENA</t>
  </si>
  <si>
    <t>75672257</t>
  </si>
  <si>
    <t>0000001676</t>
  </si>
  <si>
    <t>MARIN ARIAS CAMILA BELEN</t>
  </si>
  <si>
    <t>0000001677</t>
  </si>
  <si>
    <t>CCOÑAS VARGAS ISMAEL JEAN PIERRE</t>
  </si>
  <si>
    <t>45425723</t>
  </si>
  <si>
    <t>0000001678</t>
  </si>
  <si>
    <t>GUERRERO BOLAÑOS SONIBEL SOFIA</t>
  </si>
  <si>
    <t>42793009</t>
  </si>
  <si>
    <t>0000001682</t>
  </si>
  <si>
    <t>ESTEBAN SOTO SOLANO FELIS</t>
  </si>
  <si>
    <t>43268860</t>
  </si>
  <si>
    <t>0000001681</t>
  </si>
  <si>
    <t>FERNANDEZ CHOQUECAHUA MOISES</t>
  </si>
  <si>
    <t>Kenfix</t>
  </si>
  <si>
    <t>75533912</t>
  </si>
  <si>
    <t>0000001680</t>
  </si>
  <si>
    <t>UGARTE MENDOZA GABRIELA XIMENA</t>
  </si>
  <si>
    <t>76095410</t>
  </si>
  <si>
    <t>0000001683</t>
  </si>
  <si>
    <t>DE DIOS VALENCIA JOSE ANTONIO</t>
  </si>
  <si>
    <t>0000001685</t>
  </si>
  <si>
    <t>CUCHO MATURRANO JUAN GABRIEL</t>
  </si>
  <si>
    <t>0000001686</t>
  </si>
  <si>
    <t>CALDERÓN MEDRANO OSCAR ENRIQUE</t>
  </si>
  <si>
    <t>40427416</t>
  </si>
  <si>
    <t>0000001688</t>
  </si>
  <si>
    <t>DURAN HUACCHA SAMUEL</t>
  </si>
  <si>
    <t>Panadero 2</t>
  </si>
  <si>
    <t>0000001691</t>
  </si>
  <si>
    <t>HUAMAN CHAVARRY JOSE MARTIN</t>
  </si>
  <si>
    <t>0000001693</t>
  </si>
  <si>
    <t>CAMPOS RIOS JUAN CARLOS</t>
  </si>
  <si>
    <t>0000001692</t>
  </si>
  <si>
    <t>ZELADA MONDRAGON KEYNER RIMERZON</t>
  </si>
  <si>
    <t>0000001695</t>
  </si>
  <si>
    <t>QUIJANO ALMERCO LUIS ANTONI</t>
  </si>
  <si>
    <t>0000001698</t>
  </si>
  <si>
    <t>BAZAN CRUZ MARCIA ANGELA</t>
  </si>
  <si>
    <t>Gerente de Grupos y Eventos</t>
  </si>
  <si>
    <t>0000P00739</t>
  </si>
  <si>
    <t>DUEÑAS ISMODES NICOLAS ALEJANDRO</t>
  </si>
  <si>
    <t>Practicante de Pasteleria</t>
  </si>
  <si>
    <t>0000P00737</t>
  </si>
  <si>
    <t>PALOMINO PONCE ALISON DAMIZU</t>
  </si>
  <si>
    <t>0000P00738</t>
  </si>
  <si>
    <t>MALUQUI MERELLO ANGIE POLETTE</t>
  </si>
  <si>
    <t>0000001702</t>
  </si>
  <si>
    <t>CHAVEZ RAMOS ENRIQUE JAIME</t>
  </si>
  <si>
    <t>0000001697</t>
  </si>
  <si>
    <t>NOVOA ZACIGA MEY-LIN</t>
  </si>
  <si>
    <t>0000001699</t>
  </si>
  <si>
    <t>LOAYZA LEÓN JORGE AMÉRICO</t>
  </si>
  <si>
    <t>0000001700</t>
  </si>
  <si>
    <t>CAMPO RIVAS JOEL ANDERSON</t>
  </si>
  <si>
    <t>48061918</t>
  </si>
  <si>
    <t>0000001707</t>
  </si>
  <si>
    <t>HUAMANI RUIZ XIOMY XIBELLY</t>
  </si>
  <si>
    <t>75856599</t>
  </si>
  <si>
    <t>0000001703</t>
  </si>
  <si>
    <t>TORRES  LITANO ABIGAIL JHAJAIRA</t>
  </si>
  <si>
    <t>73114674</t>
  </si>
  <si>
    <t>0000001706</t>
  </si>
  <si>
    <t>SIPION MARAVI NICOLAS EDGARDO</t>
  </si>
  <si>
    <t>47840820</t>
  </si>
  <si>
    <t>0000001708</t>
  </si>
  <si>
    <t>PALACIOS CULQUI THALIA YARIM</t>
  </si>
  <si>
    <t>Jefe de Marketing</t>
  </si>
  <si>
    <t>Marketing</t>
  </si>
  <si>
    <t>009109508</t>
  </si>
  <si>
    <t>0000F00049</t>
  </si>
  <si>
    <t>LOPEZ PEREZ JUAN</t>
  </si>
  <si>
    <t>Chef Ejecutivo</t>
  </si>
  <si>
    <t>0000001709</t>
  </si>
  <si>
    <t>HUAMAN NUÑUBERO ROSARIO NICOLE</t>
  </si>
  <si>
    <t>Recepcionista Back Office</t>
  </si>
  <si>
    <t>0000001712</t>
  </si>
  <si>
    <t>RAMIREZ CERVANTES ALFREDO JAHIR MARTIN</t>
  </si>
  <si>
    <t>0000001713</t>
  </si>
  <si>
    <t>TISNADO MEGO LEIDER ALFONZO</t>
  </si>
  <si>
    <t>Encargado de Costos</t>
  </si>
  <si>
    <t>0000001711</t>
  </si>
  <si>
    <t>GARAY SUAREZ GUSTAVO JORDAN</t>
  </si>
  <si>
    <t>0000001717</t>
  </si>
  <si>
    <t>QUISPILAYA FACHE DIANA KATHERINE</t>
  </si>
  <si>
    <t>74086738</t>
  </si>
  <si>
    <t>0000001721</t>
  </si>
  <si>
    <t>TINAJEROS PALOMINO EDUARDO FRANCO</t>
  </si>
  <si>
    <t>73264283</t>
  </si>
  <si>
    <t>0000001722</t>
  </si>
  <si>
    <t>RIOJAS  PATIÑO CAMILA VALENTINA</t>
  </si>
  <si>
    <t>0000001718</t>
  </si>
  <si>
    <t>MAMANI LEON DIANA MILAGROS</t>
  </si>
  <si>
    <t>0000001720</t>
  </si>
  <si>
    <t>RAMIREZ MATTA ADRIANA ROCIO</t>
  </si>
  <si>
    <t>0000001714</t>
  </si>
  <si>
    <t>WONG COM MICHELLE ANDREA</t>
  </si>
  <si>
    <t>74209452</t>
  </si>
  <si>
    <t>0000P00625</t>
  </si>
  <si>
    <t>HUAYAMA INGAROCA MERCEDES GRACIELA</t>
  </si>
  <si>
    <t>0000001723</t>
  </si>
  <si>
    <t>AGUSTIN ALVAREZ JERICHO CHRIS</t>
  </si>
  <si>
    <t>70311894</t>
  </si>
  <si>
    <t>0000001725</t>
  </si>
  <si>
    <t>SABOYA CEOPA PERCY</t>
  </si>
  <si>
    <t>0000001724</t>
  </si>
  <si>
    <t>BARCO RIVERA MILAGROS ANTONELLA</t>
  </si>
  <si>
    <t>0000001726</t>
  </si>
  <si>
    <t>GARCIA OLIVA GRISEL</t>
  </si>
  <si>
    <t>Ejecutiva de Ventas Leisure</t>
  </si>
  <si>
    <t>46694646</t>
  </si>
  <si>
    <t>0000001727</t>
  </si>
  <si>
    <t>ANCALLE GABRIEL RENZZO PETER</t>
  </si>
  <si>
    <t>76504169</t>
  </si>
  <si>
    <t>0000001728</t>
  </si>
  <si>
    <t>CENCIA PUMA AYDAN</t>
  </si>
  <si>
    <t>Ayudante de Panadería</t>
  </si>
  <si>
    <t>77270833</t>
  </si>
  <si>
    <t>0000P00743</t>
  </si>
  <si>
    <t>DIAZ CUBAS NIKC SALVADOR</t>
  </si>
  <si>
    <t>0000F00050</t>
  </si>
  <si>
    <t>JARA RISCO GINO</t>
  </si>
  <si>
    <t>75489506</t>
  </si>
  <si>
    <t>0000001729</t>
  </si>
  <si>
    <t>REYNOSO TRIBEÑO CLARA VIVIANA</t>
  </si>
  <si>
    <t>no</t>
  </si>
  <si>
    <t>72493576</t>
  </si>
  <si>
    <t>0000001730</t>
  </si>
  <si>
    <t>QUISPE MANSILLA ERICK MAURICIO</t>
  </si>
  <si>
    <t>0000001734</t>
  </si>
  <si>
    <t>MANZANO MARTEL GHULIANA VANESA</t>
  </si>
  <si>
    <t>Asistenta social</t>
  </si>
  <si>
    <t>0000001731</t>
  </si>
  <si>
    <t>PINTO MURO ROBERTO CARLOS</t>
  </si>
  <si>
    <t>0000001732</t>
  </si>
  <si>
    <t>FIGUEROA IGNACIO ANGEL JESUS ENRIQUE</t>
  </si>
  <si>
    <t>0000P00744</t>
  </si>
  <si>
    <t>AGURTO TARAZONA SEBASTIAN HECTOR</t>
  </si>
  <si>
    <t>0000001735</t>
  </si>
  <si>
    <t>INFANTE LIZANO VANESSA DEL ROSARIO</t>
  </si>
  <si>
    <t>0000001736</t>
  </si>
  <si>
    <t>SALINAS TORRES NOE</t>
  </si>
  <si>
    <t>Analista de Sistemas</t>
  </si>
  <si>
    <t>LIMSMGCC</t>
  </si>
  <si>
    <t>Epson</t>
  </si>
  <si>
    <t>XBJZ017602</t>
  </si>
  <si>
    <t>10.72.8.200</t>
  </si>
  <si>
    <t xml:space="preserve">
A4:D7:3C:6F:E2:D0</t>
  </si>
  <si>
    <t>EPSON6FE2D0</t>
  </si>
  <si>
    <t>WF-C5890 Series</t>
  </si>
  <si>
    <t>10.72.8.132</t>
  </si>
  <si>
    <t>WF-C5790 Series</t>
  </si>
  <si>
    <t>9C:AE:D3:AD:20:FE</t>
  </si>
  <si>
    <t>EPSONAD20FE</t>
  </si>
  <si>
    <t>X3B7003661</t>
  </si>
  <si>
    <t>10.72.8.229</t>
  </si>
  <si>
    <t>A4:D7:3C:6F:E1:2A</t>
  </si>
  <si>
    <t>EPSON6FE12A</t>
  </si>
  <si>
    <t>10.72.8.151</t>
  </si>
  <si>
    <t>A4:D7:3C:72:F2:76</t>
  </si>
  <si>
    <t>10.72.8.210</t>
  </si>
  <si>
    <t>EPSON72F276</t>
  </si>
  <si>
    <t>10.72.8.197</t>
  </si>
  <si>
    <t>9C:AE:D3:AD:21:00</t>
  </si>
  <si>
    <t>EPSONAD2100</t>
  </si>
  <si>
    <t>10.9.10.153</t>
  </si>
  <si>
    <t>9C:AE:D3:AD:20:F0</t>
  </si>
  <si>
    <t>EPSONAD20F0</t>
  </si>
  <si>
    <t>10.72.8.191</t>
  </si>
  <si>
    <t>9C:AE:D3:AC:4D:78</t>
  </si>
  <si>
    <t>EPSONAC4D78</t>
  </si>
  <si>
    <t>10.72.8.203</t>
  </si>
  <si>
    <t>WF-C869R Series</t>
  </si>
  <si>
    <t>EPSON27359D</t>
  </si>
  <si>
    <t>10.72.8.215</t>
  </si>
  <si>
    <t>Canon</t>
  </si>
  <si>
    <t xml:space="preserve">imageRUNNER1730i	</t>
  </si>
  <si>
    <t>QFX06245</t>
  </si>
  <si>
    <t>10.72.8.205</t>
  </si>
  <si>
    <t>10.72.8.211</t>
  </si>
  <si>
    <t>QFX05353</t>
  </si>
  <si>
    <t>QFX06116</t>
  </si>
  <si>
    <t>10.72.8.153</t>
  </si>
  <si>
    <t>10.72.8.196</t>
  </si>
  <si>
    <t>10.72.8.208</t>
  </si>
  <si>
    <t>10.72.8.219</t>
  </si>
  <si>
    <t>10.72.8.204</t>
  </si>
  <si>
    <t>10.72.8.220</t>
  </si>
  <si>
    <t>10.72.10.43</t>
  </si>
  <si>
    <t>9C:AE:D3:AD:21:72</t>
  </si>
  <si>
    <t>EPSONAD2172</t>
  </si>
  <si>
    <t>10.72.8.206</t>
  </si>
  <si>
    <t>9C:AE:D3:AD:21:3F</t>
  </si>
  <si>
    <t>EPSONAD213F</t>
  </si>
  <si>
    <t>X3B7003712</t>
  </si>
  <si>
    <t>EPSONAD092F</t>
  </si>
  <si>
    <t>9C:AE:D3:AD:09:2F</t>
  </si>
  <si>
    <t>X3B7003660</t>
  </si>
  <si>
    <t>9C:AE:D3:AD:20:FF</t>
  </si>
  <si>
    <t>EPSONAD20FF</t>
  </si>
  <si>
    <t>A4:D7:3C:70:EF:10</t>
  </si>
  <si>
    <t>EPSON70EF10</t>
  </si>
  <si>
    <t>A4:D7:3C:6F:E3:B7</t>
  </si>
  <si>
    <t>EPSON6FE3B7</t>
  </si>
  <si>
    <t>EPSONAD212C</t>
  </si>
  <si>
    <t>9C:AE:D3:AD:21:2C</t>
  </si>
  <si>
    <t>XBJZ017266</t>
  </si>
  <si>
    <t>10.72.8.207</t>
  </si>
  <si>
    <t>XBJZ027512</t>
  </si>
  <si>
    <t>X3B7003659</t>
  </si>
  <si>
    <t>X3B7003703</t>
  </si>
  <si>
    <t>X3B7002433</t>
  </si>
  <si>
    <t>X3B7003711</t>
  </si>
  <si>
    <t>XBJZ017603</t>
  </si>
  <si>
    <t>X3B7003671</t>
  </si>
  <si>
    <t>X3B7003876</t>
  </si>
  <si>
    <t>X3B7003739</t>
  </si>
  <si>
    <t>GK2QN22</t>
  </si>
  <si>
    <t>LIMFBSW</t>
  </si>
  <si>
    <t>B0-83-FE-5E-93-F0</t>
  </si>
  <si>
    <t>1er Sotano - RRHH - Sistemas</t>
  </si>
  <si>
    <t>1er Sotano - Steward - Limpieza</t>
  </si>
  <si>
    <t>1er Sotano - Housekeeping</t>
  </si>
  <si>
    <t>2do Piso - Oficina Banquetes</t>
  </si>
  <si>
    <t>1er Piso - Front Desk - Recepción</t>
  </si>
  <si>
    <t>1er Piso - Oficina Chef</t>
  </si>
  <si>
    <t>1er Piso - Room Service</t>
  </si>
  <si>
    <t>1er Piso - Oficina AyB</t>
  </si>
  <si>
    <t>9C:AE:DE:AD:21:38</t>
  </si>
  <si>
    <t xml:space="preserve"> </t>
  </si>
  <si>
    <t>Prodesk 600 G1</t>
  </si>
  <si>
    <t>E1Z55LT#ABM</t>
  </si>
  <si>
    <t>MXL4321BFN</t>
  </si>
  <si>
    <t>GJQGN22</t>
  </si>
  <si>
    <t>B0-83-FE-5E-9D-9F</t>
  </si>
  <si>
    <t>LIM</t>
  </si>
  <si>
    <t>SM</t>
  </si>
  <si>
    <t>Gerente de Ventas</t>
  </si>
  <si>
    <t>Gerente de Eventos</t>
  </si>
  <si>
    <t>Diseñador</t>
  </si>
  <si>
    <t>Accounting</t>
  </si>
  <si>
    <t>ACC</t>
  </si>
  <si>
    <t>GG</t>
  </si>
  <si>
    <t>Food &amp; Beverage</t>
  </si>
  <si>
    <t>FB</t>
  </si>
  <si>
    <t>Consola &amp; Monitoreo</t>
  </si>
  <si>
    <t>CM</t>
  </si>
  <si>
    <t>RD</t>
  </si>
  <si>
    <t>Purchasing</t>
  </si>
  <si>
    <t>PU</t>
  </si>
  <si>
    <t>Engineering</t>
  </si>
  <si>
    <t>EN</t>
  </si>
  <si>
    <t>Human Resources</t>
  </si>
  <si>
    <t>HR</t>
  </si>
  <si>
    <t>Information Technology</t>
  </si>
  <si>
    <t>IT</t>
  </si>
  <si>
    <t>Siglas Ciudad</t>
  </si>
  <si>
    <t>Siglas del Area</t>
  </si>
  <si>
    <t>Siglas Cargo # Equipo</t>
  </si>
  <si>
    <t>GTI</t>
  </si>
  <si>
    <t>Gerente IT</t>
  </si>
  <si>
    <t>DR</t>
  </si>
  <si>
    <t>Sale Manager</t>
  </si>
  <si>
    <t>Directora Revenue</t>
  </si>
  <si>
    <t>GV</t>
  </si>
  <si>
    <t>GE</t>
  </si>
  <si>
    <t>JM</t>
  </si>
  <si>
    <t>DS</t>
  </si>
  <si>
    <t>CE</t>
  </si>
  <si>
    <t>EV</t>
  </si>
  <si>
    <t>Ejecutiva Ventas</t>
  </si>
  <si>
    <t>RS</t>
  </si>
  <si>
    <t>RV</t>
  </si>
  <si>
    <t>Room Divisions</t>
  </si>
  <si>
    <t>GCC</t>
  </si>
  <si>
    <t>Gerente Congreso y Convenciones</t>
  </si>
  <si>
    <t>SW</t>
  </si>
  <si>
    <t>FINANZAS</t>
  </si>
  <si>
    <t>FIN</t>
  </si>
  <si>
    <t>B0-83-FE-5E-E5-BC</t>
  </si>
  <si>
    <t>10.72.8.39</t>
  </si>
  <si>
    <t>10.72.8.56</t>
  </si>
  <si>
    <t>10.72.8.182</t>
  </si>
  <si>
    <t>10.72.8.183</t>
  </si>
  <si>
    <t>LIMH1SVRSAP</t>
  </si>
  <si>
    <t>10.72.8.40</t>
  </si>
  <si>
    <t>10.72.8.212</t>
  </si>
  <si>
    <t>LIMH1SVRAD01</t>
  </si>
  <si>
    <t>10.72.8.180</t>
  </si>
  <si>
    <t>LIMH1SVRAD02</t>
  </si>
  <si>
    <t>10.72.8.181</t>
  </si>
  <si>
    <t>Windows 7 Pro</t>
  </si>
  <si>
    <t>10.72.8.113</t>
  </si>
  <si>
    <t>LIMH1SVRDC1</t>
  </si>
  <si>
    <t>10.72.8.100</t>
  </si>
  <si>
    <t>GK6DN22</t>
  </si>
  <si>
    <t>B0-83-FE-5E-9D-79</t>
  </si>
  <si>
    <t>D0GQN22</t>
  </si>
  <si>
    <t>VEN1</t>
  </si>
  <si>
    <t>VEN</t>
  </si>
  <si>
    <t>VENTAS 1</t>
  </si>
  <si>
    <t>MUÑOZ CUBA ROSA ALICIA</t>
  </si>
  <si>
    <t>B0-83-FE-5F-01-54</t>
  </si>
  <si>
    <t>LIMSMVEN1</t>
  </si>
  <si>
    <t>LIMFB02</t>
  </si>
  <si>
    <t>0000001737</t>
  </si>
  <si>
    <t>D1BGN22</t>
  </si>
  <si>
    <t>D03QN22</t>
  </si>
  <si>
    <t>Preparar imagen con sistema operativo actualizado.</t>
  </si>
  <si>
    <t>Preparar archivo inventario</t>
  </si>
  <si>
    <t>Preparar correlativo hostname</t>
  </si>
  <si>
    <t xml:space="preserve">Realizar inventario </t>
  </si>
  <si>
    <t>Coordinar cambio de equipos en las areas</t>
  </si>
  <si>
    <t>Tareas</t>
  </si>
  <si>
    <t xml:space="preserve">Imágenes preparadas en PC Gigabyte - IP: 192.168.0.252 </t>
  </si>
  <si>
    <t>\\10.72.8.101\IT_Files\SWISSOTEL 2025\Inventario 2025 Final.xlsx</t>
  </si>
  <si>
    <t>En proceso</t>
  </si>
  <si>
    <t>FD</t>
  </si>
  <si>
    <t>FrontDesk</t>
  </si>
  <si>
    <t>CZPRN22</t>
  </si>
  <si>
    <t>Director de Alimentos y Bebidas</t>
  </si>
  <si>
    <t>CN012MWY6418046P1V7U</t>
  </si>
  <si>
    <t>CN012MWY6418046P3NAU</t>
  </si>
  <si>
    <t>Linea horizontal inferior.</t>
  </si>
  <si>
    <t>B0-83-FE-5F-8F-0E</t>
  </si>
  <si>
    <t>D0HFN22</t>
  </si>
  <si>
    <t>B0-83-FE-5E-FE-C2</t>
  </si>
  <si>
    <t>Windows 10 Pro</t>
  </si>
  <si>
    <t>CZYQN22</t>
  </si>
  <si>
    <t>B0-83-FE-55-21-A3</t>
  </si>
  <si>
    <t>LIMH1FBPC06</t>
  </si>
  <si>
    <t>LIMH1ACPC003</t>
  </si>
  <si>
    <t>B0-83-FE-5F-45-54</t>
  </si>
  <si>
    <t>D01GN22</t>
  </si>
  <si>
    <t>353YN22</t>
  </si>
  <si>
    <t>B0-83-FE-52-3F-C6</t>
  </si>
  <si>
    <t>35CXN22</t>
  </si>
  <si>
    <t>LIMH1PUPC001</t>
  </si>
  <si>
    <t>B0-83-FE-52-AB-94</t>
  </si>
  <si>
    <t>LIMH1SMPC012</t>
  </si>
  <si>
    <t>C4-5A-B1-CE-05-5D</t>
  </si>
  <si>
    <t>Precision 3660</t>
  </si>
  <si>
    <t>630Q7V3</t>
  </si>
  <si>
    <t>D0BFN22</t>
  </si>
  <si>
    <t>LIMH1SMPC018</t>
  </si>
  <si>
    <t>B0-83-FE-5E-FF-1C</t>
  </si>
  <si>
    <t>D05HN22</t>
  </si>
  <si>
    <t>B0-83-FE-55-32-59</t>
  </si>
  <si>
    <t>LIMH1SMPC019</t>
  </si>
  <si>
    <t>LIMH1SMPC020</t>
  </si>
  <si>
    <t>3540P22</t>
  </si>
  <si>
    <t>B0-83-FE-52-AB-BB</t>
  </si>
  <si>
    <t>B0-83-FE-5F-3F-57</t>
  </si>
  <si>
    <t>LIMH1SMPC022</t>
  </si>
  <si>
    <t>CZPSN22</t>
  </si>
  <si>
    <t>D0HQN22</t>
  </si>
  <si>
    <t>B0-83-FE-5E-FF-44</t>
  </si>
  <si>
    <t>LIMH1SMPC023</t>
  </si>
  <si>
    <t>D02RN22</t>
  </si>
  <si>
    <t>B0-83-FE-5F-03-7D</t>
  </si>
  <si>
    <t>LIMH1W7P07</t>
  </si>
  <si>
    <t>Front Desk</t>
  </si>
  <si>
    <t>LIMH1W7P34</t>
  </si>
  <si>
    <t>LIMH1W7P48</t>
  </si>
  <si>
    <t>GK0SN22</t>
  </si>
  <si>
    <t>B0-83-FE-5E-9D-7B</t>
  </si>
  <si>
    <t>D05FN22</t>
  </si>
  <si>
    <t>B0-83-FE-5E-FF-7E</t>
  </si>
  <si>
    <t>LIMH1W7P57</t>
  </si>
  <si>
    <t>D09RN22</t>
  </si>
  <si>
    <t>LIMH1W7P65</t>
  </si>
  <si>
    <t>D04FN22</t>
  </si>
  <si>
    <t>B0-83-FE-54-C6-09</t>
  </si>
  <si>
    <t>B0-83-FE-5E-FF-33</t>
  </si>
  <si>
    <t>LIMH1W7P85</t>
  </si>
  <si>
    <t>352YN22</t>
  </si>
  <si>
    <t>B0-83-FE-52-BB-9F</t>
  </si>
  <si>
    <t>LIMH1W7P95</t>
  </si>
  <si>
    <t>GJVRN22</t>
  </si>
  <si>
    <t>B0-83-FE-5E-87-E8</t>
  </si>
  <si>
    <t>D0HRN22</t>
  </si>
  <si>
    <t>LIMH1W7P101</t>
  </si>
  <si>
    <t>B0-83-FE-5E-FC-30</t>
  </si>
  <si>
    <t>D09HN22</t>
  </si>
  <si>
    <t>B0-83-FE-5E-FE-05</t>
  </si>
  <si>
    <t>LIMH1W10FB010</t>
  </si>
  <si>
    <t>GK5FN22</t>
  </si>
  <si>
    <t>B0-83-FE-5E-9D-43</t>
  </si>
  <si>
    <t>LIMH1W10GYM02</t>
  </si>
  <si>
    <t>GJVQN22</t>
  </si>
  <si>
    <t>B0-83-FE-5E-89-1A</t>
  </si>
  <si>
    <t>limh1w10p005</t>
  </si>
  <si>
    <t>D07QN22</t>
  </si>
  <si>
    <t>B0-83-FE-5E-FE-79</t>
  </si>
  <si>
    <t>limh1w10p008</t>
  </si>
  <si>
    <t>B0-83-FE-52-AA-3A</t>
  </si>
  <si>
    <t>35DWN22</t>
  </si>
  <si>
    <t>limh1w10p009</t>
  </si>
  <si>
    <t>GK2HN22</t>
  </si>
  <si>
    <t>B0-83-FE-5E-9D-8E</t>
  </si>
  <si>
    <t>limh1w10p011</t>
  </si>
  <si>
    <t>D1LDN22</t>
  </si>
  <si>
    <t>limh1w10p013</t>
  </si>
  <si>
    <t>B0-83-FE-5F-4B-CF</t>
  </si>
  <si>
    <t>GJXSN22</t>
  </si>
  <si>
    <t>B0-83-FE-5E-9D-8A</t>
  </si>
  <si>
    <t>limh1w10p017</t>
  </si>
  <si>
    <t>0WMJ54</t>
  </si>
  <si>
    <t>D0KQN22</t>
  </si>
  <si>
    <t>B0-83-FE-5E-FE-DB</t>
  </si>
  <si>
    <t>limh1w10p024</t>
  </si>
  <si>
    <t>limh1w10p030</t>
  </si>
  <si>
    <t>B0-83-FE-55-14-B7</t>
  </si>
  <si>
    <t>CZYRN22</t>
  </si>
  <si>
    <t>D0DDN22</t>
  </si>
  <si>
    <t>limh1w10p047</t>
  </si>
  <si>
    <t>B0-83-FE-5F-03-FD</t>
  </si>
  <si>
    <t>limh1w10p054</t>
  </si>
  <si>
    <t>B0-83-FE-55-27-FF</t>
  </si>
  <si>
    <t>D05SN22</t>
  </si>
  <si>
    <t>CZVGN22</t>
  </si>
  <si>
    <t>B0-83-FE-5F-8F-4F</t>
  </si>
  <si>
    <t>Puerta 5</t>
  </si>
  <si>
    <t>B0-83-FE-52-AA-84</t>
  </si>
  <si>
    <t>359ZN22</t>
  </si>
  <si>
    <t>LIMH1W10P061</t>
  </si>
  <si>
    <t>355YN22</t>
  </si>
  <si>
    <t>10.72.10.17</t>
  </si>
  <si>
    <t>LIMH1W10P062</t>
  </si>
  <si>
    <t>B0-83-FE-52-C5-64</t>
  </si>
  <si>
    <t>LIMH1W10P066</t>
  </si>
  <si>
    <t>B0-83-FE-5F-01-A4</t>
  </si>
  <si>
    <t>D0KRN22</t>
  </si>
  <si>
    <t>MXL3460T3Y</t>
  </si>
  <si>
    <t>LIMH1W10P081</t>
  </si>
  <si>
    <t>D4-C9-EF-F3-A7-A2</t>
  </si>
  <si>
    <t>E1Z56LT#ABM</t>
  </si>
  <si>
    <t>LIMH1W10P100</t>
  </si>
  <si>
    <t>351YN22</t>
  </si>
  <si>
    <t>B0-83-FE-52-97-98</t>
  </si>
  <si>
    <t>C4-5A-B1-E3-BA-5B</t>
  </si>
  <si>
    <t>LIMH1W10P101</t>
  </si>
  <si>
    <t>B8WS5X3</t>
  </si>
  <si>
    <t>Optiplex 7000</t>
  </si>
  <si>
    <t>04H8YK</t>
  </si>
  <si>
    <t>40-A8-F0-3E-1B-8D</t>
  </si>
  <si>
    <t>LIMH1W10PC004</t>
  </si>
  <si>
    <t>MXL4321BFP</t>
  </si>
  <si>
    <t>B0-83-FE-52-BA-E6</t>
  </si>
  <si>
    <t>34ZZN22</t>
  </si>
  <si>
    <t>LIMH1W10PC0010</t>
  </si>
  <si>
    <t>C4-5A-B1-E3-DB-3F</t>
  </si>
  <si>
    <t>LIMH1W10PC0011</t>
  </si>
  <si>
    <t>8RLT5X3</t>
  </si>
  <si>
    <t>D0FQN22</t>
  </si>
  <si>
    <t>B0-83-FE-5E-FE-FB</t>
  </si>
  <si>
    <t>LIMH1W10PCCYM</t>
  </si>
  <si>
    <t>GJHGN22</t>
  </si>
  <si>
    <t>B0-83-FE-5E-E1-AA</t>
  </si>
  <si>
    <t>LIMH1W11HK02</t>
  </si>
  <si>
    <t>40-A8-F0-60-C2-FB</t>
  </si>
  <si>
    <t>LIMH1W11IT01</t>
  </si>
  <si>
    <t>480 GB SSD + 500 GB HDD</t>
  </si>
  <si>
    <t>D02QN22</t>
  </si>
  <si>
    <t>B0-83-FE-5E-F9-C9</t>
  </si>
  <si>
    <t>LIMH1W11P036</t>
  </si>
  <si>
    <t>LIMH1W11P071</t>
  </si>
  <si>
    <t>D00FN22</t>
  </si>
  <si>
    <t>B0-83-FE-5E-F9-1D</t>
  </si>
  <si>
    <t>LIMH1W11SM01</t>
  </si>
  <si>
    <t>351WN22</t>
  </si>
  <si>
    <t>B0-83-FE-52-BB-FE</t>
  </si>
  <si>
    <t>LIMH1W11SM07</t>
  </si>
  <si>
    <t>D07SN22</t>
  </si>
  <si>
    <t>B0-83-FE-5E-FF-5B</t>
  </si>
  <si>
    <t>LIMH1W11SM14</t>
  </si>
  <si>
    <t>0PDTHJ</t>
  </si>
  <si>
    <t>Total general</t>
  </si>
  <si>
    <t>H4WS5X3</t>
  </si>
  <si>
    <t>C4-5A-B1-E3-E3-F1</t>
  </si>
  <si>
    <t>LIMH1W10P102</t>
  </si>
  <si>
    <t>500 GB SSD + 500 GB HDD</t>
  </si>
  <si>
    <t>Total Alimentos y Bebidas</t>
  </si>
  <si>
    <t>Total Contraloría</t>
  </si>
  <si>
    <t>Total Control y Monitoreo</t>
  </si>
  <si>
    <t>Total División de Habitaciones (Operaciones)</t>
  </si>
  <si>
    <t>Cuenta Equipos</t>
  </si>
  <si>
    <t>D09QN22</t>
  </si>
  <si>
    <t>B0-83-FE-5E-FF-40</t>
  </si>
  <si>
    <t>limh1w10p003</t>
  </si>
  <si>
    <t>LIMCNTBG01</t>
  </si>
  <si>
    <t>Actualización de Gary Carpio</t>
  </si>
  <si>
    <t>CN012MWY6418046P1V1U</t>
  </si>
  <si>
    <t>LIMDH</t>
  </si>
  <si>
    <t>LIMDHREC</t>
  </si>
  <si>
    <t>LIMDHOPER</t>
  </si>
  <si>
    <t>LIMDHGYM</t>
  </si>
  <si>
    <t>LIMTIGT</t>
  </si>
  <si>
    <t>LIMTIAS</t>
  </si>
  <si>
    <t>LIMVMMK</t>
  </si>
  <si>
    <t>LIMVMRES</t>
  </si>
  <si>
    <t>LIMVMREV</t>
  </si>
  <si>
    <t>LIMVMVEN</t>
  </si>
  <si>
    <t>LIMPCGCD</t>
  </si>
  <si>
    <t>LIMPCENF</t>
  </si>
  <si>
    <t>LIMPCGPC</t>
  </si>
  <si>
    <t>LIMPCAPC</t>
  </si>
  <si>
    <t>LIMPCAS</t>
  </si>
  <si>
    <t>LIMMANT</t>
  </si>
  <si>
    <t>LIMGGCHO</t>
  </si>
  <si>
    <t>LIMGGAGG</t>
  </si>
  <si>
    <t>LIMGG</t>
  </si>
  <si>
    <t>LIMCMASST</t>
  </si>
  <si>
    <t>LIMCMEPC</t>
  </si>
  <si>
    <t>LIMCMGCM</t>
  </si>
  <si>
    <t>LIMCMSCM</t>
  </si>
  <si>
    <t>LIMCNTAI</t>
  </si>
  <si>
    <t>LIMCNTBD</t>
  </si>
  <si>
    <t>LIMCNTCONT1</t>
  </si>
  <si>
    <t>LIMCNTCONT2</t>
  </si>
  <si>
    <t>LIMCNTCG</t>
  </si>
  <si>
    <t>LIMCNTCONT3</t>
  </si>
  <si>
    <t>LIMCNTCONT4</t>
  </si>
  <si>
    <t>LIMCNTCONT5</t>
  </si>
  <si>
    <t>LIMCNTCONT6</t>
  </si>
  <si>
    <t>LIMCNTCONT7</t>
  </si>
  <si>
    <t>LIMCOMPGCR</t>
  </si>
  <si>
    <t>LIMCOMPGC</t>
  </si>
  <si>
    <t>LIMCO</t>
  </si>
  <si>
    <t>LIMCOQA</t>
  </si>
  <si>
    <t>CN012MWY6418046P3P9U</t>
  </si>
  <si>
    <t>Tiene casi toda su información llena en el disco, se recomienda guardar su info en el server</t>
  </si>
  <si>
    <t>CN012MWY6418046P1UTU</t>
  </si>
  <si>
    <t>353WN22</t>
  </si>
  <si>
    <t>CN012MWY6418046P3DEU</t>
  </si>
  <si>
    <t>CZPQN22</t>
  </si>
  <si>
    <t>CN012MWY6418046P3KQU</t>
  </si>
  <si>
    <t>HP LV1911</t>
  </si>
  <si>
    <t>6CM335225X</t>
  </si>
  <si>
    <t>A5V72A</t>
  </si>
  <si>
    <t>D0-F4-05-3E-74-BB</t>
  </si>
  <si>
    <t>LIMFD01</t>
  </si>
  <si>
    <t>LIMAYBBQ</t>
  </si>
  <si>
    <t>CN012MWY6418046P3N7U</t>
  </si>
  <si>
    <t>LIMAYBBQ02</t>
  </si>
  <si>
    <t>CN012MWY6418046P3DJU</t>
  </si>
  <si>
    <t>Ex Front Desk - Se cambio por una Lenovo - tiene Información</t>
  </si>
  <si>
    <t>LIMVMRES01</t>
  </si>
  <si>
    <t>LIMAYBBQ01</t>
  </si>
  <si>
    <t>3er Piso - Reservas</t>
  </si>
  <si>
    <t>CN012MWY6418046P3N5U</t>
  </si>
  <si>
    <t>GK4RN22</t>
  </si>
  <si>
    <t>B0-83-FE-5E-94-1E</t>
  </si>
  <si>
    <t>LIMVMRES02</t>
  </si>
  <si>
    <t>LIMVMRES03</t>
  </si>
  <si>
    <t>CN012MWY6418046P3JSU</t>
  </si>
  <si>
    <t>1er Piso Compras</t>
  </si>
  <si>
    <t>LIMAYBLL</t>
  </si>
  <si>
    <t>LIMVMGVC</t>
  </si>
  <si>
    <t>LIMVMVEN01</t>
  </si>
  <si>
    <t>10.72.10.33</t>
  </si>
  <si>
    <t>10.72.10.34</t>
  </si>
  <si>
    <t>10.72.10.120</t>
  </si>
  <si>
    <t>10.72.10.103</t>
  </si>
  <si>
    <t>10.72.10.93</t>
  </si>
  <si>
    <t>10.72.10.111</t>
  </si>
  <si>
    <t>10.72.10.161</t>
  </si>
  <si>
    <t>10.72.10.37</t>
  </si>
  <si>
    <t>10.72.10.83</t>
  </si>
  <si>
    <t>10.72.10.149</t>
  </si>
  <si>
    <t>10.72.10.72</t>
  </si>
  <si>
    <t>10.72.10.159</t>
  </si>
  <si>
    <t>10.72.10.100</t>
  </si>
  <si>
    <t>10.72.10.81</t>
  </si>
  <si>
    <t>10.72.10.73</t>
  </si>
  <si>
    <t>CN012MWY6418046P21PU</t>
  </si>
  <si>
    <t>CN012MWY6418046P3N1U</t>
  </si>
  <si>
    <t>D1FDN22</t>
  </si>
  <si>
    <t>B0-83-FE-55-28-AE</t>
  </si>
  <si>
    <t>10.72.10.118</t>
  </si>
  <si>
    <t>10.72.10.44</t>
  </si>
  <si>
    <t>LIMAYBLB</t>
  </si>
  <si>
    <t>CN012MWY6418046P3Q6U</t>
  </si>
  <si>
    <t>Custodia en la oficina de Contabilidad</t>
  </si>
  <si>
    <t>10.72.10.76</t>
  </si>
  <si>
    <t>CN012MWY6418047B0LTU</t>
  </si>
  <si>
    <t>LIMCMSCM01</t>
  </si>
  <si>
    <t>2do Piso - Oficina Auditor de Ingresos</t>
  </si>
  <si>
    <t>3er Piso - Contabilidad</t>
  </si>
  <si>
    <t>1er Piso - Recepción - Back Office</t>
  </si>
  <si>
    <t>CN012MWY6418046P3MZU</t>
  </si>
  <si>
    <t>3er Piso - Ventas</t>
  </si>
  <si>
    <t>3er Piso - Gerencia General</t>
  </si>
  <si>
    <t>1er Piso - Bodega</t>
  </si>
  <si>
    <t>1er Piso - Conserge</t>
  </si>
  <si>
    <t>2do Piso - Seguridad</t>
  </si>
  <si>
    <t>1er Piso - Caja Lobby Bar</t>
  </si>
  <si>
    <t>1er Piso Gym</t>
  </si>
  <si>
    <t>B0-83-FE-55-28-CD</t>
  </si>
  <si>
    <t>10.72.10.109</t>
  </si>
  <si>
    <t>LIMAYBLC01</t>
  </si>
  <si>
    <t>LIMAYBLC02</t>
  </si>
  <si>
    <t>XBJZ021745</t>
  </si>
  <si>
    <t>QFX06246</t>
  </si>
  <si>
    <t>XBJZ021772</t>
  </si>
  <si>
    <t>A4:D7:3C:70:EE:9C</t>
  </si>
  <si>
    <t>10.72.10.63</t>
  </si>
  <si>
    <t>10.72.10.110</t>
  </si>
  <si>
    <t>LIMDHSLV</t>
  </si>
  <si>
    <t>10.72.10.77</t>
  </si>
  <si>
    <t>Total Cocina</t>
  </si>
  <si>
    <t>10.72.10.135</t>
  </si>
  <si>
    <t>LIMRD01</t>
  </si>
  <si>
    <t>7HHT5X3</t>
  </si>
  <si>
    <t>C4-5A-B1-E3-DB-09</t>
  </si>
  <si>
    <t>LIMH1W10PC005</t>
  </si>
  <si>
    <t>Se actualizó solo a Windows 11 Pro al reiniciar</t>
  </si>
  <si>
    <t>LIMVMGRES</t>
  </si>
  <si>
    <t>10.72.10.133</t>
  </si>
  <si>
    <t>10.72.10.71</t>
  </si>
  <si>
    <t>10.72.10.141</t>
  </si>
  <si>
    <t>E2216H</t>
  </si>
  <si>
    <t>CN0JF44YFCC008BAA18BA05</t>
  </si>
  <si>
    <t>CN012MWY6418046P3H3U</t>
  </si>
  <si>
    <t>CN012MWY6418046P1VEU</t>
  </si>
  <si>
    <t>CN012MWY6418046P3MXU</t>
  </si>
  <si>
    <t>10.32.0.102</t>
  </si>
  <si>
    <t>E22-30</t>
  </si>
  <si>
    <t>63EBMAR2LA</t>
  </si>
  <si>
    <t>VNABKCYL</t>
  </si>
  <si>
    <t>VNABKD1B</t>
  </si>
  <si>
    <t>VNABKDGC</t>
  </si>
  <si>
    <t>VNABKD7C</t>
  </si>
  <si>
    <t>10.72.10.145</t>
  </si>
  <si>
    <t>0NWEHTHH600016F</t>
  </si>
  <si>
    <t>LS27E370DS/PE</t>
  </si>
  <si>
    <t>25728850</t>
  </si>
  <si>
    <t>10.72.10.146</t>
  </si>
  <si>
    <t>LIMFD02</t>
  </si>
  <si>
    <t>351XN22</t>
  </si>
  <si>
    <t>B0-83-FE-52-C1-E9</t>
  </si>
  <si>
    <t>10.72.10.108</t>
  </si>
  <si>
    <t>LIMH1W11PMS100</t>
  </si>
  <si>
    <t>2da PC en su área - GYM a su nombre</t>
  </si>
  <si>
    <t>LIMDHGYM01</t>
  </si>
  <si>
    <t>10.9.10.38</t>
  </si>
  <si>
    <t>LIMAYBSGER</t>
  </si>
  <si>
    <t>HDD no está operando, no es reconocido por la placa</t>
  </si>
  <si>
    <t>Total Gerencia General</t>
  </si>
  <si>
    <t>Total Personas y Cultura</t>
  </si>
  <si>
    <t>Total Ventas y Marketing</t>
  </si>
  <si>
    <t>CZWFN22</t>
  </si>
  <si>
    <t>B0-83-FE-5F-3D-54</t>
  </si>
  <si>
    <t>LIMH1W11SM09</t>
  </si>
  <si>
    <t>74092275</t>
  </si>
  <si>
    <t>10.72.10.52</t>
  </si>
  <si>
    <t>10.72.10.51</t>
  </si>
  <si>
    <t>43201935</t>
  </si>
  <si>
    <t>43134319</t>
  </si>
  <si>
    <t>72504034</t>
  </si>
  <si>
    <t>40790298</t>
  </si>
  <si>
    <t>3580P22</t>
  </si>
  <si>
    <t>B0-83-FE-52-AB-58</t>
  </si>
  <si>
    <t>10.72.10.53</t>
  </si>
  <si>
    <t>B0-83-FE-5E-91-E9</t>
  </si>
  <si>
    <t>GK6GN22</t>
  </si>
  <si>
    <t>D0KDN22</t>
  </si>
  <si>
    <t>B0-83-FE-55-2B-57</t>
  </si>
  <si>
    <t>D19SN22</t>
  </si>
  <si>
    <t>10.72.10.123</t>
  </si>
  <si>
    <t>357ZN22</t>
  </si>
  <si>
    <t>B0-83-FE-52-AD-2D</t>
  </si>
  <si>
    <t>CZZPN22</t>
  </si>
  <si>
    <t>10.72.10.56</t>
  </si>
  <si>
    <t>356YN22</t>
  </si>
  <si>
    <t>60YY282</t>
  </si>
  <si>
    <t>10.72.10.90</t>
  </si>
  <si>
    <t>(en blanco)</t>
  </si>
  <si>
    <t>Total Compras</t>
  </si>
  <si>
    <t xml:space="preserve">Total Tecnologias de Información </t>
  </si>
  <si>
    <t>10.72.10.121</t>
  </si>
  <si>
    <t>GJZRN22</t>
  </si>
  <si>
    <t>10.72.10.148</t>
  </si>
  <si>
    <t>B0-83-FE-5E-A1-EE</t>
  </si>
  <si>
    <t>10.72.10.86</t>
  </si>
  <si>
    <t>10.72.10.136</t>
  </si>
  <si>
    <t>3550P22</t>
  </si>
  <si>
    <t>LIMCNTAI02</t>
  </si>
  <si>
    <t>LIMCHEF</t>
  </si>
  <si>
    <t>10.72.10.106</t>
  </si>
  <si>
    <t>CZNQN22</t>
  </si>
  <si>
    <t>47156230</t>
  </si>
  <si>
    <t>10.72.10.144</t>
  </si>
  <si>
    <t>LIMH1W11FB12</t>
  </si>
  <si>
    <t>D1HFN22</t>
  </si>
  <si>
    <t>10.72.10.49</t>
  </si>
  <si>
    <t>B0-83-FE-5F-3C-FA</t>
  </si>
  <si>
    <t>B0-83-FE-5F-8D-A2</t>
  </si>
  <si>
    <t>82KB00G6LM</t>
  </si>
  <si>
    <t xml:space="preserve">V15 G2-ITL </t>
  </si>
  <si>
    <t>PF3KWH96</t>
  </si>
  <si>
    <t>10.72.10.101</t>
  </si>
  <si>
    <t>84-A9-38-CC-1A-16</t>
  </si>
  <si>
    <t>LIMCOC01</t>
  </si>
  <si>
    <t>LIMCOC02</t>
  </si>
  <si>
    <t>LIMCOC03</t>
  </si>
  <si>
    <t>LIMCOC04</t>
  </si>
  <si>
    <t>LIMAYBRS</t>
  </si>
  <si>
    <t>10.72.10.87</t>
  </si>
  <si>
    <t>CN012MWY6418046P1V6U</t>
  </si>
  <si>
    <t>LIMDHJHK</t>
  </si>
  <si>
    <t>LIMDHHK01</t>
  </si>
  <si>
    <t>10.72.10.84</t>
  </si>
  <si>
    <t>CN012MWY6418046P3JYU</t>
  </si>
  <si>
    <t>10.72.10.157</t>
  </si>
  <si>
    <t>10.72.10.99</t>
  </si>
  <si>
    <t>LIMVMVEN02</t>
  </si>
  <si>
    <t>Negro (BK)</t>
  </si>
  <si>
    <t>Magenta (M)</t>
  </si>
  <si>
    <t>R04L</t>
  </si>
  <si>
    <t>Cantidad</t>
  </si>
  <si>
    <t>Tinta</t>
  </si>
  <si>
    <t>Impresora: Epson WF-C5790</t>
  </si>
  <si>
    <t>R04X</t>
  </si>
  <si>
    <t>Cian (C)</t>
  </si>
  <si>
    <t>Caja de Mantenimiento</t>
  </si>
  <si>
    <t>T6716</t>
  </si>
  <si>
    <t>Impresora: Epson WF-C5890</t>
  </si>
  <si>
    <t>T11A1</t>
  </si>
  <si>
    <t>Amarillo (Y)</t>
  </si>
  <si>
    <t>T11A4</t>
  </si>
  <si>
    <t>T11A3</t>
  </si>
  <si>
    <t>T11A2</t>
  </si>
  <si>
    <t>C9382</t>
  </si>
  <si>
    <t>10.72.10.61</t>
  </si>
  <si>
    <t>LIMHR6</t>
  </si>
  <si>
    <t>Centro de Costo</t>
  </si>
  <si>
    <t>3510P22</t>
  </si>
  <si>
    <t>10.72.10.138</t>
  </si>
  <si>
    <t>B0-83-FE-52-C0-93</t>
  </si>
  <si>
    <t>LIMCOC05</t>
  </si>
  <si>
    <t>VARGAS CACHIQUE ORLANDO FLORENCIO</t>
  </si>
  <si>
    <t>Gerente de Mantenimiento</t>
  </si>
  <si>
    <t>Impresora: Canon imageRUNNER iR1730i</t>
  </si>
  <si>
    <t>Cartucho Toner</t>
  </si>
  <si>
    <t>GPR-39</t>
  </si>
  <si>
    <t>LIMVMGGE</t>
  </si>
  <si>
    <t>GJPFN22</t>
  </si>
  <si>
    <t>B0-83-FE-5F-01-12</t>
  </si>
  <si>
    <t>10.72.10.131</t>
  </si>
  <si>
    <t>Total Mantenimiento</t>
  </si>
  <si>
    <t>LIMMANTGER</t>
  </si>
  <si>
    <t>LIMDHBOT</t>
  </si>
  <si>
    <t>10.72.10.67</t>
  </si>
  <si>
    <t>Impresora: Epson WF-C869R</t>
  </si>
  <si>
    <t>T9741</t>
  </si>
  <si>
    <t>T9744</t>
  </si>
  <si>
    <t>T9743</t>
  </si>
  <si>
    <t>T9742</t>
  </si>
  <si>
    <t>T6714</t>
  </si>
  <si>
    <t>D1DDN22</t>
  </si>
  <si>
    <t>09844674</t>
  </si>
  <si>
    <t>MXL446116X</t>
  </si>
  <si>
    <t>GK0GN22</t>
  </si>
  <si>
    <t>48319738</t>
  </si>
  <si>
    <t>Front Desk 2</t>
  </si>
  <si>
    <t>Front Desk 3</t>
  </si>
  <si>
    <t>Front Desk 4</t>
  </si>
  <si>
    <t>Front Desk 1</t>
  </si>
  <si>
    <t>LIMRD02</t>
  </si>
  <si>
    <t>10.72.10.112</t>
  </si>
  <si>
    <t>D02FN22</t>
  </si>
  <si>
    <t>10.72.10.82</t>
  </si>
  <si>
    <t>LIMH1W11FO03</t>
  </si>
  <si>
    <t>10.72.10.50</t>
  </si>
  <si>
    <t>ex Centro de Control y Monitoreo</t>
  </si>
  <si>
    <t>64-00-6A-2A-D2-84</t>
  </si>
  <si>
    <t>GJWSN22</t>
  </si>
  <si>
    <t>10.72.10.125</t>
  </si>
  <si>
    <t>B0-83-FE-5E-94-01</t>
  </si>
  <si>
    <t>D00TN22</t>
  </si>
  <si>
    <t>10.72.10.85</t>
  </si>
  <si>
    <t>10.72.10.74</t>
  </si>
  <si>
    <t>10.72.10.41</t>
  </si>
  <si>
    <t>T6712</t>
  </si>
  <si>
    <t>Cantidad Impresoras</t>
  </si>
  <si>
    <t>LIMH1SVRCONAC</t>
  </si>
  <si>
    <t>10.72.8.115</t>
  </si>
  <si>
    <t>Micros</t>
  </si>
  <si>
    <t>Oracle</t>
  </si>
  <si>
    <t>Windows 10 Enterprise</t>
  </si>
  <si>
    <t>00-A0-A4-22-03-E8</t>
  </si>
  <si>
    <t>LIMH1CAJA_FONDU</t>
  </si>
  <si>
    <t>Intel Atom</t>
  </si>
  <si>
    <t>Symphony</t>
  </si>
  <si>
    <t>12XG0019LD</t>
  </si>
  <si>
    <t>10.72.10.94</t>
  </si>
  <si>
    <t>LIMH1W11AC02</t>
  </si>
  <si>
    <t>10.72.10.80</t>
  </si>
  <si>
    <t>FONG SARAVIA ALEJANDRO FONG</t>
  </si>
  <si>
    <t>Practicante de Mantenimiento</t>
  </si>
  <si>
    <t>72154252</t>
  </si>
  <si>
    <t>0000P00756</t>
  </si>
  <si>
    <t>B0-83-FE-5F-8D-D3</t>
  </si>
  <si>
    <t>LIMMANT01</t>
  </si>
  <si>
    <t>CN012MWY6418046P3QGU</t>
  </si>
  <si>
    <t>B0-83-FE-54-C6-74</t>
  </si>
  <si>
    <t>10.72.10.130</t>
  </si>
  <si>
    <t>10.72.10.104</t>
  </si>
  <si>
    <t>LIMDHLIM</t>
  </si>
  <si>
    <t>MXL4321BFX</t>
  </si>
  <si>
    <t>40-A8-F0-60-0B-4F</t>
  </si>
  <si>
    <t>10.72.10.164</t>
  </si>
  <si>
    <t>LIMH1W7P05</t>
  </si>
  <si>
    <t>LIMH1W11SM12</t>
  </si>
  <si>
    <t>LZ0A55PEDC8002023</t>
  </si>
  <si>
    <t>R8YY806G4WD</t>
  </si>
  <si>
    <t>SM-A065M</t>
  </si>
  <si>
    <t>A4-9F-E7-6A-D8-F7</t>
  </si>
  <si>
    <t>Redmi 12C</t>
  </si>
  <si>
    <t>45641S3SH01121</t>
  </si>
  <si>
    <t>CC-42-10-C8-38-48</t>
  </si>
  <si>
    <t>Housekeeping</t>
  </si>
  <si>
    <t>X2SR002748</t>
  </si>
  <si>
    <t>45641S3SH03456</t>
  </si>
  <si>
    <t>CC-42-10-C7-FA-F4</t>
  </si>
  <si>
    <t>Host</t>
  </si>
  <si>
    <t>Redmi 13C</t>
  </si>
  <si>
    <t>5111164SKO1837</t>
  </si>
  <si>
    <t>R8YXB0P2AEE</t>
  </si>
  <si>
    <t>ZTE Blade A72s</t>
  </si>
  <si>
    <t>320134544828</t>
  </si>
  <si>
    <t>3GB</t>
  </si>
  <si>
    <t>MXL3460T6K</t>
  </si>
  <si>
    <t>2C-44-FD-10-08-79</t>
  </si>
  <si>
    <t>76504272</t>
  </si>
  <si>
    <t>10.72.10.91</t>
  </si>
  <si>
    <t>76359616</t>
  </si>
  <si>
    <t>0000001755</t>
  </si>
  <si>
    <t>Trabajadora Social</t>
  </si>
  <si>
    <t>BRENDA STEFANY VILLAREAL MACHADO</t>
  </si>
  <si>
    <t>Sharp</t>
  </si>
  <si>
    <t>MX-3070V</t>
  </si>
  <si>
    <t>35E33608</t>
  </si>
  <si>
    <t>35E33607</t>
  </si>
  <si>
    <t>9502370Y00</t>
  </si>
  <si>
    <t>MX-M3070</t>
  </si>
  <si>
    <t>10.72.10.70</t>
  </si>
  <si>
    <t>B0-83-FE-52-AB-C1</t>
  </si>
  <si>
    <t>07631677</t>
  </si>
  <si>
    <t>ROMAN ZUÑIGA ANNIE PAOLA</t>
  </si>
  <si>
    <t>Gerente de Alimentos y Bebidas</t>
  </si>
  <si>
    <t>19/01/2025</t>
  </si>
  <si>
    <t>LIMAYBGER</t>
  </si>
  <si>
    <t>LIMH1GMPC02</t>
  </si>
  <si>
    <t>Sistema de Activos Fijos</t>
  </si>
  <si>
    <t>SISTEMAS DE ACTIVOS FIJOS</t>
  </si>
  <si>
    <t>ACTSYS</t>
  </si>
  <si>
    <t>R8YY50R8LQL</t>
  </si>
  <si>
    <t>98-FB-27-C4-1A-FC</t>
  </si>
  <si>
    <t>0000000462</t>
  </si>
  <si>
    <t>10.72.10.96</t>
  </si>
  <si>
    <t>LIMH1W11SM08</t>
  </si>
  <si>
    <t>R8YY50Z8NLT</t>
  </si>
  <si>
    <t>CA-44-12-42-FF-59</t>
  </si>
  <si>
    <t>Sistemas</t>
  </si>
  <si>
    <t>R8YY50R8LVA</t>
  </si>
  <si>
    <t>R8YY50R8LTH</t>
  </si>
  <si>
    <t>R8YY817VTEB</t>
  </si>
  <si>
    <t>R8YY8079D9K</t>
  </si>
  <si>
    <t>R8YY50Z6T3L</t>
  </si>
  <si>
    <t>R8YY817VJTK</t>
  </si>
  <si>
    <t>45641S3SH03421</t>
  </si>
  <si>
    <t>Cuenta de Equipo</t>
  </si>
  <si>
    <t>10.72.10.139</t>
  </si>
  <si>
    <t>10.72.10.65</t>
  </si>
  <si>
    <t>10.72.10.25</t>
  </si>
  <si>
    <t>Fecha</t>
  </si>
  <si>
    <t>GR - Movistar</t>
  </si>
  <si>
    <t>TDE1-00065893</t>
  </si>
  <si>
    <t>SM-A075M</t>
  </si>
  <si>
    <t>R8YYC1561XA</t>
  </si>
  <si>
    <t>R8YYC154VWA</t>
  </si>
  <si>
    <t>R8YYC1562XV</t>
  </si>
  <si>
    <t>R8YYC15635M</t>
  </si>
  <si>
    <t>R8YYC15626L</t>
  </si>
  <si>
    <t>R8YYC1550TR</t>
  </si>
  <si>
    <t>R8YYC154PNF</t>
  </si>
  <si>
    <t>R8YYC155FNZ</t>
  </si>
  <si>
    <t>R8YYC15633Y</t>
  </si>
  <si>
    <t>R8YYA0ZCPWV</t>
  </si>
  <si>
    <t>R8YYC155YLH</t>
  </si>
  <si>
    <t>R8YYC15636F</t>
  </si>
  <si>
    <t>R8YYC1561NL</t>
  </si>
  <si>
    <t>R8YYC155KZF</t>
  </si>
  <si>
    <t>Puesto de Control</t>
  </si>
  <si>
    <t>Alejandro Mucha - Joaquin Acha - Edilbrando Hernandez - Nilton</t>
  </si>
  <si>
    <t>TDE1-00066042</t>
  </si>
  <si>
    <t>R8YYC1CLHWW</t>
  </si>
  <si>
    <t>R8YYC1CLQGT</t>
  </si>
  <si>
    <t>R8YL1003L2V</t>
  </si>
  <si>
    <t>R8YL1003M1R</t>
  </si>
  <si>
    <t>74767236</t>
  </si>
  <si>
    <t>Asistente de Calidad</t>
  </si>
  <si>
    <t>0000001760</t>
  </si>
  <si>
    <t>CONDORI MORENO ELIZABETH CINTHIA</t>
  </si>
  <si>
    <t>LIMH1W10CM02</t>
  </si>
  <si>
    <t>TDE1-00065775</t>
  </si>
  <si>
    <t>TDE1-00066155</t>
  </si>
  <si>
    <t>TDE1-00064628</t>
  </si>
  <si>
    <t>10.72.10.165</t>
  </si>
  <si>
    <t>LIMFD04</t>
  </si>
  <si>
    <t xml:space="preserve"> D0-F4-05-3F-CC-11</t>
  </si>
  <si>
    <t>No carga el celular</t>
  </si>
  <si>
    <t>Xiaomi</t>
  </si>
  <si>
    <t>45641S3SH01122</t>
  </si>
  <si>
    <t>Ex equipo de Diana Quispilaya - Eventos</t>
  </si>
  <si>
    <t>LIMH1W11HK01</t>
  </si>
  <si>
    <t>iR-ADV C3330</t>
  </si>
  <si>
    <t xml:space="preserve">iR1730i	</t>
  </si>
  <si>
    <t>iR1643i II</t>
  </si>
  <si>
    <t>RJQ00596</t>
  </si>
  <si>
    <t>Qnap</t>
  </si>
  <si>
    <t>TS-433</t>
  </si>
  <si>
    <t>Q5Q5T104802</t>
  </si>
  <si>
    <t>24-5E-BE-95-94-F6</t>
  </si>
  <si>
    <t>24-5E-BE-95-94-F7</t>
  </si>
  <si>
    <t>10.72.8.120</t>
  </si>
  <si>
    <t>NAS-SWISSLIM</t>
  </si>
  <si>
    <t>ARM</t>
  </si>
  <si>
    <t>16 TB RAID</t>
  </si>
  <si>
    <t>Linux</t>
  </si>
  <si>
    <t>0000P00758</t>
  </si>
  <si>
    <t>MILLA GOMEZ ANJALI ABIGAIL</t>
  </si>
  <si>
    <t>24/02/2026</t>
  </si>
  <si>
    <t>76644092</t>
  </si>
  <si>
    <t>10.72.10.129</t>
  </si>
  <si>
    <t>Honor</t>
  </si>
  <si>
    <t>GFY-LX3</t>
  </si>
  <si>
    <t>AYCQCP5412401003</t>
  </si>
  <si>
    <t>Ex equipo de Michelle Won - Mantenimiento - con cable</t>
  </si>
  <si>
    <t>AYCQCP5412400615</t>
  </si>
  <si>
    <t>75438114</t>
  </si>
  <si>
    <t>0000P00761</t>
  </si>
  <si>
    <t>NOLASCO CUNYARACHE GABRIELA FLOR</t>
  </si>
  <si>
    <t>Ex equipo celular de AyB - Sheyla</t>
  </si>
  <si>
    <t>45694W3WD06392</t>
  </si>
  <si>
    <t>45641S3SH03433</t>
  </si>
  <si>
    <t>Ex equipo de Edith Llacsahuanga</t>
  </si>
  <si>
    <t>10.72.10.173</t>
  </si>
  <si>
    <t>75173008</t>
  </si>
  <si>
    <t>LIMVMC1</t>
  </si>
  <si>
    <t>LIMVMC2</t>
  </si>
  <si>
    <t>LIMVMC3</t>
  </si>
  <si>
    <t>LIMVMAC</t>
  </si>
  <si>
    <t>R8YXB0P295H</t>
  </si>
  <si>
    <t>Ex equipo de Lizbeth Lozada</t>
  </si>
  <si>
    <t>Asistente de Coordinación</t>
  </si>
  <si>
    <t xml:space="preserve">Equipo nuevo - Ex Grisel Garcia por asignar </t>
  </si>
  <si>
    <t>LIMH1W11SM03</t>
  </si>
  <si>
    <t>5111164SK02651</t>
  </si>
  <si>
    <t>Asistente Administrativa Jr.</t>
  </si>
  <si>
    <t>Custodia por Hector Yamunaque</t>
  </si>
  <si>
    <t>ZTE A7050</t>
  </si>
  <si>
    <t>320134545086</t>
  </si>
  <si>
    <t>R8YXB0P1Y5W</t>
  </si>
  <si>
    <t>Ex Tania Roque - Reservas</t>
  </si>
  <si>
    <t>Ex Karina Peching - Reservas</t>
  </si>
  <si>
    <t>Ex Carlo Mario - Eventos</t>
  </si>
  <si>
    <t>R8YXA0XCYSB</t>
  </si>
  <si>
    <t>Ex equipo de Supervisor de CyM - Línea personal del usuario</t>
  </si>
  <si>
    <t>45641S3SH03530</t>
  </si>
  <si>
    <t>45641S3SH02681</t>
  </si>
  <si>
    <t>Ex Karin Carbajal - Enfermeria</t>
  </si>
  <si>
    <t>Ex Mantenimiento Sanitario</t>
  </si>
  <si>
    <t>47119576</t>
  </si>
  <si>
    <t>0000001775</t>
  </si>
  <si>
    <t>VARGAS PINTO DIANA VERÓNICA</t>
  </si>
  <si>
    <t>10.72.10.54</t>
  </si>
  <si>
    <t>LIMH1W11SM15</t>
  </si>
  <si>
    <t>45641S3SH00142</t>
  </si>
  <si>
    <t>Para 0000000345</t>
  </si>
  <si>
    <t>Para Housekeeping</t>
  </si>
  <si>
    <t>Thinkcentre M70Q</t>
  </si>
  <si>
    <t>MZ00212Y</t>
  </si>
  <si>
    <t>Capacitación</t>
  </si>
  <si>
    <t>LIMSWCAP1</t>
  </si>
  <si>
    <t>9CG6262196</t>
  </si>
  <si>
    <t>HP 260 G2 DM</t>
  </si>
  <si>
    <t>Cuenta Equipo</t>
  </si>
  <si>
    <t>MZ00213H</t>
  </si>
  <si>
    <t>LIMSWCAP3</t>
  </si>
  <si>
    <t>LIMCNTCONT8</t>
  </si>
  <si>
    <t>LIMH1W11SM11</t>
  </si>
  <si>
    <t>JARA ARICA STEFANNY MARTHA</t>
  </si>
  <si>
    <t>0000001766</t>
  </si>
  <si>
    <t>0000001773</t>
  </si>
  <si>
    <t>GUZMAN CASTRO PAULA CLARA LUCIA</t>
  </si>
  <si>
    <t>0000001767</t>
  </si>
  <si>
    <t>GOMEZ DONAYRE PAOLA YAIRI</t>
  </si>
  <si>
    <t>76987725</t>
  </si>
  <si>
    <t>70336302</t>
  </si>
  <si>
    <t>74094081</t>
  </si>
  <si>
    <t>0000001764</t>
  </si>
  <si>
    <t>RODRIGUEZ CONTRERAS ALEXIS SANTIAGO</t>
  </si>
  <si>
    <t>si</t>
  </si>
  <si>
    <t>Nueva Tajeta Micros</t>
  </si>
  <si>
    <t>Workstation 8</t>
  </si>
  <si>
    <t>5365ECB05002309</t>
  </si>
  <si>
    <t>5365ECB05002324</t>
  </si>
  <si>
    <t>Le Café</t>
  </si>
  <si>
    <t>10.72.8.245</t>
  </si>
  <si>
    <t>Intel Celeron</t>
  </si>
  <si>
    <t>Windows 11 IoT Enterprise LTSC</t>
  </si>
  <si>
    <t>5365ECB05002312</t>
  </si>
  <si>
    <t>5365ECB05002311</t>
  </si>
  <si>
    <t>5365ECB05002274</t>
  </si>
  <si>
    <t>5365ECB05002273</t>
  </si>
  <si>
    <t>5365ECB05002282</t>
  </si>
  <si>
    <t>5365ECB05002291</t>
  </si>
  <si>
    <t>8224919</t>
  </si>
  <si>
    <t>CZNDN22</t>
  </si>
  <si>
    <t>LIMH1SVRQR</t>
  </si>
  <si>
    <t>0000001780</t>
  </si>
  <si>
    <t>CHUYES MENDOZA CLAUDIA ELIZABETH</t>
  </si>
  <si>
    <t>46405695</t>
  </si>
  <si>
    <t>AYCQCP541200059</t>
  </si>
  <si>
    <t>Ex equipo Grisel Garcia</t>
  </si>
  <si>
    <t>LIMH1SVRINT</t>
  </si>
  <si>
    <t>10.72.9.10</t>
  </si>
  <si>
    <t>Equipo no le escuchan cuando habla</t>
  </si>
  <si>
    <t>Equipo nuevo en caja</t>
  </si>
  <si>
    <t>LIMIT01</t>
  </si>
  <si>
    <t>10.72.10.168</t>
  </si>
  <si>
    <t>LIMH1SRVPCSISTEL</t>
  </si>
  <si>
    <t>10.72.8.78</t>
  </si>
  <si>
    <t>HOZMA DIAZ NORMA CONSTANZA</t>
  </si>
  <si>
    <t>Directora de Ventas y Marketing</t>
  </si>
  <si>
    <t>10.72.10.152</t>
  </si>
  <si>
    <t>LIMMANT02</t>
  </si>
  <si>
    <t>Asistente de Mantenimiento</t>
  </si>
  <si>
    <t>MOGROVEJO BRACESCO ANDREA CAROLINA</t>
  </si>
  <si>
    <t>Supervisor de Gimnasio</t>
  </si>
  <si>
    <t>0000001776</t>
  </si>
  <si>
    <t>0000P00764</t>
  </si>
  <si>
    <t>VIDAL TAPIA ARIANA FERNANDA VALERIA</t>
  </si>
  <si>
    <t>Practicante de Ventas y Marketing</t>
  </si>
  <si>
    <t>10.72.10.162</t>
  </si>
  <si>
    <t>LIMVMVEN14</t>
  </si>
  <si>
    <t>45274548</t>
  </si>
  <si>
    <t>74129212</t>
  </si>
  <si>
    <t>0000001791</t>
  </si>
  <si>
    <t>500 HDD</t>
  </si>
  <si>
    <t>R8YXB0P24HN</t>
  </si>
  <si>
    <t>Ex equipo de Mariela Vasquez - Pantalla Ok, Caver Ok</t>
  </si>
  <si>
    <t>Negro - Magenta - Cyan</t>
  </si>
  <si>
    <t>Cyan Magenta</t>
  </si>
  <si>
    <t>Amarrillo - Magenta - Caja Mantenimiento</t>
  </si>
  <si>
    <t>Negro</t>
  </si>
  <si>
    <t>Iphone 15</t>
  </si>
  <si>
    <t>G2CC6M2LM7</t>
  </si>
  <si>
    <t>LIMCOC06</t>
  </si>
  <si>
    <t>10.72.8.79</t>
  </si>
  <si>
    <t>LIMH1W7P89</t>
  </si>
  <si>
    <t>R8YXB0P29RZ</t>
  </si>
  <si>
    <t>Ex equipo de Rossi Pachas</t>
  </si>
  <si>
    <t>Nuevo equipo</t>
  </si>
  <si>
    <t>Ex Hanna Ramos - AyB</t>
  </si>
  <si>
    <t>AYCQCP5412400764</t>
  </si>
  <si>
    <t>X5b</t>
  </si>
  <si>
    <t>Sous Chef Ejecutivo</t>
  </si>
  <si>
    <t>Ex Equipo Room Service</t>
  </si>
  <si>
    <t>LEME DE OLIVEIRA VICTOR</t>
  </si>
  <si>
    <t>Negro - Magenta - Amarillo - Cyan</t>
  </si>
  <si>
    <t>Magenta</t>
  </si>
  <si>
    <t>Negro y Magenta</t>
  </si>
  <si>
    <t>Negro y Cyan</t>
  </si>
  <si>
    <t>Toner Negro</t>
  </si>
  <si>
    <t>ThinkBook 16 G8 IRL</t>
  </si>
  <si>
    <t>PW0MTPAJ</t>
  </si>
  <si>
    <t>LIMSMDVM</t>
  </si>
  <si>
    <t>Equipo nuevo</t>
  </si>
  <si>
    <t>Z1 G9 Tower</t>
  </si>
  <si>
    <t>MXL5283YYX</t>
  </si>
  <si>
    <t>Caja Room Service</t>
  </si>
  <si>
    <t>10.72.8.246</t>
  </si>
  <si>
    <t>NAS QNAP</t>
  </si>
  <si>
    <t>NAS SYNOLOGY</t>
  </si>
  <si>
    <t>10.72.8.130</t>
  </si>
  <si>
    <t>Synology</t>
  </si>
  <si>
    <t>6 TB RAID</t>
  </si>
  <si>
    <t>RS1221RP+</t>
  </si>
  <si>
    <t>2630RXREXEWED</t>
  </si>
  <si>
    <t>90-R1221RU31</t>
  </si>
  <si>
    <t>LIMCMP5</t>
  </si>
  <si>
    <t>10.72.10.92</t>
  </si>
  <si>
    <t>LIMCNTSC</t>
  </si>
  <si>
    <t>10.72.10.177</t>
  </si>
  <si>
    <t>Sub Contralor</t>
  </si>
  <si>
    <t>ALVARADO CHAVARRY JIMMY GERARDO</t>
  </si>
  <si>
    <t>10590738</t>
  </si>
  <si>
    <t>Ex Andres Carhuanconta</t>
  </si>
  <si>
    <t>La PC lo utiliza Alex Cardenas con usuario de Andres</t>
  </si>
  <si>
    <t>10.72.10.</t>
  </si>
  <si>
    <t>45641S3SH01136</t>
  </si>
  <si>
    <t>Ex equipo de HK</t>
  </si>
  <si>
    <t>Limpieza Publica</t>
  </si>
  <si>
    <t>LIMPU01</t>
  </si>
  <si>
    <t>45641W3VF03212</t>
  </si>
  <si>
    <t>Microfono defectuoso. Ex Supervisores</t>
  </si>
  <si>
    <t>46690955</t>
  </si>
  <si>
    <t>46499465</t>
  </si>
  <si>
    <t>MagicInfo Server</t>
  </si>
  <si>
    <t>174.16.0.228</t>
  </si>
  <si>
    <t>Web Interna QR Menus Habitaciones</t>
  </si>
  <si>
    <t>B0-83-FE-5E-0A-B9</t>
  </si>
  <si>
    <t>Integrador Contastec con Opera Cloud - FACT. ELECT</t>
  </si>
  <si>
    <t>D0CSN22</t>
  </si>
  <si>
    <t>LIMH1SVRVI01</t>
  </si>
  <si>
    <t>Servidor VingCard</t>
  </si>
  <si>
    <t>B0-83-FE-5E-FF-7A</t>
  </si>
  <si>
    <t>2M2330095H</t>
  </si>
  <si>
    <t>9C-8E-99-56-75-B6</t>
  </si>
  <si>
    <t>10.72.8.101</t>
  </si>
  <si>
    <t>LIMH1SVRDC2</t>
  </si>
  <si>
    <t>1 TB</t>
  </si>
  <si>
    <t xml:space="preserve">2 TB </t>
  </si>
  <si>
    <t>4 TB</t>
  </si>
  <si>
    <t>DC/AC Secundario - File Server - WSUS</t>
  </si>
  <si>
    <t>2M2227009B</t>
  </si>
  <si>
    <t>9C-8E-99-4C-9E-94</t>
  </si>
  <si>
    <t>DC/AC Primario - File Server</t>
  </si>
  <si>
    <t>2M25130615</t>
  </si>
  <si>
    <t>FC-15-B4-94-A5-7A</t>
  </si>
  <si>
    <t>BRC3303P93</t>
  </si>
  <si>
    <t>74-46-A0-FE-C6-50</t>
  </si>
  <si>
    <t>LIMH1SVRHD</t>
  </si>
  <si>
    <t>Sistemas GLPI</t>
  </si>
  <si>
    <t>BRC3303NYA</t>
  </si>
  <si>
    <t>9C-8E-99-22-52-0E</t>
  </si>
  <si>
    <t>LIMH1SVRACT</t>
  </si>
  <si>
    <t>Sistemas GLPI - Swiss Service</t>
  </si>
  <si>
    <t>MXQ80906F0</t>
  </si>
  <si>
    <t>EC-EB-B8-89-25-8C</t>
  </si>
  <si>
    <t>Windows Server 2016</t>
  </si>
  <si>
    <t>Sistemas ERP SAP Business One</t>
  </si>
  <si>
    <t>2M25130616</t>
  </si>
  <si>
    <t>FC-15-B4-93-CA-B0</t>
  </si>
  <si>
    <t xml:space="preserve">Sistema Zkteco marcadores - BD Adryan </t>
  </si>
  <si>
    <t>Adryan Web - Sistema Asistencia</t>
  </si>
  <si>
    <t>10.72.8.237</t>
  </si>
  <si>
    <t>Lobby Bar</t>
  </si>
  <si>
    <t>10.72.8.236</t>
  </si>
  <si>
    <t>10.72.8.238</t>
  </si>
  <si>
    <t>10.72.8.247</t>
  </si>
  <si>
    <t>Caja La Fondue</t>
  </si>
  <si>
    <t>Caja Le Café</t>
  </si>
  <si>
    <t>Caja Lobby Bar</t>
  </si>
  <si>
    <t>Caja La Locanda</t>
  </si>
  <si>
    <t>La Locanda</t>
  </si>
  <si>
    <t>Custodia Sistemas</t>
  </si>
  <si>
    <t>Custodis Sistemas</t>
  </si>
  <si>
    <t xml:space="preserve">Ex  Caja La Fondue </t>
  </si>
  <si>
    <t>1CZ53601JG</t>
  </si>
  <si>
    <t>HP Prodesk 2 SFF GLI</t>
  </si>
  <si>
    <t>48-21-0B-7F-D5-A3</t>
  </si>
  <si>
    <t>Servidor de Interfaces de Opera Cloud</t>
  </si>
  <si>
    <t>2M2D45000W</t>
  </si>
  <si>
    <t>10.72.8.1</t>
  </si>
  <si>
    <t>LIMH1SVRDC0</t>
  </si>
  <si>
    <t xml:space="preserve"> 6C-83-75-5F-FE-B5</t>
  </si>
  <si>
    <t>Nuevo DC / AC / HyperV Center</t>
  </si>
  <si>
    <t>MX25040033</t>
  </si>
  <si>
    <t>MXQ90206FG</t>
  </si>
  <si>
    <t>LIMH1SVROPERA</t>
  </si>
  <si>
    <t>20-67-7C-E2-25-74</t>
  </si>
  <si>
    <t>LIMH1SVRIFC5</t>
  </si>
  <si>
    <t>10.72.8.81</t>
  </si>
  <si>
    <t>LIMH1SVRXDOCPRD</t>
  </si>
  <si>
    <t>MXQ14301DH</t>
  </si>
  <si>
    <t>44-1E-A1-45-AE-EA</t>
  </si>
  <si>
    <t>Firma de DOC - SAP (GOSOCKET) - No se utiliza</t>
  </si>
  <si>
    <t>Ex Server Interfaces Opera V5 - No se utiliza</t>
  </si>
  <si>
    <t>Server Opera V5 - Sistema antiguo - Consulta</t>
  </si>
  <si>
    <t>D0DRN22</t>
  </si>
  <si>
    <t>B0-83-FE-5E-FF-6C</t>
  </si>
  <si>
    <t>LIMH1SVRCAPS</t>
  </si>
  <si>
    <t>CAPS Simphony</t>
  </si>
  <si>
    <t>10.72.10.95</t>
  </si>
  <si>
    <t>D06RN22</t>
  </si>
  <si>
    <t>B0-83-FE-5E-F9-6B</t>
  </si>
  <si>
    <t>TARTEL - Tarificador - Desincronizado</t>
  </si>
  <si>
    <t>MX2341005A</t>
  </si>
  <si>
    <t>9C-B6-54-12-12-04</t>
  </si>
  <si>
    <t>TARIFICADOR - PCSISTEL (POR CONFIGURAR)</t>
  </si>
  <si>
    <t>C0DJ1LS</t>
  </si>
  <si>
    <t>Conexión Remoto - ACDC - Frontdesk</t>
  </si>
  <si>
    <t>MXQ5150B00</t>
  </si>
  <si>
    <t>ProLiant DL360p Gen 8</t>
  </si>
  <si>
    <t>ProLiant ML350p Gen 8</t>
  </si>
  <si>
    <t>ProLiant DL180 Gen 9</t>
  </si>
  <si>
    <t>ProLiant ML310e Gen 8</t>
  </si>
  <si>
    <t>ProLiant DL360 Gen 10</t>
  </si>
  <si>
    <t>ProLiant DL380 Gen 12</t>
  </si>
  <si>
    <t>ProLiant DL320e Gen 8</t>
  </si>
  <si>
    <t>ProLiant DL180 Gen 6</t>
  </si>
  <si>
    <t>SLINTSCRSIF03</t>
  </si>
  <si>
    <t>28-80-23-A2-D1-B4</t>
  </si>
  <si>
    <t>Conexión Remota - ORS - Revenue</t>
  </si>
  <si>
    <t>Honor X5b</t>
  </si>
  <si>
    <t>AYCQCP5412400850</t>
  </si>
  <si>
    <t>45694W3WD06103</t>
  </si>
  <si>
    <t>Foyer</t>
  </si>
  <si>
    <t>45641W3VF03205</t>
  </si>
  <si>
    <t>FOYER</t>
  </si>
  <si>
    <t>Empleado CyM Lobby</t>
  </si>
  <si>
    <t>Empleado CyM Foyer</t>
  </si>
  <si>
    <t>Supervisor CyM</t>
  </si>
  <si>
    <t>Empleado CyM Supervisor</t>
  </si>
  <si>
    <t>45641W3VF03228</t>
  </si>
  <si>
    <t>R8YY20LE70P</t>
  </si>
  <si>
    <t>AXLKCP4204409296</t>
  </si>
  <si>
    <t>X6a</t>
  </si>
  <si>
    <t>LIMSMVMEC</t>
  </si>
  <si>
    <t>44826856</t>
  </si>
  <si>
    <t>LIMVMEC</t>
  </si>
  <si>
    <t>320134544835</t>
  </si>
  <si>
    <t>R8YXB0P2ACF</t>
  </si>
  <si>
    <t xml:space="preserve">MAMANI SEVILLANO ANGIE </t>
  </si>
  <si>
    <t>46815301</t>
  </si>
  <si>
    <t>R8YL610KHPZ</t>
  </si>
  <si>
    <t>BOHORQUEZ LEMOR ROSSANA ARMIDA</t>
  </si>
  <si>
    <t>R92TA0P0DXR</t>
  </si>
  <si>
    <t>SM-A045M</t>
  </si>
  <si>
    <t>CyM</t>
  </si>
  <si>
    <t>TDE2-00008725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</si>
</sst>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theme="1"/>
      <name val="Century Gothic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</font>
    <font>
      <sz val="8"/>
      <color rgb="FFFF0000"/>
      <name val="Calibri"/>
      <family val="2"/>
    </font>
    <font>
      <sz val="9"/>
      <color theme="1"/>
      <name val="Calibri"/>
      <family val="2"/>
      <scheme val="minor"/>
    </font>
    <font>
      <sz val="8"/>
      <name val="Calibri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8"/>
      <color theme="1"/>
      <name val="Calibri"/>
      <family val="2"/>
      <scheme val="minor"/>
    </font>
    <font>
      <b/>
      <sz val="12"/>
      <color theme="8"/>
      <name val="Century Gothic"/>
      <family val="2"/>
    </font>
    <font>
      <sz val="11"/>
      <color rgb="FFFF0000"/>
      <name val="Calibri"/>
      <family val="2"/>
      <scheme val="minor"/>
    </font>
    <font>
      <sz val="10"/>
      <name val="Century Gothic"/>
      <family val="2"/>
    </font>
    <font>
      <b/>
      <sz val="11"/>
      <color theme="3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1"/>
      <name val="Calibri"/>
      <family val="2"/>
      <scheme val="minor"/>
    </font>
    <font>
      <sz val="11"/>
      <color theme="1"/>
      <name val="Century Gothic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6">
    <xf numFmtId="0" fontId="0" fillId="0" borderId="0"/>
    <xf numFmtId="0" fontId="6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</cellStyleXfs>
  <cellXfs count="1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14" fontId="4" fillId="0" borderId="1" xfId="0" applyNumberFormat="1" applyFont="1" applyBorder="1"/>
    <xf numFmtId="0" fontId="4" fillId="0" borderId="1" xfId="0" quotePrefix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/>
    <xf numFmtId="0" fontId="6" fillId="0" borderId="1" xfId="1" applyBorder="1"/>
    <xf numFmtId="49" fontId="8" fillId="0" borderId="1" xfId="2" applyNumberFormat="1" applyFont="1" applyBorder="1" applyAlignment="1">
      <alignment horizontal="center"/>
    </xf>
    <xf numFmtId="49" fontId="8" fillId="0" borderId="1" xfId="2" applyNumberFormat="1" applyFont="1" applyBorder="1"/>
    <xf numFmtId="0" fontId="8" fillId="0" borderId="1" xfId="2" applyFont="1" applyBorder="1"/>
    <xf numFmtId="0" fontId="8" fillId="0" borderId="1" xfId="2" applyFont="1" applyBorder="1" applyAlignment="1">
      <alignment horizontal="center"/>
    </xf>
    <xf numFmtId="14" fontId="8" fillId="0" borderId="1" xfId="2" applyNumberFormat="1" applyFont="1" applyBorder="1" applyAlignment="1">
      <alignment horizontal="center"/>
    </xf>
    <xf numFmtId="0" fontId="8" fillId="0" borderId="1" xfId="3" applyFont="1" applyBorder="1" applyAlignment="1">
      <alignment horizontal="center"/>
    </xf>
    <xf numFmtId="0" fontId="8" fillId="0" borderId="1" xfId="4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0" fontId="8" fillId="7" borderId="1" xfId="3" applyFont="1" applyFill="1" applyBorder="1" applyAlignment="1">
      <alignment horizontal="center"/>
    </xf>
    <xf numFmtId="0" fontId="8" fillId="7" borderId="1" xfId="4" applyFont="1" applyFill="1" applyBorder="1" applyAlignment="1">
      <alignment horizontal="center"/>
    </xf>
    <xf numFmtId="0" fontId="8" fillId="7" borderId="1" xfId="5" applyFont="1" applyFill="1" applyBorder="1" applyAlignment="1">
      <alignment horizontal="center"/>
    </xf>
    <xf numFmtId="49" fontId="9" fillId="0" borderId="1" xfId="2" applyNumberFormat="1" applyFont="1" applyBorder="1" applyAlignment="1">
      <alignment horizontal="center"/>
    </xf>
    <xf numFmtId="49" fontId="9" fillId="0" borderId="1" xfId="2" applyNumberFormat="1" applyFont="1" applyBorder="1"/>
    <xf numFmtId="0" fontId="9" fillId="0" borderId="1" xfId="2" applyFont="1" applyBorder="1"/>
    <xf numFmtId="0" fontId="9" fillId="0" borderId="1" xfId="2" applyFont="1" applyBorder="1" applyAlignment="1">
      <alignment horizontal="center"/>
    </xf>
    <xf numFmtId="14" fontId="9" fillId="0" borderId="1" xfId="2" applyNumberFormat="1" applyFont="1" applyBorder="1" applyAlignment="1">
      <alignment horizontal="center"/>
    </xf>
    <xf numFmtId="0" fontId="9" fillId="0" borderId="1" xfId="3" applyFont="1" applyBorder="1" applyAlignment="1">
      <alignment horizontal="center"/>
    </xf>
    <xf numFmtId="0" fontId="9" fillId="0" borderId="1" xfId="4" applyFont="1" applyBorder="1" applyAlignment="1">
      <alignment horizontal="center"/>
    </xf>
    <xf numFmtId="0" fontId="9" fillId="0" borderId="1" xfId="5" applyFont="1" applyBorder="1" applyAlignment="1">
      <alignment horizontal="center"/>
    </xf>
    <xf numFmtId="49" fontId="8" fillId="0" borderId="1" xfId="2" quotePrefix="1" applyNumberFormat="1" applyFont="1" applyBorder="1" applyAlignment="1">
      <alignment horizontal="center"/>
    </xf>
    <xf numFmtId="49" fontId="10" fillId="0" borderId="1" xfId="2" applyNumberFormat="1" applyFont="1" applyBorder="1" applyAlignment="1">
      <alignment horizontal="center"/>
    </xf>
    <xf numFmtId="49" fontId="8" fillId="0" borderId="1" xfId="2" quotePrefix="1" applyNumberFormat="1" applyFont="1" applyBorder="1"/>
    <xf numFmtId="49" fontId="11" fillId="0" borderId="1" xfId="2" applyNumberFormat="1" applyFont="1" applyBorder="1" applyAlignment="1">
      <alignment horizontal="center"/>
    </xf>
    <xf numFmtId="0" fontId="11" fillId="0" borderId="1" xfId="2" applyFont="1" applyBorder="1"/>
    <xf numFmtId="0" fontId="11" fillId="0" borderId="1" xfId="4" applyFont="1" applyBorder="1" applyAlignment="1">
      <alignment horizontal="center"/>
    </xf>
    <xf numFmtId="0" fontId="11" fillId="0" borderId="1" xfId="5" applyFont="1" applyBorder="1" applyAlignment="1">
      <alignment horizontal="center"/>
    </xf>
    <xf numFmtId="49" fontId="11" fillId="0" borderId="2" xfId="2" applyNumberFormat="1" applyFont="1" applyBorder="1" applyAlignment="1">
      <alignment horizontal="center"/>
    </xf>
    <xf numFmtId="0" fontId="11" fillId="0" borderId="2" xfId="2" applyFont="1" applyBorder="1"/>
    <xf numFmtId="49" fontId="8" fillId="0" borderId="2" xfId="2" applyNumberFormat="1" applyFont="1" applyBorder="1" applyAlignment="1">
      <alignment horizontal="center"/>
    </xf>
    <xf numFmtId="49" fontId="11" fillId="0" borderId="2" xfId="2" applyNumberFormat="1" applyFont="1" applyBorder="1"/>
    <xf numFmtId="49" fontId="8" fillId="0" borderId="2" xfId="2" quotePrefix="1" applyNumberFormat="1" applyFont="1" applyBorder="1"/>
    <xf numFmtId="49" fontId="11" fillId="0" borderId="1" xfId="2" applyNumberFormat="1" applyFont="1" applyBorder="1"/>
    <xf numFmtId="0" fontId="8" fillId="5" borderId="1" xfId="2" applyFont="1" applyFill="1" applyBorder="1"/>
    <xf numFmtId="0" fontId="4" fillId="0" borderId="1" xfId="0" applyFont="1" applyBorder="1" applyAlignment="1">
      <alignment wrapText="1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2" fillId="0" borderId="0" xfId="0" applyFont="1"/>
    <xf numFmtId="0" fontId="12" fillId="0" borderId="3" xfId="0" applyFont="1" applyBorder="1"/>
    <xf numFmtId="0" fontId="12" fillId="0" borderId="0" xfId="0" applyFont="1" applyAlignment="1">
      <alignment horizontal="left"/>
    </xf>
    <xf numFmtId="0" fontId="4" fillId="5" borderId="1" xfId="0" applyFont="1" applyFill="1" applyBorder="1"/>
    <xf numFmtId="0" fontId="6" fillId="0" borderId="0" xfId="1"/>
    <xf numFmtId="0" fontId="11" fillId="0" borderId="2" xfId="2" applyFont="1" applyBorder="1" applyAlignment="1">
      <alignment horizontal="center"/>
    </xf>
    <xf numFmtId="0" fontId="4" fillId="0" borderId="0" xfId="0" applyFont="1"/>
    <xf numFmtId="0" fontId="12" fillId="0" borderId="1" xfId="0" applyFont="1" applyBorder="1" applyAlignment="1">
      <alignment wrapText="1"/>
    </xf>
    <xf numFmtId="0" fontId="8" fillId="5" borderId="1" xfId="4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8" fillId="0" borderId="1" xfId="2" quotePrefix="1" applyFont="1" applyBorder="1" applyAlignment="1">
      <alignment horizontal="center"/>
    </xf>
    <xf numFmtId="0" fontId="0" fillId="0" borderId="1" xfId="0" applyBorder="1"/>
    <xf numFmtId="0" fontId="0" fillId="0" borderId="0" xfId="0" pivotButton="1" applyAlignment="1">
      <alignment horizontal="left" vertical="center" wrapText="1"/>
    </xf>
    <xf numFmtId="0" fontId="0" fillId="0" borderId="0" xfId="0" pivotButton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1" fillId="0" borderId="1" xfId="2" quotePrefix="1" applyFont="1" applyBorder="1" applyAlignment="1">
      <alignment horizontal="center"/>
    </xf>
    <xf numFmtId="0" fontId="0" fillId="0" borderId="0" xfId="0" pivotButton="1" applyAlignment="1">
      <alignment vertical="center" wrapText="1"/>
    </xf>
    <xf numFmtId="0" fontId="0" fillId="0" borderId="0" xfId="0" applyAlignment="1">
      <alignment vertical="center" wrapText="1"/>
    </xf>
    <xf numFmtId="0" fontId="11" fillId="0" borderId="1" xfId="2" applyFont="1" applyBorder="1" applyAlignment="1">
      <alignment horizontal="center"/>
    </xf>
    <xf numFmtId="0" fontId="14" fillId="0" borderId="1" xfId="0" applyFont="1" applyBorder="1"/>
    <xf numFmtId="0" fontId="14" fillId="0" borderId="1" xfId="0" quotePrefix="1" applyFont="1" applyBorder="1"/>
    <xf numFmtId="0" fontId="16" fillId="0" borderId="0" xfId="0" applyFont="1"/>
    <xf numFmtId="0" fontId="12" fillId="0" borderId="0" xfId="0" applyFont="1" applyAlignment="1">
      <alignment horizontal="center" vertical="center" wrapText="1"/>
    </xf>
    <xf numFmtId="0" fontId="17" fillId="0" borderId="1" xfId="0" applyFont="1" applyBorder="1"/>
    <xf numFmtId="0" fontId="12" fillId="0" borderId="1" xfId="0" applyFont="1" applyBorder="1" applyAlignment="1">
      <alignment horizontal="center"/>
    </xf>
    <xf numFmtId="0" fontId="13" fillId="5" borderId="1" xfId="0" applyFont="1" applyFill="1" applyBorder="1" applyAlignment="1">
      <alignment horizontal="center" vertical="center" wrapText="1"/>
    </xf>
    <xf numFmtId="0" fontId="11" fillId="0" borderId="1" xfId="2" quotePrefix="1" applyFont="1" applyBorder="1" applyAlignment="1">
      <alignment horizontal="left"/>
    </xf>
    <xf numFmtId="0" fontId="18" fillId="5" borderId="0" xfId="0" applyFont="1" applyFill="1" applyAlignment="1">
      <alignment horizontal="center" vertical="center"/>
    </xf>
    <xf numFmtId="0" fontId="0" fillId="0" borderId="0" xfId="0" pivotButton="1" applyAlignment="1">
      <alignment horizontal="center" vertical="center"/>
    </xf>
    <xf numFmtId="11" fontId="4" fillId="0" borderId="1" xfId="0" applyNumberFormat="1" applyFont="1" applyBorder="1" applyAlignment="1">
      <alignment horizontal="left"/>
    </xf>
    <xf numFmtId="0" fontId="0" fillId="0" borderId="0" xfId="0" pivotButton="1" applyAlignment="1">
      <alignment vertical="center"/>
    </xf>
    <xf numFmtId="0" fontId="4" fillId="9" borderId="1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14" fontId="4" fillId="0" borderId="1" xfId="0" applyNumberFormat="1" applyFont="1" applyBorder="1" applyAlignment="1">
      <alignment horizontal="center" vertical="center"/>
    </xf>
    <xf numFmtId="0" fontId="1" fillId="5" borderId="0" xfId="0" applyFont="1" applyFill="1"/>
    <xf numFmtId="0" fontId="4" fillId="5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20" fillId="0" borderId="0" xfId="0" applyFont="1"/>
    <xf numFmtId="0" fontId="20" fillId="0" borderId="1" xfId="0" applyFont="1" applyBorder="1"/>
    <xf numFmtId="0" fontId="21" fillId="0" borderId="1" xfId="0" applyFont="1" applyBorder="1"/>
    <xf numFmtId="0" fontId="21" fillId="10" borderId="1" xfId="0" applyFont="1" applyFill="1" applyBorder="1"/>
    <xf numFmtId="49" fontId="8" fillId="0" borderId="1" xfId="0" applyNumberFormat="1" applyFont="1" applyBorder="1"/>
    <xf numFmtId="49" fontId="8" fillId="0" borderId="1" xfId="0" applyNumberFormat="1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9" fontId="11" fillId="0" borderId="1" xfId="0" applyNumberFormat="1" applyFont="1" applyBorder="1"/>
    <xf numFmtId="0" fontId="8" fillId="0" borderId="1" xfId="0" applyFont="1" applyBorder="1"/>
    <xf numFmtId="0" fontId="3" fillId="6" borderId="0" xfId="2" applyFont="1" applyFill="1" applyAlignment="1">
      <alignment horizontal="center" vertical="center"/>
    </xf>
    <xf numFmtId="0" fontId="3" fillId="6" borderId="0" xfId="2" applyFont="1" applyFill="1" applyAlignment="1">
      <alignment vertical="center"/>
    </xf>
    <xf numFmtId="0" fontId="3" fillId="6" borderId="0" xfId="3" applyFont="1" applyFill="1" applyAlignment="1">
      <alignment horizontal="center" vertical="center"/>
    </xf>
    <xf numFmtId="0" fontId="3" fillId="6" borderId="0" xfId="3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1" xfId="0" quotePrefix="1" applyFont="1" applyBorder="1"/>
    <xf numFmtId="0" fontId="0" fillId="5" borderId="0" xfId="0" applyFill="1"/>
    <xf numFmtId="15" fontId="0" fillId="0" borderId="0" xfId="0" applyNumberFormat="1"/>
    <xf numFmtId="0" fontId="0" fillId="0" borderId="0" xfId="0" applyNumberFormat="1"/>
    <xf numFmtId="0" fontId="0" fillId="0" borderId="0" xfId="0" applyFill="1"/>
    <xf numFmtId="0" fontId="0" fillId="0" borderId="0" xfId="0" applyNumberFormat="1" applyFill="1"/>
    <xf numFmtId="0" fontId="0" fillId="5" borderId="0" xfId="0" applyNumberFormat="1" applyFill="1"/>
    <xf numFmtId="0" fontId="19" fillId="0" borderId="0" xfId="0" applyFont="1" applyFill="1"/>
    <xf numFmtId="0" fontId="4" fillId="0" borderId="1" xfId="0" applyFont="1" applyFill="1" applyBorder="1"/>
    <xf numFmtId="0" fontId="16" fillId="0" borderId="0" xfId="0" applyFont="1" applyFill="1"/>
    <xf numFmtId="0" fontId="20" fillId="0" borderId="1" xfId="0" applyFont="1" applyFill="1" applyBorder="1"/>
    <xf numFmtId="0" fontId="4" fillId="5" borderId="1" xfId="0" quotePrefix="1" applyFont="1" applyFill="1" applyBorder="1" applyAlignment="1">
      <alignment horizontal="left"/>
    </xf>
    <xf numFmtId="0" fontId="22" fillId="11" borderId="7" xfId="0" applyFont="1" applyFill="1" applyBorder="1" applyAlignment="1">
      <alignment vertical="center" wrapText="1"/>
    </xf>
    <xf numFmtId="0" fontId="19" fillId="5" borderId="0" xfId="0" applyFont="1" applyFill="1"/>
    <xf numFmtId="0" fontId="12" fillId="5" borderId="1" xfId="0" applyFont="1" applyFill="1" applyBorder="1"/>
    <xf numFmtId="0" fontId="0" fillId="12" borderId="0" xfId="0" applyFill="1"/>
    <xf numFmtId="0" fontId="3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11" fillId="0" borderId="1" xfId="0" applyFont="1" applyBorder="1"/>
    <xf numFmtId="49" fontId="11" fillId="0" borderId="1" xfId="0" quotePrefix="1" applyNumberFormat="1" applyFont="1" applyBorder="1"/>
    <xf numFmtId="49" fontId="8" fillId="0" borderId="1" xfId="0" applyNumberFormat="1" applyFont="1" applyFill="1" applyBorder="1" applyAlignment="1">
      <alignment horizontal="center"/>
    </xf>
    <xf numFmtId="0" fontId="8" fillId="0" borderId="1" xfId="3" applyFont="1" applyFill="1" applyBorder="1" applyAlignment="1">
      <alignment horizontal="center"/>
    </xf>
    <xf numFmtId="49" fontId="11" fillId="0" borderId="1" xfId="0" applyNumberFormat="1" applyFont="1" applyFill="1" applyBorder="1"/>
    <xf numFmtId="0" fontId="8" fillId="0" borderId="1" xfId="4" applyFont="1" applyFill="1" applyBorder="1" applyAlignment="1">
      <alignment horizontal="center"/>
    </xf>
    <xf numFmtId="0" fontId="8" fillId="0" borderId="1" xfId="5" applyFont="1" applyFill="1" applyBorder="1" applyAlignment="1">
      <alignment horizontal="center"/>
    </xf>
    <xf numFmtId="0" fontId="23" fillId="0" borderId="0" xfId="0" pivotButton="1" applyFont="1"/>
    <xf numFmtId="0" fontId="23" fillId="0" borderId="0" xfId="0" applyFont="1"/>
    <xf numFmtId="0" fontId="23" fillId="0" borderId="0" xfId="0" applyNumberFormat="1" applyFont="1"/>
    <xf numFmtId="0" fontId="15" fillId="8" borderId="0" xfId="0" applyFont="1" applyFill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1" xfId="0" applyFont="1" applyBorder="1" applyAlignment="1">
      <alignment horizontal="center"/>
    </xf>
  </cellXfs>
  <cellStyles count="6">
    <cellStyle name="Hipervínculo" xfId="1" builtinId="8"/>
    <cellStyle name="Normal" xfId="0" builtinId="0"/>
    <cellStyle name="Normal 15" xfId="3" xr:uid="{1EA6440D-5457-475A-9FD2-B0D30823650D}"/>
    <cellStyle name="Normal 2 2" xfId="4" xr:uid="{DBE4FDF8-A002-4521-883C-B2483EF3F4A2}"/>
    <cellStyle name="Normal 2 3" xfId="5" xr:uid="{32F776C8-F56E-484D-A6B5-B64B52A5CA98}"/>
    <cellStyle name="Normal 4" xfId="2" xr:uid="{5CD4B494-71C6-4409-A5AB-7901C0173621}"/>
  </cellStyles>
  <dxfs count="518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left"/>
    </dxf>
    <dxf>
      <font>
        <color auto="1"/>
      </font>
    </dxf>
    <dxf>
      <fill>
        <patternFill>
          <bgColor auto="1"/>
        </patternFill>
      </fill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fgColor rgb="FFFFFF00"/>
          <bgColor rgb="FF0000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left"/>
    </dxf>
    <dxf>
      <font>
        <color auto="1"/>
      </font>
    </dxf>
    <dxf>
      <fill>
        <patternFill>
          <bgColor auto="1"/>
        </patternFill>
      </fill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left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</font>
    </dxf>
    <dxf>
      <font>
        <color theme="3"/>
      </font>
    </dxf>
    <dxf>
      <fill>
        <patternFill patternType="solid">
          <bgColor rgb="FFFFFF00"/>
        </patternFill>
      </fill>
    </dxf>
    <dxf>
      <numFmt numFmtId="20" formatCode="d\-mmm\-yy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MH1IT06" refreshedDate="46286.817535995368" createdVersion="8" refreshedVersion="8" minRefreshableVersion="3" recordCount="701" xr:uid="{4DD0B70F-F58E-49DE-9784-7D9C3CA8BAB4}">
  <cacheSource type="worksheet">
    <worksheetSource ref="B5:AR721" sheet="InventarioSwiss"/>
  </cacheSource>
  <cacheFields count="43">
    <cacheField name="Item" numFmtId="0">
      <sharedItems containsString="0" containsBlank="1" containsNumber="1" containsInteger="1" minValue="1" maxValue="700"/>
    </cacheField>
    <cacheField name="Fecha" numFmtId="0">
      <sharedItems containsNonDate="0" containsDate="1" containsString="0" containsBlank="1" minDate="2026-01-08T00:00:00" maxDate="2026-02-18T00:00:00"/>
    </cacheField>
    <cacheField name="Pedido" numFmtId="0">
      <sharedItems containsNonDate="0" containsString="0" containsBlank="1"/>
    </cacheField>
    <cacheField name="Orden de Compra" numFmtId="0">
      <sharedItems containsNonDate="0" containsString="0" containsBlank="1"/>
    </cacheField>
    <cacheField name="GR - Movistar" numFmtId="0">
      <sharedItems containsBlank="1"/>
    </cacheField>
    <cacheField name="Equipo" numFmtId="0">
      <sharedItems containsBlank="1" count="10">
        <s v="Laptop"/>
        <s v="Monitor"/>
        <s v="Parlantes"/>
        <s v="Celular"/>
        <s v="PC"/>
        <s v="Tablet"/>
        <s v="Impresora"/>
        <s v="Micros"/>
        <s v="Servidor"/>
        <m/>
      </sharedItems>
    </cacheField>
    <cacheField name="Tipo" numFmtId="0">
      <sharedItems containsBlank="1" count="3">
        <s v="Usuario"/>
        <s v="Servidor"/>
        <m/>
      </sharedItems>
    </cacheField>
    <cacheField name="Marca" numFmtId="0">
      <sharedItems containsBlank="1" count="18">
        <s v="HP"/>
        <s v="Samsung"/>
        <s v="ZTE"/>
        <s v="Toshiba"/>
        <s v="Lenovo"/>
        <s v="Dell"/>
        <s v="Gigabyte"/>
        <s v="Sharp"/>
        <s v="Epson"/>
        <s v="Canon"/>
        <s v="Oracle"/>
        <s v="Xiaomi"/>
        <s v="Qnap"/>
        <s v="Honor"/>
        <s v="Apple"/>
        <s v="Synology"/>
        <m/>
        <s v="Xiomi" u="1"/>
      </sharedItems>
    </cacheField>
    <cacheField name="Modelo" numFmtId="0">
      <sharedItems containsBlank="1"/>
    </cacheField>
    <cacheField name="S/N" numFmtId="0">
      <sharedItems containsBlank="1" containsMixedTypes="1" containsNumber="1" containsInteger="1" minValue="15064216" maxValue="3500930400" count="262">
        <s v="CND8322H3N"/>
        <s v="0NWEHTHH600028Y"/>
        <s v="0BE814MJ200528E"/>
        <s v="LZ0A55PEDC8002023"/>
        <s v="YD039184H"/>
        <s v="YLT1642S"/>
        <s v="YLT16443"/>
        <s v="355VN22"/>
        <s v="D08SN22"/>
        <s v="CZZFN22"/>
        <s v="D0DHN22"/>
        <s v="CZNGN22"/>
        <s v="D1BGN22"/>
        <s v="D1BSN22"/>
        <s v="D00RN22"/>
        <s v="D04SN22"/>
        <s v="GK1TN22"/>
        <s v="HJH0ATGD"/>
        <n v="1601631981"/>
        <n v="1601631938"/>
        <s v="YLT16FYF"/>
        <s v="YD039215H"/>
        <s v="YLT1643J"/>
        <s v="CN012MWY6418046P3JJU"/>
        <s v="CN012MWY6418046P3P7U"/>
        <s v="03AMHCJJ100119B"/>
        <s v="MXL4321BG8"/>
        <n v="3500930400"/>
        <s v="X3B7003661"/>
        <s v="XBJZ017266"/>
        <s v="XBJZ021772"/>
        <s v="XBJZ027512"/>
        <s v="X3B7003659"/>
        <s v="X3B7003703"/>
        <s v="X3B7002433"/>
        <n v="15064216"/>
        <s v="QFX06245"/>
        <s v="X3B7003711"/>
        <s v="35E33608"/>
        <s v="35E33607"/>
        <s v="XBJZ017603"/>
        <s v="X3B7003671"/>
        <s v="XBJZ021745"/>
        <s v="X3B7003660"/>
        <s v="X3B7003876"/>
        <s v="X3B7003739"/>
        <s v="XBJZ017602"/>
        <s v="9502370Y00"/>
        <s v="GK2QN22"/>
        <s v="GJQGN22"/>
        <s v="MXL4321BFN"/>
        <m/>
        <s v="GK6DN22"/>
        <s v="D0GQN22"/>
        <s v="GJWQN22"/>
        <s v="D03QN22"/>
        <s v="CZPRN22"/>
        <s v="CN012MWY6418046P1V7U"/>
        <s v="CN012MWY6418046P3NAU"/>
        <s v="D0HFN22"/>
        <s v="CZYQN22"/>
        <s v="D01GN22"/>
        <s v="353YN22"/>
        <s v="35CXN22"/>
        <s v="630Q7V3"/>
        <s v="D0BFN22"/>
        <s v="D05HN22"/>
        <s v="3540P22"/>
        <s v="CZPSN22"/>
        <s v="D0HQN22"/>
        <s v="D02RN22"/>
        <s v="GK0SN22"/>
        <s v="D05FN22"/>
        <s v="D09RN22"/>
        <s v="D04FN22"/>
        <s v="352YN22"/>
        <s v="GJVRN22"/>
        <s v="D0HRN22"/>
        <s v="D09HN22"/>
        <s v="GK5FN22"/>
        <s v="GJVQN22"/>
        <s v="D07QN22"/>
        <s v="35DWN22"/>
        <s v="GK2HN22"/>
        <s v="D1LDN22"/>
        <s v="GJXSN22"/>
        <s v="D0KQN22"/>
        <s v="CZYRN22"/>
        <s v="D0DDN22"/>
        <s v="D05SN22"/>
        <s v="CZVGN22"/>
        <s v="359ZN22"/>
        <s v="355YN22"/>
        <s v="D0KRN22"/>
        <s v="MXL3460T3Y"/>
        <s v="351YN22"/>
        <s v="B8WS5X3"/>
        <s v="MXL4321BFP"/>
        <s v="34ZZN22"/>
        <s v="8RLT5X3"/>
        <s v="D0FQN22"/>
        <s v="GJHGN22"/>
        <s v="D02QN22"/>
        <s v="D00FN22"/>
        <s v="351WN22"/>
        <s v="D07SN22"/>
        <s v="H4WS5X3"/>
        <s v="D09QN22"/>
        <s v="CN012MWY6418046P1V1U"/>
        <s v="CN012MWY6418046P3P9U"/>
        <s v="CN012MWY6418046P1UTU"/>
        <s v="353WN22"/>
        <s v="CN012MWY6418046P3DEU"/>
        <s v="CN012MWY6418046P3KQU"/>
        <s v="CZPQN22"/>
        <s v="6CM335225X"/>
        <s v="CN012MWY6418046P3N7U"/>
        <s v="CN012MWY6418046P3DJU"/>
        <s v="CN012MWY6418046P3N5U"/>
        <s v="GK4RN22"/>
        <s v="CN012MWY6418046P3JSU"/>
        <s v="CN012MWY6418046P21PU"/>
        <s v="CN012MWY6418046P3N1U"/>
        <s v="D1FDN22"/>
        <s v="CN012MWY6418046P3Q6U"/>
        <s v="CN012MWY6418047B0LTU"/>
        <s v="CN012MWY6418046P3MZU"/>
        <s v="7HHT5X3"/>
        <s v="CN0JF44YFCC008BAA18BA05"/>
        <s v="CN012MWY6418046P3H3U"/>
        <s v="CN012MWY6418046P1VEU"/>
        <s v="CN012MWY6418046P3MXU"/>
        <s v="VNABKCYL"/>
        <s v="VNABKD1B"/>
        <s v="VNABKDGC"/>
        <s v="VNABKD7C"/>
        <s v="0NWEHTHH600016F"/>
        <s v="351XN22"/>
        <s v="CZWFN22"/>
        <s v="3580P22"/>
        <s v="GK6GN22"/>
        <s v="D0KDN22"/>
        <s v="D19SN22"/>
        <s v="357ZN22"/>
        <s v="CZZPN22"/>
        <s v="PF3KWH96"/>
        <s v="60YY282"/>
        <s v="356YN22"/>
        <s v="GJZRN22"/>
        <s v="3550P22"/>
        <s v="CZNQN22"/>
        <s v="D1HFN22"/>
        <s v="CN012MWY6418046P1V6U"/>
        <s v="CN012MWY6418046P3JYU"/>
        <s v="3510P22"/>
        <s v="GJPFN22"/>
        <s v="D1DDN22"/>
        <s v="MXL446116X"/>
        <s v="GK0GN22"/>
        <s v="D02FN22"/>
        <s v="GJWSN22"/>
        <s v="D00TN22"/>
        <s v="CN012MWY6418046P3QGU"/>
        <s v="MXL4321BFX"/>
        <s v="R8YY806G4WD"/>
        <s v="45641S3SH01121"/>
        <s v="45641S3SH03456"/>
        <s v="5111164SKO1837"/>
        <s v="R8YXB0P2AEE"/>
        <s v="320134544828"/>
        <s v="MXL3460T6K"/>
        <s v="R8YY50R8LQL"/>
        <s v="R8YY50Z8NLT"/>
        <s v="R8YY50R8LVA"/>
        <s v="R8YY50R8LTH"/>
        <s v="R8YY817VTEB"/>
        <s v="R8YY8079D9K"/>
        <s v="R8YY50Z6T3L"/>
        <s v="R8YY817VJTK"/>
        <s v="45641S3SH03421"/>
        <s v="R8YYC1561XA"/>
        <s v="R8YYC154VWA"/>
        <s v="R8YYC1562XV"/>
        <s v="R8YYC15635M"/>
        <s v="R8YYC15626L"/>
        <s v="R8YYC1550TR"/>
        <s v="R8YYC154PNF"/>
        <s v="R8YYC155FNZ"/>
        <s v="R8YYC15633Y"/>
        <s v="R8YYA0ZCPWV"/>
        <s v="R8YYC155YLH"/>
        <s v="R8YYC15636F"/>
        <s v="R8YYC1561NL"/>
        <s v="R8YYC155KZF"/>
        <s v="R8YYC1CLHWW"/>
        <s v="R8YYC1CLQGT"/>
        <s v="R8YL1003L2V"/>
        <s v="R8YL1003M1R"/>
        <s v="45641S3SH01122"/>
        <s v="Q5Q5T104802"/>
        <s v="AYCQCP5412401003"/>
        <s v="AYCQCP5412400615"/>
        <s v="45694W3WD06392"/>
        <s v="45641S3SH03433"/>
        <s v="R8YXB0P295H"/>
        <s v="5111164SK02651"/>
        <s v="320134545086"/>
        <s v="R8YXB0P1Y5W"/>
        <s v="R8YXA0XCYSB"/>
        <s v="45641S3SH03530"/>
        <s v="45641S3SH02681"/>
        <s v="45641S3SH00142"/>
        <s v="MZ00212Y"/>
        <s v="9CG6262196"/>
        <s v="MZ00213H"/>
        <s v="5365ECB05002309"/>
        <s v="5365ECB05002324"/>
        <s v="5365ECB05002312"/>
        <s v="5365ECB05002311"/>
        <s v="5365ECB05002274"/>
        <s v="5365ECB05002273"/>
        <s v="5365ECB05002282"/>
        <s v="5365ECB05002291"/>
        <s v="CZNDN22"/>
        <s v="AYCQCP541200059"/>
        <s v="R8YXB0P24HN"/>
        <s v="G2CC6M2LM7"/>
        <s v="R8YXB0P29RZ"/>
        <s v="AYCQCP5412400764"/>
        <s v="PW0MTPAJ"/>
        <s v="MXL5283YYX"/>
        <s v="2630RXREXEWED"/>
        <s v="45641S3SH01136"/>
        <s v="45641W3VF03212"/>
        <s v="D0CSN22"/>
        <s v="2M2330095H"/>
        <s v="2M2227009B"/>
        <s v="2M25130615"/>
        <s v="BRC3303P93"/>
        <s v="BRC3303NYA"/>
        <s v="MXQ80906F0"/>
        <s v="2M25130616"/>
        <s v="1CZ53601JG"/>
        <s v="2M2D45000W"/>
        <s v="MX25040033"/>
        <s v="MXQ90206FG"/>
        <s v="MXQ14301DH"/>
        <s v="D0DRN22"/>
        <s v="D06RN22"/>
        <s v="MX2341005A"/>
        <s v="MXQ5150B00"/>
        <s v="AYCQCP5412400850"/>
        <s v="45694W3WD06103"/>
        <s v="45641W3VF03205"/>
        <s v="45641W3VF03228"/>
        <s v="R8YY20LE70P"/>
        <s v="AXLKCP4204409296"/>
        <s v="320134544835"/>
        <s v="R8YXB0P2ACF"/>
        <s v="R8YL610KHPZ"/>
        <s v="R92TA0P0DXR"/>
        <n v="1601631979" u="1"/>
      </sharedItems>
    </cacheField>
    <cacheField name="P/N" numFmtId="0">
      <sharedItems containsBlank="1"/>
    </cacheField>
    <cacheField name="Operador" numFmtId="0">
      <sharedItems containsBlank="1"/>
    </cacheField>
    <cacheField name="Linea" numFmtId="0">
      <sharedItems containsString="0" containsBlank="1" containsNumber="1" containsInteger="1" minValue="920450123" maxValue="998308422"/>
    </cacheField>
    <cacheField name="IMEI1" numFmtId="0">
      <sharedItems containsString="0" containsBlank="1" containsNumber="1" containsInteger="1" minValue="351755486054590" maxValue="866849060091884"/>
    </cacheField>
    <cacheField name="IMEI2" numFmtId="0">
      <sharedItems containsString="0" containsBlank="1" containsNumber="1" containsInteger="1" minValue="86157807113595" maxValue="866317068523167"/>
    </cacheField>
    <cacheField name="Cuenta Gmail" numFmtId="0">
      <sharedItems containsBlank="1"/>
    </cacheField>
    <cacheField name="Clave Gmail" numFmtId="0">
      <sharedItems containsNonDate="0" containsString="0" containsBlank="1"/>
    </cacheField>
    <cacheField name="Mac Address" numFmtId="0">
      <sharedItems containsBlank="1"/>
    </cacheField>
    <cacheField name="Mac Address - Wifi" numFmtId="0">
      <sharedItems containsBlank="1"/>
    </cacheField>
    <cacheField name="IP" numFmtId="0">
      <sharedItems containsBlank="1" count="143">
        <s v="10.72.10.168"/>
        <m/>
        <s v="10.72.10.177"/>
        <s v="10.72.10.146"/>
        <s v="10.72.10.162"/>
        <s v="10.72.10.173"/>
        <s v="10.72.10.129"/>
        <s v="10.72.8.115"/>
        <s v="10.72.10.109"/>
        <s v="10.72.10.103"/>
        <s v="10.72.10.120"/>
        <s v="10.72.10.34"/>
        <s v="10.72.8.200"/>
        <s v="10.72.8.132"/>
        <s v="10.72.8.229"/>
        <s v="10.72.8.151"/>
        <s v="10.72.8.210"/>
        <s v="10.72.8.197"/>
        <s v="10.9.10.153"/>
        <s v="10.72.8.191"/>
        <s v="10.72.8.203"/>
        <s v="10.72.8.215"/>
        <s v="10.72.8.205"/>
        <s v="10.72.8.211"/>
        <s v="10.72.8.153"/>
        <s v="10.72.8.196"/>
        <s v="10.72.8.208"/>
        <s v="10.72.8.219"/>
        <s v="10.72.8.204"/>
        <s v="10.72.8.220"/>
        <s v="10.72.10.43"/>
        <s v="10.72.8.206"/>
        <s v="10.72.8.207"/>
        <s v="10.72.10.84"/>
        <s v="10.72.10.152"/>
        <s v="10.72.10.93"/>
        <s v="10.72.10.111"/>
        <s v="10.72.10.130"/>
        <s v="10.72.10.138"/>
        <s v="10.72.10.41"/>
        <s v="10.72.10.53"/>
        <s v="10.72.10.157"/>
        <s v="10.72.10.70"/>
        <s v="10.72.10.51"/>
        <s v="10.72.10.33"/>
        <s v="10.72.10.133"/>
        <s v="10.72.10.161"/>
        <s v="10.72.10.37"/>
        <s v="10.72.10.149"/>
        <s v="10.72.10.95"/>
        <s v="10.72.10.165"/>
        <s v="10.72.10.110"/>
        <s v="10.72.10.83"/>
        <s v="10.72.10.44"/>
        <s v="10.72.10.106"/>
        <s v="10.9.10.38"/>
        <s v="10.72.10.87"/>
        <s v="10.72.10.63"/>
        <s v="10.72.10.135"/>
        <s v="10.72.10.72"/>
        <s v="10.72.10.136"/>
        <s v="10.72.10.159"/>
        <s v="10.72.10.76"/>
        <s v="10.72.10.77"/>
        <s v="10.72.10.86"/>
        <s v="10.72.10.92"/>
        <s v="10.72.10.100"/>
        <s v="10.72.10.17"/>
        <s v="10.72.10.71"/>
        <s v="10.72.10.81"/>
        <s v="10.72.10.50"/>
        <s v="10.72.10.145"/>
        <s v="10.72.10.67"/>
        <s v="10.72.10.73"/>
        <s v="10.72.10.121"/>
        <s v="10.72.10.85"/>
        <s v="10.72.10.61"/>
        <s v="10.72.10.65"/>
        <s v="10.72.10.25"/>
        <s v="10.72.8.113"/>
        <s v="10.72.10.96"/>
        <s v="10.72.10.91"/>
        <s v="10.72.10.118"/>
        <s v="10.72.10.90"/>
        <s v="10.72.10.108"/>
        <s v="10.72.10.52"/>
        <s v="10.72.10.141"/>
        <s v="10.72.10.54"/>
        <s v="10.72.10.74"/>
        <s v="10.72.10.104"/>
        <s v="10.72.10.123"/>
        <s v="10.72.10.56"/>
        <s v="10.72.10.101"/>
        <s v="10.72.10.148"/>
        <s v="10.72.10.139"/>
        <s v="10.72.10.144"/>
        <s v="10.72.10.49"/>
        <s v="10.72.10.99"/>
        <s v="10.72.10.131"/>
        <s v="10.72.10.80"/>
        <s v="10.72.10.112"/>
        <s v="10.72.10.82"/>
        <s v="10.72.10.125"/>
        <s v="10.72.10.94"/>
        <s v="10.72.10.164"/>
        <s v="10.72.8.120"/>
        <s v="10.72.8.247"/>
        <s v="10.72.8.245"/>
        <s v="10.72.8.238"/>
        <s v="10.72.8.246"/>
        <s v="10.72.8.237"/>
        <s v="10.72.8.236"/>
        <s v="174.16.0.228"/>
        <s v="10.72.8.130"/>
        <s v="10.72.8.212"/>
        <s v="10.72.8.101"/>
        <s v="10.72.8.100"/>
        <s v="10.72.8.181"/>
        <s v="10.72.8.182"/>
        <s v="10.72.8.183"/>
        <s v="10.72.8.40"/>
        <s v="10.72.8.180"/>
        <s v="10.72.9.10"/>
        <s v="10.72.8.1"/>
        <s v="10.72.8.39"/>
        <s v="10.72.8.81"/>
        <s v="10.72.8.56"/>
        <s v="10.72.8.79"/>
        <s v="10.72.8.78"/>
        <s v="10.32.0.102"/>
        <s v="no IP" u="1"/>
        <s v="10.72.10.121.0" u="1"/>
        <s v="ip" u="1"/>
        <s v="10.72.10.40" u="1"/>
        <s v="Ñ" u="1"/>
        <s v="10.72.10.78" u="1"/>
        <s v="10.72.10.128" u="1"/>
        <s v="10.72.10.105" u="1"/>
        <s v="10.72.10.142" u="1"/>
        <s v="10.72.10.137" u="1"/>
        <s v="10.72.10.57" u="1"/>
        <s v="10.72.8.65" u="1"/>
        <s v="10.72.1078" u="1"/>
      </sharedItems>
    </cacheField>
    <cacheField name="Nombre Host" numFmtId="0">
      <sharedItems containsBlank="1" count="89">
        <s v="LIMIT01"/>
        <m/>
        <s v="EPSON6FE2D0"/>
        <s v="EPSONAD20FE"/>
        <s v="EPSON6FE12A"/>
        <s v="EPSON72F276"/>
        <s v="EPSONAD2100"/>
        <s v="EPSONAD20F0"/>
        <s v="EPSONAC4D78"/>
        <s v="EPSON27359D"/>
        <s v="imageRUNNER1730i_x0009_"/>
        <s v="EPSONAD212C"/>
        <s v="EPSON6FE3B7"/>
        <s v="EPSON70EF10"/>
        <s v="EPSONAD20FF"/>
        <s v="EPSONAD092F"/>
        <s v="EPSONAD2172"/>
        <s v="EPSONAD213F"/>
        <s v="LIMMANT02"/>
        <s v="LIMH1W11IT01"/>
        <s v="LIMH1SMPC019"/>
        <s v="LIMH1W11P071"/>
        <s v="LIMH1ACPC003"/>
        <s v="LIMH1FBPC06"/>
        <s v="LIMH1GMPC02"/>
        <s v="LIMH1PUPC001"/>
        <s v="LIMH1SMPC012"/>
        <s v="LIMH1SMPC018"/>
        <s v="LIMH1SMPC020"/>
        <s v="LIMH1SMPC022"/>
        <s v="LIMH1SMPC023"/>
        <s v="LIMH1W7P07"/>
        <s v="LIMH1W7P34"/>
        <s v="LIMH1W7P48"/>
        <s v="LIMH1W7P57"/>
        <s v="LIMH1W7P65"/>
        <s v="LIMH1W7P85"/>
        <s v="LIMH1W7P95"/>
        <s v="LIMSMVMEC"/>
        <s v="LIMH1W7P101"/>
        <s v="LIMH1W10FB010"/>
        <s v="LIMH1W10GYM02"/>
        <s v="limh1w10p005"/>
        <s v="limh1w10p008"/>
        <s v="limh1w10p009"/>
        <s v="limh1w10p011"/>
        <s v="limh1w10p013"/>
        <s v="limh1w10p017"/>
        <s v="limh1w10p024"/>
        <s v="limh1w10p030"/>
        <s v="limh1w10p047"/>
        <s v="limh1w10p054"/>
        <s v="LIMH1W10P061"/>
        <s v="LIMH1W10P062"/>
        <s v="LIMH1W10P066"/>
        <s v="LIMH1W10P081"/>
        <s v="LIMH1W10P100"/>
        <s v="LIMH1W10P101"/>
        <s v="LIMH1W10PC004"/>
        <s v="LIMH1W10PC0010"/>
        <s v="LIMH1W10PC0011"/>
        <s v="LIMH1W10PCCYM"/>
        <s v="LIMH1W11HK02"/>
        <s v="LIMH1W11P036"/>
        <s v="LIMH1W11SM01"/>
        <s v="LIMH1W11SM07"/>
        <s v="LIMH1W11SM14"/>
        <s v="LIMH1W10P102"/>
        <s v="limh1w10p003"/>
        <s v="LIMH1W11SM08"/>
        <s v="LIMH1W10PC005"/>
        <s v="LIMH1W11PMS100"/>
        <s v="LIMH1W11SM09"/>
        <s v="LIMH1W11SM03"/>
        <s v="LIMH1W11SM15"/>
        <s v="LIMH1W11SM12"/>
        <s v="LIMH1W11SM11"/>
        <s v="LIMH1W11HK01"/>
        <s v="LIMH1W11FB12"/>
        <s v="LIMH1W11FO03"/>
        <s v="LIMH1W10CM02"/>
        <s v="LIMH1W7P05"/>
        <s v="NAS-SWISSLIM"/>
        <s v="LIMSWCAP1"/>
        <s v="LIMSWCAP3"/>
        <s v="LIMH1W7P97" u="1"/>
        <s v="limh1w10p059" u="1"/>
        <s v="LIMSWCAP2" u="1"/>
        <s v="LIMH1W11LT02" u="1"/>
      </sharedItems>
    </cacheField>
    <cacheField name="Nuevo Nombre Host" numFmtId="0">
      <sharedItems containsBlank="1" count="111">
        <m/>
        <s v="LIMCNTSC"/>
        <s v="LIMFD02"/>
        <s v="LIMVMVEN14"/>
        <s v="LIMVMAC"/>
        <s v="LIMCNTCONT8"/>
        <s v="LIMH1SVRCONAC"/>
        <s v="LIMCMSCM01"/>
        <s v="LIMAYBSGER"/>
        <s v="LIMSMGCC"/>
        <s v="LIMFD01"/>
        <s v="LIMFBSW"/>
        <s v="LIMMANT02"/>
        <s v="LIMFB02"/>
        <s v="LIMSMVEN1"/>
        <s v="LIMMANT01"/>
        <s v="LIMVMGRES"/>
        <s v="LIMCNTCONT5"/>
        <s v="LIMCOC04"/>
        <s v="LIMCOC05"/>
        <s v="LIMH1GMPC02"/>
        <s v="LIMCOMPGC"/>
        <s v="LIMH1SMPC012"/>
        <s v="LIMVMVEN01"/>
        <s v="LIMVMRES01"/>
        <s v="LIMVMRES03"/>
        <s v="LIMVMGVC"/>
        <s v="LIMH1W7P07"/>
        <s v="LIMFD04"/>
        <s v="LIMCNTCONT6"/>
        <s v="LIMCNTAI"/>
        <s v="LIMAYBBQ01"/>
        <s v="LIMAYBLB"/>
        <s v="LIMVMEC"/>
        <s v="LIMCNTCONT3"/>
        <s v="LIMCHEF"/>
        <s v="LIMDHGYM01"/>
        <s v="LIMAYBRS"/>
        <s v="LIMAYBLC02"/>
        <s v="LIMRD01"/>
        <s v="LIMAYBLL"/>
        <s v="LIMDHHK01"/>
        <s v="LIMDHLIM"/>
        <s v="LIMPCGCD"/>
        <s v="LIMDHSLV"/>
        <s v="LIMDHJHK"/>
        <s v="LIMCMP5"/>
        <s v="LIMAYBBQ02"/>
        <s v="LIMPCAPC"/>
        <s v="LIMCNTBG01"/>
        <s v="LIMH1W10PC004"/>
        <s v="LIMDHBOT"/>
        <s v="LIMH1W11HK02"/>
        <s v="LIMH1W11SM01"/>
        <s v="LIMVMC1"/>
        <s v="LIMH1W11SM14"/>
        <s v="LIMH1W10P102"/>
        <s v="limh1w10p003"/>
        <s v="LIMH1W11SM08"/>
        <s v="LIMHR6"/>
        <s v="LIMVMRES02"/>
        <s v="LIMAYBLC01"/>
        <s v="LIMVMC2"/>
        <s v="LIMH1W11SM03"/>
        <s v="LIMH1W11SM15"/>
        <s v="LIMVMVEN02"/>
        <s v="LIMVMGGE"/>
        <s v="LIMVMC3"/>
        <s v="LIMPU01"/>
        <s v="LIMPCAS"/>
        <s v="LIMAYBGER"/>
        <s v="LIMH1W11HK01"/>
        <s v="LIMCNTAI02"/>
        <s v="LIMCOC03"/>
        <s v="LIMCOC02"/>
        <s v="LIMCOC01"/>
        <s v="LIMMANTGER"/>
        <s v="LIMRD02"/>
        <s v="LIMCNTCONT7"/>
        <s v="LIMCMASST"/>
        <s v="LIMH1CAJA_FONDU"/>
        <s v="LIMH1W11AC02"/>
        <s v="LIMDHREC"/>
        <s v="LIMSWCAP1"/>
        <s v="LIMCOC06"/>
        <s v="LIMSWCAP3"/>
        <s v="LIMH1SVRQR"/>
        <s v="LIMSMDVM"/>
        <s v="LIMCNTCONT4"/>
        <s v="LIMH1SVRVI01"/>
        <s v="LIMH1SVRDC2"/>
        <s v="LIMH1SVRDC1"/>
        <s v="LIMH1SVRAD02"/>
        <s v="LIMH1SVRHD"/>
        <s v="LIMH1SVRACT"/>
        <s v="LIMH1SVRSAP"/>
        <s v="LIMH1SVRAD01"/>
        <s v="LIMH1SVRINT"/>
        <s v="LIMH1SVRDC0"/>
        <s v="LIMH1SVRIFC5"/>
        <s v="LIMH1SVROPERA"/>
        <s v="LIMH1SVRXDOCPRD"/>
        <s v="LIMH1SVRCAPS"/>
        <s v="LIMH1W7P89"/>
        <s v="LIMH1SRVPCSISTEL"/>
        <s v="SLINTSCRSIF03"/>
        <s v="LIMSMVMEC" u="1"/>
        <s v="LIMSMDSM" u="1"/>
        <s v="LIMSWCAP2" u="1"/>
        <s v="LIMH1W10CM02" u="1"/>
        <s v="10.72.10.70" u="1"/>
      </sharedItems>
    </cacheField>
    <cacheField name="Procesador" numFmtId="0">
      <sharedItems containsBlank="1"/>
    </cacheField>
    <cacheField name="Generación Procesador" numFmtId="0">
      <sharedItems containsBlank="1"/>
    </cacheField>
    <cacheField name="Chip Video" numFmtId="0">
      <sharedItems containsBlank="1"/>
    </cacheField>
    <cacheField name="Ram" numFmtId="0">
      <sharedItems containsBlank="1" count="19">
        <s v="32 GB DDR4"/>
        <m/>
        <s v="4GB"/>
        <s v="8 GB DDR3"/>
        <s v="16 GB DDR5"/>
        <s v="32 GB DDR5"/>
        <s v="12 GB DDR3"/>
        <s v="16 GB DDR3"/>
        <s v="1GB"/>
        <s v="32 GB DDR3"/>
        <s v="20 GB DDR3"/>
        <s v="8 GB DDR4"/>
        <s v="16 GB DDR4"/>
        <s v="3GB"/>
        <s v="128 GB DDR4"/>
        <s v="64 GB DDR5"/>
        <s v="64 GB DDR4"/>
        <s v="4GB + 8GB " u="1"/>
        <s v="4 GB DDR3" u="1"/>
      </sharedItems>
    </cacheField>
    <cacheField name="Ram Actual" numFmtId="0">
      <sharedItems containsNonDate="0" containsString="0" containsBlank="1"/>
    </cacheField>
    <cacheField name="Almacenamiento" numFmtId="0">
      <sharedItems containsBlank="1" count="17">
        <s v="480 GB SSD"/>
        <m/>
        <s v="128 GB"/>
        <s v="500 GB HDD"/>
        <s v="1000 GB SSD"/>
        <s v="16 GB"/>
        <s v="480 GB SSD + 500 GB HDD"/>
        <s v="250 GB SSD"/>
        <s v="500 GB SSD"/>
        <s v="500 GB SSD + 500 GB HDD"/>
        <s v="64 GB"/>
        <s v="16 TB RAID"/>
        <s v="6 TB RAID"/>
        <s v="2 TB "/>
        <s v="1 TB"/>
        <s v="4 TB"/>
        <s v="1000 GB HDD" u="1"/>
      </sharedItems>
    </cacheField>
    <cacheField name="Pantalla" numFmtId="0">
      <sharedItems containsBlank="1"/>
    </cacheField>
    <cacheField name="Sistema Operativo" numFmtId="0">
      <sharedItems containsBlank="1" count="14">
        <s v="Windows 11 Pro"/>
        <m/>
        <s v="Android"/>
        <s v="Windows 10 Pro"/>
        <s v="Windows 7 Pro"/>
        <s v="Windows 10 Enterprise"/>
        <s v="Linux"/>
        <s v="Windows 11 IoT Enterprise LTSC"/>
        <s v="iOS"/>
        <s v="Windows Server 2012"/>
        <s v="Windows Server 2008"/>
        <s v="Windows Server 2016"/>
        <s v="Windows Server 2025"/>
        <s v="Windows Server 2022"/>
      </sharedItems>
    </cacheField>
    <cacheField name="Antivirus" numFmtId="0">
      <sharedItems containsBlank="1"/>
    </cacheField>
    <cacheField name="Office" numFmtId="0">
      <sharedItems containsBlank="1" count="3">
        <s v="MS Office 2007 HB"/>
        <m/>
        <s v="MS Office 365 HB"/>
      </sharedItems>
    </cacheField>
    <cacheField name="Fech. Ini Garantía" numFmtId="0">
      <sharedItems containsNonDate="0" containsDate="1" containsString="0" containsBlank="1" minDate="2014-10-11T00:00:00" maxDate="2023-01-02T00:00:00"/>
    </cacheField>
    <cacheField name="Fech. Fin Garantía" numFmtId="0">
      <sharedItems containsNonDate="0" containsString="0" containsBlank="1"/>
    </cacheField>
    <cacheField name="Propiedad" numFmtId="0">
      <sharedItems containsBlank="1" count="3">
        <s v="HOTELERA COSTA DEL PACIFICO"/>
        <s v="Prov. DATACONT"/>
        <m/>
      </sharedItems>
    </cacheField>
    <cacheField name="Estado" numFmtId="0">
      <sharedItems containsBlank="1" count="8">
        <s v="Operativo"/>
        <s v="Custodia - Operativo"/>
        <s v="Custodia - Por Revisar"/>
        <s v="Custodia - Obsoleto"/>
        <s v="Custodia - Inoperativo"/>
        <m/>
        <s v="Inoperativo" u="1"/>
        <s v="Custodia - Por Repotenciar" u="1"/>
      </sharedItems>
    </cacheField>
    <cacheField name="DNI" numFmtId="0">
      <sharedItems containsBlank="1" containsMixedTypes="1" containsNumber="1" containsInteger="1" minValue="12345678" maxValue="75315987"/>
    </cacheField>
    <cacheField name="Código" numFmtId="0">
      <sharedItems containsBlank="1" containsMixedTypes="1" containsNumber="1" containsInteger="1" minValue="0" maxValue="0"/>
    </cacheField>
    <cacheField name="Usuario" numFmtId="0">
      <sharedItems containsBlank="1" containsMixedTypes="1" containsNumber="1" containsInteger="1" minValue="0" maxValue="0" count="123">
        <s v="SALINAS TORRES NOE"/>
        <s v="FALCON PAZ JULIAN MIGUEL ANGEL"/>
        <s v="Tecnologias de Información "/>
        <s v="ALVARADO CHAVARRY JIMMY GERARDO"/>
        <s v="Front Desk 2"/>
        <s v="VIDAL TAPIA ARIANA FERNANDA VALERIA"/>
        <s v="RAFAELO LORENZO ANA ROSA"/>
        <s v="MILLA GOMEZ ANJALI ABIGAIL"/>
        <s v="Control y Monitoreo"/>
        <s v="MEDINA CASTILLO ALVARO GERARDO"/>
        <s v="TRUJILLO GARAY MONICA ALEJANDRA"/>
        <s v="Front Desk 1"/>
        <s v="VEGA ARRATEA JAVIER VICTOR"/>
        <e v="#N/A"/>
        <s v="MAMANI SEVILLANO ANGIE "/>
        <s v="YAMUNAQUE CASTILLO HECTOR ARTURO"/>
        <s v="RAMOS MAGAN HANNA GRACE"/>
        <s v="CHUYES MENDOZA CLAUDIA ELIZABETH"/>
        <s v="MUÑOZ CUBA ROSA ALICIA"/>
        <s v="NOLASCO CUNYARACHE GABRIELA FLOR"/>
        <s v="PECHING CHIONG KARINA JANET"/>
        <s v="JARA RISCO GINO"/>
        <s v="TISNADO MEGO LEIDER ALFONZO"/>
        <s v="BAUTISTA CARDENAS MIGUEL ALEJANDRO"/>
        <s v="CONDORI MORENO ELIZABETH CINTHIA"/>
        <s v="SISTEMAS DE ACTIVOS FIJOS"/>
        <s v="OBARA AVI JUAN FERNANDO"/>
        <s v="PALACIOS CULQUI THALIA YARIM"/>
        <s v="CHAVEZ CRUZ MARITZA DINA"/>
        <s v="ROQUE SILVA TANIA MARYORI"/>
        <s v="BAGLIETTO ROJAS PIERO GIOVANI"/>
        <s v="VASQUEZ MORALES MARIELA IRAIS"/>
        <s v="Front Desk 4"/>
        <s v="ORELLANA CHIPANA MARTIN SANTIAGO"/>
        <s v="MOTA CASTRO JIM EDUARDO"/>
        <s v="UGAZ OLIVARES PALOMA"/>
        <s v="BOHORQUEZ LEMOR ROSSANA ARMIDA"/>
        <s v="CARHUANCOTA CHAVEZ ANDRES ALBERTO"/>
        <s v="LOPEZ PEREZ JUAN"/>
        <s v="MOGROVEJO BRACESCO ANDREA CAROLINA"/>
        <s v="HUAPAYA PEREZ LUIS ANGEL"/>
        <s v="ABANTO CARRANZA ANDREA SOFIA"/>
        <s v="CARBAJAL BRAVO ROMMEL MARTIN"/>
        <s v="HERRERA SOLIS CLAUDIA DANIELA FELICITA"/>
        <s v="CARDENAS ALCAZABA PAOLA RAQUEL"/>
        <s v="MARTINEZ SOTELO LUIS ENRIQUE"/>
        <s v="COBOS GRANDA GLADYS EDITH"/>
        <s v="VALDERRAMA ALVAREZ PABLO CESAR"/>
        <s v="LLACSAHUANGA VALENCIA EDITH"/>
        <s v="Puerta 5"/>
        <s v="GOMEZ COBEÑA PERCY BOLIVAR"/>
        <s v="CARRERA PALACIOS ROSALIA RENE"/>
        <s v="CARPIO PONCE GARY ANDRES"/>
        <s v="Front Desk 3"/>
        <s v="GAMBONI KOIFMAN DE TENORIO SANCHO DAVI C"/>
        <s v="CARRILLO SILVA ENRIQUE RAFAEL"/>
        <s v="ORELLANA GODOY MELCHORA OLINDA"/>
        <s v="CERRON ACUÑA JUAN MIGUEL"/>
        <s v="MENDIETA SOLANO WILLIAM JESUS"/>
        <s v="LOZADA PAREDES LIZBETH"/>
        <s v="RAMIREZ MORALES CARLO MARIO"/>
        <s v="TEJADA RIVEROS DIEGO JOEL"/>
        <s v="QUINTANA TALLEDO ANGELA VIRGINIA"/>
        <s v="CARBAJAL SANDOVAL KARIN GEORGHET"/>
        <s v="GUERRERO BOLAÑOS SONIBEL SOFIA"/>
        <s v="GUTIERREZ OYARDO ANGELA GEORGINA"/>
        <s v="SEGOVIA CRISPIN XAVIER ALONSO"/>
        <s v="WONG COM MICHELLE ANDREA"/>
        <s v="MECHATO VILCAPOMA MARCIA LUISA"/>
        <s v="VARGAS PINTO DIANA VERÓNICA"/>
        <s v="DAVILA GUERRERO DIANA MARIELLA"/>
        <s v="PACHAS DELGADO CARMEN ROSA"/>
        <s v="BAZAN CRUZ MARCIA ANGELA"/>
        <s v="QUISPILAYA FACHE DIANA KATHERINE"/>
        <s v="VILLACIS PAREDES MARIA DE LOS ANGELES"/>
        <s v="CASTRO MORA NELLY YOLANDA"/>
        <s v="PINEDA LOPEZ GLADYS DIANA"/>
        <s v="BRENDA STEFANY VILLAREAL MACHADO"/>
        <s v="ROMAN ZUÑIGA ANNIE PAOLA"/>
        <s v="SICHA PEREZ IRIS GIOVANNA"/>
        <s v="TRONCOS REQUEJO MELANIE ALICIA"/>
        <s v="CHAVEZ LING SUSANA BETSABE"/>
        <s v="VARGAS CACHIQUE ORLANDO FLORENCIO"/>
        <s v="LLANCA ZUÑIGA JIMMY WIELER"/>
        <s v="GAMARRA MARCELO TONY EISNTEIN"/>
        <s v="NOVOA ZACIGA MEY-LIN"/>
        <s v="LUNA MARIÑO FANNY ISABEL"/>
        <s v="HUAYAMA INGAROCA MERCEDES GRACIELA"/>
        <s v="MARQUEZ GODOY LUIS ANGEL"/>
        <s v="Micros"/>
        <s v="FLORES RAMIREZ PERCY FERNANDO"/>
        <s v="FONG SARAVIA ALEJANDRO FONG"/>
        <s v="RODRIGUEZ ESPINOZA CYANE MILAGROS"/>
        <s v="Housekeeping"/>
        <s v="VELIZ CHUCO WILIAN"/>
        <s v="HUAMAN NUÑUBERO ROSARIO NICOLE"/>
        <s v="Gerente de Turno"/>
        <s v="HOZMA DIAZ NORMA CONSTANZA"/>
        <s v="Empleado CyM Supervisor"/>
        <s v="FERNANDEZ CHOQUECAHUA MOISES"/>
        <s v="Lavandería"/>
        <s v="Room Service"/>
        <s v="CHAFALOTE MAURICIO CESAR HUGO"/>
        <s v="HINOSTROZA TOCCAS MIGUEL ANGEL"/>
        <s v="Limpieza Publica"/>
        <s v="ALEGRE ANGELES FERNANDA LUCIA"/>
        <s v="Caja La Fondue"/>
        <s v="Caja Le Café"/>
        <s v="Caja Room Service"/>
        <s v="Banquetes"/>
        <s v="Caja Lobby Bar"/>
        <s v="Caja La Locanda"/>
        <s v="GARCIA HERRERA YAZMIN MILAGROS"/>
        <s v="OREJUELA OLIVARES ANGELA ROSA"/>
        <s v="LEME DE OLIVEIRA VICTOR"/>
        <s v="CORDOVA ESTRADA JESUS MARTIN"/>
        <s v="HERRERA DELZO MARCO ANTONIO"/>
        <s v="Empleado CyM Lobby"/>
        <s v="Empleado CyM Foyer"/>
        <s v="ORIHUELA CARHUALLANQUI ROSMERY"/>
        <s v="RODRIGUEZ ROJAS JEAN PIERRE"/>
        <m/>
        <n v="0" u="1"/>
      </sharedItems>
    </cacheField>
    <cacheField name="Cargo" numFmtId="0">
      <sharedItems containsBlank="1" count="96">
        <s v="Analista de Sistemas"/>
        <s v="Supervisor Senior de A&amp;B"/>
        <s v="Tecnologias de Información "/>
        <s v="Sub Contralor"/>
        <s v="Recepcionista"/>
        <s v="Practicante de Ventas y Marketing"/>
        <s v="Asistente de Coordinación"/>
        <s v="Practicante de Contabilidad"/>
        <s v="Empleado Puesto de Control"/>
        <s v="Sub Gerente de A&amp;B "/>
        <s v="Gerente de Congresos y Convenciones"/>
        <s v="Supervisor Jr. de Steward"/>
        <e v="#N/A"/>
        <s v="Asistente de Mantenimiento"/>
        <s v="Gerente de Sistemas"/>
        <s v="Asistente Administrativa Jr."/>
        <s v="Ejecutiva de Eventos "/>
        <s v="Practicante de Mantenimiento"/>
        <s v="Gerenta de Reservas"/>
        <s v="Director de Alimentos y Bebidas"/>
        <s v="Encargado de Costos"/>
        <s v="Sub Chef"/>
        <s v="Asistente de Calidad"/>
        <s v="Sistema de Activos Fijos"/>
        <s v="Gerente de Compras"/>
        <s v="Jefe de Marketing"/>
        <s v="Ejecutiva de Ventas"/>
        <s v="Agente de Reservas"/>
        <s v="Jefe de Revenue"/>
        <s v="Gerente de Ventas Corporativas"/>
        <s v="Auditor de Ingresos"/>
        <s v="Asistente Senior de Contabilidad"/>
        <s v="Chef Ejecutivo"/>
        <s v="Supervisor de Gimnasio"/>
        <s v="Supervisor de A&amp;B"/>
        <s v="Consejero Gastronómico "/>
        <s v="Gerente de Turno"/>
        <s v="Restaurant Manager"/>
        <s v="Supervisor Jr. De Housekeeping"/>
        <s v="Supervisor Senior de Limpieza"/>
        <s v="Gerente de Capacitación y Desarrollo"/>
        <s v="Supervisor Senior de Lavanderia "/>
        <s v="Jefe de Housekeeping"/>
        <s v="Capitán de Banquetes"/>
        <s v="Asistente de Personas y Cultura"/>
        <s v="Bodeguero"/>
        <s v="Asistente de Gerencia General"/>
        <s v="Botones"/>
        <s v="Contador"/>
        <s v="Supervisor Jr. De Lavanderia "/>
        <s v="Gerente de Control y Monitero"/>
        <s v="Coordinador de Eventos"/>
        <s v="Gerente de Personas y Cultura"/>
        <s v="Enfermera"/>
        <s v="Asistente de Contabilidad"/>
        <s v="Ejecutiva de Ventas Senior "/>
        <s v="Gerente de Grupos y Eventos"/>
        <s v="Directora Regional de Revenue"/>
        <s v="Gerente de Compras Regional"/>
        <s v="Contralora Regional"/>
        <s v="Trabajadora Social"/>
        <s v="Gerente de Alimentos y Bebidas"/>
        <s v="Practicante Administrativo de Cocina"/>
        <s v="Supervisor Pasteleria / Panadería"/>
        <s v="Gerente de Mantenimiento"/>
        <s v="Técnico de Mantenimiento"/>
        <s v=" Técnico Electricista"/>
        <s v="Jefe de Recepción "/>
        <s v="Analista de Seguridad y Salud en el Trabajo"/>
        <s v="Symphony"/>
        <s v="Asistente de Cuentas por Cobrar"/>
        <s v="Empleado de Housekeeping"/>
        <s v="Jardinero"/>
        <s v="Recepcionista Back Office"/>
        <s v="Directora de Ventas y Marketing"/>
        <s v="Kenfix"/>
        <s v="Empleado de Lavanderia"/>
        <s v="Técnico Sanitario"/>
        <s v="Supervisor Cocina Producción"/>
        <s v="Empleado de Limpieza"/>
        <s v="Jefa de Aseguramiento de Calidad"/>
        <s v="Caja La Fondue"/>
        <s v="Caja Le Café"/>
        <s v="Caja Room Service"/>
        <s v="Banquetes"/>
        <s v="Caja Lobby Bar"/>
        <s v="Caja La Locanda"/>
        <s v="Consierge"/>
        <s v="Sous Chef Ejecutivo"/>
        <s v="Cocinero 1"/>
        <m/>
        <s v="Jefe de Gimnasio" u="1"/>
        <s v="Ejecutiva de Ventas Leisure" u="1"/>
        <s v="Asistente Administrativa Jr. de A&amp;B" u="1"/>
        <s v="Personas y Cultura" u="1"/>
        <s v="Asistenta social" u="1"/>
      </sharedItems>
    </cacheField>
    <cacheField name="Centro de Costo" numFmtId="0">
      <sharedItems containsBlank="1" count="40">
        <s v="Tecnologias de Información "/>
        <s v="Banquetes"/>
        <s v="Contabilidad"/>
        <s v="Recepción"/>
        <s v="Ventas"/>
        <s v="Control y Monitoreo"/>
        <s v="Gerencia A&amp;B"/>
        <s v="Steward"/>
        <e v="#N/A"/>
        <s v="Mantenimiento"/>
        <s v="Reservas"/>
        <s v="Cocina La Locanda "/>
        <s v="Calidad"/>
        <s v="Compras"/>
        <s v="Marketing"/>
        <s v="Revenue"/>
        <s v="Auditoría de Ingresos"/>
        <s v="Lobby"/>
        <s v="Cocina"/>
        <s v="Gym &amp; Spa"/>
        <s v="Room Service"/>
        <s v="Le Café "/>
        <s v="La Locanda "/>
        <s v="Housekeeping "/>
        <s v="Limpieza"/>
        <s v="Personas y Cultura"/>
        <s v="Lavandería"/>
        <s v="Bodegas"/>
        <s v="Gerencia General"/>
        <s v="Contraloría"/>
        <s v="Pastelería"/>
        <s v="Seguridad y Salud en el Trabajo"/>
        <s v="La Fondue"/>
        <s v="Piso Ejecutivo"/>
        <s v="Cocina Producción "/>
        <s v="Le Café"/>
        <s v="Lobby Bar"/>
        <s v="La Locanda"/>
        <s v="Cocina Le Café"/>
        <m/>
      </sharedItems>
    </cacheField>
    <cacheField name="Unidad" numFmtId="0">
      <sharedItems containsBlank="1" count="14">
        <s v="Tecnologias de Información "/>
        <s v="Alimentos y Bebidas"/>
        <s v="Contraloría"/>
        <s v="División de Habitaciones (Operaciones)"/>
        <s v="Ventas y Marketing"/>
        <s v="Control y Monitoreo"/>
        <e v="#N/A"/>
        <s v="Mantenimiento"/>
        <s v="Cocina"/>
        <s v="Compras"/>
        <s v="Personas y Cultura"/>
        <s v="Gerencia General"/>
        <m/>
        <s v="ñ" u="1"/>
      </sharedItems>
    </cacheField>
    <cacheField name="Observació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MH1IT06" refreshedDate="46286.817536342591" createdVersion="8" refreshedVersion="8" minRefreshableVersion="3" recordCount="700" xr:uid="{516A15FB-452F-4D8A-A24D-50A6D13AE3DA}">
  <cacheSource type="worksheet">
    <worksheetSource ref="B5:AR705" sheet="InventarioSwiss"/>
  </cacheSource>
  <cacheFields count="43">
    <cacheField name="Item" numFmtId="0">
      <sharedItems containsSemiMixedTypes="0" containsString="0" containsNumber="1" containsInteger="1" minValue="1" maxValue="700"/>
    </cacheField>
    <cacheField name="Fecha" numFmtId="0">
      <sharedItems containsNonDate="0" containsDate="1" containsString="0" containsBlank="1" minDate="2026-01-08T00:00:00" maxDate="2026-02-18T00:00:00"/>
    </cacheField>
    <cacheField name="Pedido" numFmtId="0">
      <sharedItems containsNonDate="0" containsString="0" containsBlank="1"/>
    </cacheField>
    <cacheField name="Orden de Compra" numFmtId="0">
      <sharedItems containsNonDate="0" containsString="0" containsBlank="1"/>
    </cacheField>
    <cacheField name="GR - Movistar" numFmtId="0">
      <sharedItems containsBlank="1"/>
    </cacheField>
    <cacheField name="Equipo" numFmtId="0">
      <sharedItems containsBlank="1" count="10">
        <s v="Laptop"/>
        <s v="Monitor"/>
        <s v="Parlantes"/>
        <s v="Celular"/>
        <s v="PC"/>
        <s v="Tablet"/>
        <s v="Impresora"/>
        <s v="Micros"/>
        <s v="Servidor"/>
        <m/>
      </sharedItems>
    </cacheField>
    <cacheField name="Tipo" numFmtId="0">
      <sharedItems containsBlank="1" count="3">
        <s v="Usuario"/>
        <s v="Servidor"/>
        <m/>
      </sharedItems>
    </cacheField>
    <cacheField name="Marca" numFmtId="0">
      <sharedItems containsBlank="1" count="18">
        <s v="HP"/>
        <s v="Samsung"/>
        <s v="ZTE"/>
        <s v="Toshiba"/>
        <s v="Lenovo"/>
        <s v="Dell"/>
        <s v="Gigabyte"/>
        <s v="Sharp"/>
        <s v="Epson"/>
        <s v="Canon"/>
        <s v="Oracle"/>
        <s v="Xiaomi"/>
        <s v="Qnap"/>
        <s v="Honor"/>
        <s v="Apple"/>
        <s v="Synology"/>
        <m/>
        <s v="Xiomi" u="1"/>
      </sharedItems>
    </cacheField>
    <cacheField name="Modelo" numFmtId="0">
      <sharedItems containsBlank="1" count="57">
        <s v="Notebook HP -15"/>
        <s v="S27E370D"/>
        <s v="HW-J250"/>
        <s v="ZTE Blade A55"/>
        <s v="PORTEGE-R930-SP3256KL"/>
        <s v="Thinkcentre Neo 50S"/>
        <s v="Optiplex 3020"/>
        <s v="A7600-F"/>
        <s v="GB-BSi3H-6100"/>
        <s v="E2014HC"/>
        <s v="DB22D-P"/>
        <m/>
        <s v="MX-3070V"/>
        <s v="WF-C5790 Series"/>
        <s v="WF-C5890 Series"/>
        <s v="MX-M3070"/>
        <s v="iR1730i_x0009_"/>
        <s v="iR1643i II"/>
        <s v="Prodesk 600 G1"/>
        <s v="Precision 3660"/>
        <s v="Optiplex 7000"/>
        <s v="HP LV1911"/>
        <s v="E2216H"/>
        <s v="E22-30"/>
        <s v="V15 G2-ITL "/>
        <s v="SM-A065M"/>
        <s v="Redmi 12C"/>
        <s v="Redmi 13C"/>
        <s v="ZTE Blade A72s"/>
        <s v="SM-A075M"/>
        <s v="TS-433"/>
        <s v="GFY-LX3"/>
        <s v="ZTE A7050"/>
        <s v="Thinkcentre M70Q"/>
        <s v="HP 260 G2 DM"/>
        <s v="Workstation 8"/>
        <s v="Iphone 15"/>
        <s v="X5b"/>
        <s v="ThinkBook 16 G8 IRL"/>
        <s v="Z1 G9 Tower"/>
        <s v="RS1221RP+"/>
        <s v="ProLiant ML350p Gen 8"/>
        <s v="ProLiant DL180 Gen 9"/>
        <s v="ProLiant ML310e Gen 8"/>
        <s v="ProLiant DL360 Gen 10"/>
        <s v="HP Prodesk 2 SFF GLI"/>
        <s v="ProLiant DL380 Gen 12"/>
        <s v="ProLiant DL320e Gen 8"/>
        <s v="ProLiant DL180 Gen 6"/>
        <s v="ProLiant DL360p Gen 8"/>
        <s v="Honor X5b"/>
        <s v="X6a"/>
        <s v="SM-A045M"/>
        <s v="iR-ADV C3330" u="1"/>
        <s v="WF-C869R Series" u="1"/>
        <s v="imageRUNNER1730i_x0009_" u="1"/>
        <s v="imageRUNNER iR1643i II" u="1"/>
      </sharedItems>
    </cacheField>
    <cacheField name="S/N" numFmtId="0">
      <sharedItems containsBlank="1" containsMixedTypes="1" containsNumber="1" containsInteger="1" minValue="15064216" maxValue="3500930400" count="262">
        <s v="CND8322H3N"/>
        <s v="0NWEHTHH600028Y"/>
        <s v="0BE814MJ200528E"/>
        <s v="LZ0A55PEDC8002023"/>
        <s v="YD039184H"/>
        <s v="YLT1642S"/>
        <s v="YLT16443"/>
        <s v="355VN22"/>
        <s v="D08SN22"/>
        <s v="CZZFN22"/>
        <s v="D0DHN22"/>
        <s v="CZNGN22"/>
        <s v="D1BGN22"/>
        <s v="D1BSN22"/>
        <s v="D00RN22"/>
        <s v="D04SN22"/>
        <s v="GK1TN22"/>
        <s v="HJH0ATGD"/>
        <n v="1601631981"/>
        <n v="1601631938"/>
        <s v="YLT16FYF"/>
        <s v="YD039215H"/>
        <s v="YLT1643J"/>
        <s v="CN012MWY6418046P3JJU"/>
        <s v="CN012MWY6418046P3P7U"/>
        <s v="03AMHCJJ100119B"/>
        <s v="MXL4321BG8"/>
        <n v="3500930400"/>
        <s v="X3B7003661"/>
        <s v="XBJZ017266"/>
        <s v="XBJZ021772"/>
        <s v="XBJZ027512"/>
        <s v="X3B7003659"/>
        <s v="X3B7003703"/>
        <s v="X3B7002433"/>
        <n v="15064216"/>
        <s v="QFX06245"/>
        <s v="X3B7003711"/>
        <s v="35E33608"/>
        <s v="35E33607"/>
        <s v="XBJZ017603"/>
        <s v="X3B7003671"/>
        <s v="XBJZ021745"/>
        <s v="X3B7003660"/>
        <s v="X3B7003876"/>
        <s v="X3B7003739"/>
        <s v="XBJZ017602"/>
        <s v="9502370Y00"/>
        <s v="GK2QN22"/>
        <s v="GJQGN22"/>
        <s v="MXL4321BFN"/>
        <m/>
        <s v="GK6DN22"/>
        <s v="D0GQN22"/>
        <s v="GJWQN22"/>
        <s v="D03QN22"/>
        <s v="CZPRN22"/>
        <s v="CN012MWY6418046P1V7U"/>
        <s v="CN012MWY6418046P3NAU"/>
        <s v="D0HFN22"/>
        <s v="CZYQN22"/>
        <s v="D01GN22"/>
        <s v="353YN22"/>
        <s v="35CXN22"/>
        <s v="630Q7V3"/>
        <s v="D0BFN22"/>
        <s v="D05HN22"/>
        <s v="3540P22"/>
        <s v="CZPSN22"/>
        <s v="D0HQN22"/>
        <s v="D02RN22"/>
        <s v="GK0SN22"/>
        <s v="D05FN22"/>
        <s v="D09RN22"/>
        <s v="D04FN22"/>
        <s v="352YN22"/>
        <s v="GJVRN22"/>
        <s v="D0HRN22"/>
        <s v="D09HN22"/>
        <s v="GK5FN22"/>
        <s v="GJVQN22"/>
        <s v="D07QN22"/>
        <s v="35DWN22"/>
        <s v="GK2HN22"/>
        <s v="D1LDN22"/>
        <s v="GJXSN22"/>
        <s v="D0KQN22"/>
        <s v="CZYRN22"/>
        <s v="D0DDN22"/>
        <s v="D05SN22"/>
        <s v="CZVGN22"/>
        <s v="359ZN22"/>
        <s v="355YN22"/>
        <s v="D0KRN22"/>
        <s v="MXL3460T3Y"/>
        <s v="351YN22"/>
        <s v="B8WS5X3"/>
        <s v="MXL4321BFP"/>
        <s v="34ZZN22"/>
        <s v="8RLT5X3"/>
        <s v="D0FQN22"/>
        <s v="GJHGN22"/>
        <s v="D02QN22"/>
        <s v="D00FN22"/>
        <s v="351WN22"/>
        <s v="D07SN22"/>
        <s v="H4WS5X3"/>
        <s v="D09QN22"/>
        <s v="CN012MWY6418046P1V1U"/>
        <s v="CN012MWY6418046P3P9U"/>
        <s v="CN012MWY6418046P1UTU"/>
        <s v="353WN22"/>
        <s v="CN012MWY6418046P3DEU"/>
        <s v="CN012MWY6418046P3KQU"/>
        <s v="CZPQN22"/>
        <s v="6CM335225X"/>
        <s v="CN012MWY6418046P3N7U"/>
        <s v="CN012MWY6418046P3DJU"/>
        <s v="CN012MWY6418046P3N5U"/>
        <s v="GK4RN22"/>
        <s v="CN012MWY6418046P3JSU"/>
        <s v="CN012MWY6418046P21PU"/>
        <s v="CN012MWY6418046P3N1U"/>
        <s v="D1FDN22"/>
        <s v="CN012MWY6418046P3Q6U"/>
        <s v="CN012MWY6418047B0LTU"/>
        <s v="CN012MWY6418046P3MZU"/>
        <s v="7HHT5X3"/>
        <s v="CN0JF44YFCC008BAA18BA05"/>
        <s v="CN012MWY6418046P3H3U"/>
        <s v="CN012MWY6418046P1VEU"/>
        <s v="CN012MWY6418046P3MXU"/>
        <s v="VNABKCYL"/>
        <s v="VNABKD1B"/>
        <s v="VNABKDGC"/>
        <s v="VNABKD7C"/>
        <s v="0NWEHTHH600016F"/>
        <s v="351XN22"/>
        <s v="CZWFN22"/>
        <s v="3580P22"/>
        <s v="GK6GN22"/>
        <s v="D0KDN22"/>
        <s v="D19SN22"/>
        <s v="357ZN22"/>
        <s v="CZZPN22"/>
        <s v="PF3KWH96"/>
        <s v="60YY282"/>
        <s v="356YN22"/>
        <s v="GJZRN22"/>
        <s v="3550P22"/>
        <s v="CZNQN22"/>
        <s v="D1HFN22"/>
        <s v="CN012MWY6418046P1V6U"/>
        <s v="CN012MWY6418046P3JYU"/>
        <s v="3510P22"/>
        <s v="GJPFN22"/>
        <s v="D1DDN22"/>
        <s v="MXL446116X"/>
        <s v="GK0GN22"/>
        <s v="D02FN22"/>
        <s v="GJWSN22"/>
        <s v="D00TN22"/>
        <s v="CN012MWY6418046P3QGU"/>
        <s v="MXL4321BFX"/>
        <s v="R8YY806G4WD"/>
        <s v="45641S3SH01121"/>
        <s v="45641S3SH03456"/>
        <s v="5111164SKO1837"/>
        <s v="R8YXB0P2AEE"/>
        <s v="320134544828"/>
        <s v="MXL3460T6K"/>
        <s v="R8YY50R8LQL"/>
        <s v="R8YY50Z8NLT"/>
        <s v="R8YY50R8LVA"/>
        <s v="R8YY50R8LTH"/>
        <s v="R8YY817VTEB"/>
        <s v="R8YY8079D9K"/>
        <s v="R8YY50Z6T3L"/>
        <s v="R8YY817VJTK"/>
        <s v="45641S3SH03421"/>
        <s v="R8YYC1561XA"/>
        <s v="R8YYC154VWA"/>
        <s v="R8YYC1562XV"/>
        <s v="R8YYC15635M"/>
        <s v="R8YYC15626L"/>
        <s v="R8YYC1550TR"/>
        <s v="R8YYC154PNF"/>
        <s v="R8YYC155FNZ"/>
        <s v="R8YYC15633Y"/>
        <s v="R8YYA0ZCPWV"/>
        <s v="R8YYC155YLH"/>
        <s v="R8YYC15636F"/>
        <s v="R8YYC1561NL"/>
        <s v="R8YYC155KZF"/>
        <s v="R8YYC1CLHWW"/>
        <s v="R8YYC1CLQGT"/>
        <s v="R8YL1003L2V"/>
        <s v="R8YL1003M1R"/>
        <s v="45641S3SH01122"/>
        <s v="Q5Q5T104802"/>
        <s v="AYCQCP5412401003"/>
        <s v="AYCQCP5412400615"/>
        <s v="45694W3WD06392"/>
        <s v="45641S3SH03433"/>
        <s v="R8YXB0P295H"/>
        <s v="5111164SK02651"/>
        <s v="320134545086"/>
        <s v="R8YXB0P1Y5W"/>
        <s v="R8YXA0XCYSB"/>
        <s v="45641S3SH03530"/>
        <s v="45641S3SH02681"/>
        <s v="45641S3SH00142"/>
        <s v="MZ00212Y"/>
        <s v="9CG6262196"/>
        <s v="MZ00213H"/>
        <s v="5365ECB05002309"/>
        <s v="5365ECB05002324"/>
        <s v="5365ECB05002312"/>
        <s v="5365ECB05002311"/>
        <s v="5365ECB05002274"/>
        <s v="5365ECB05002273"/>
        <s v="5365ECB05002282"/>
        <s v="5365ECB05002291"/>
        <s v="CZNDN22"/>
        <s v="AYCQCP541200059"/>
        <s v="R8YXB0P24HN"/>
        <s v="G2CC6M2LM7"/>
        <s v="R8YXB0P29RZ"/>
        <s v="AYCQCP5412400764"/>
        <s v="PW0MTPAJ"/>
        <s v="MXL5283YYX"/>
        <s v="2630RXREXEWED"/>
        <s v="45641S3SH01136"/>
        <s v="45641W3VF03212"/>
        <s v="D0CSN22"/>
        <s v="2M2330095H"/>
        <s v="2M2227009B"/>
        <s v="2M25130615"/>
        <s v="BRC3303P93"/>
        <s v="BRC3303NYA"/>
        <s v="MXQ80906F0"/>
        <s v="2M25130616"/>
        <s v="1CZ53601JG"/>
        <s v="2M2D45000W"/>
        <s v="MX25040033"/>
        <s v="MXQ90206FG"/>
        <s v="MXQ14301DH"/>
        <s v="D0DRN22"/>
        <s v="D06RN22"/>
        <s v="MX2341005A"/>
        <s v="MXQ5150B00"/>
        <s v="AYCQCP5412400850"/>
        <s v="45694W3WD06103"/>
        <s v="45641W3VF03205"/>
        <s v="45641W3VF03228"/>
        <s v="R8YY20LE70P"/>
        <s v="AXLKCP4204409296"/>
        <s v="320134544835"/>
        <s v="R8YXB0P2ACF"/>
        <s v="R8YL610KHPZ"/>
        <s v="R92TA0P0DXR"/>
        <n v="1601631979" u="1"/>
      </sharedItems>
    </cacheField>
    <cacheField name="P/N" numFmtId="0">
      <sharedItems containsBlank="1" containsMixedTypes="1" containsNumber="1" containsInteger="1" minValue="998304961" maxValue="998304961" count="18">
        <s v="3PX38LA"/>
        <m/>
        <s v="PT331P-0KW0GT"/>
        <s v="12XG0015LS"/>
        <s v="0WMJ54"/>
        <s v="E1Z55LT#ABM"/>
        <s v="0PDTHJ"/>
        <s v="E1Z56LT#ABM"/>
        <s v="04H8YK"/>
        <s v="A5V72A"/>
        <s v="63EBMAR2LA"/>
        <s v="LS27E370DS/PE"/>
        <s v="82KB00G6LM"/>
        <s v="12XG0019LD"/>
        <s v="8224919"/>
        <s v="90-R1221RU31"/>
        <s v="C0DJ1LS"/>
        <n v="998304961" u="1"/>
      </sharedItems>
    </cacheField>
    <cacheField name="Operador" numFmtId="0">
      <sharedItems containsBlank="1" count="3">
        <m/>
        <s v="Movistar"/>
        <s v="Claro"/>
      </sharedItems>
    </cacheField>
    <cacheField name="Linea" numFmtId="0">
      <sharedItems containsString="0" containsBlank="1" containsNumber="1" containsInteger="1" minValue="920450123" maxValue="998308422" count="60">
        <m/>
        <n v="965647947"/>
        <n v="951978376"/>
        <n v="951475617"/>
        <n v="951467104"/>
        <n v="981059356"/>
        <n v="951476828"/>
        <n v="920450183"/>
        <n v="998302853"/>
        <n v="998306054"/>
        <n v="965644296"/>
        <n v="939279594"/>
        <n v="951954496"/>
        <n v="998308168"/>
        <n v="951467930"/>
        <n v="971445118"/>
        <n v="951508202"/>
        <n v="998308408"/>
        <n v="968075713"/>
        <n v="998307721"/>
        <n v="951498168"/>
        <n v="998308422"/>
        <n v="938227149"/>
        <n v="937695632"/>
        <n v="951501442"/>
        <n v="979129791"/>
        <n v="951472305"/>
        <n v="948503559"/>
        <n v="948045093"/>
        <n v="968431778"/>
        <n v="951485167"/>
        <n v="981640078"/>
        <n v="920450123"/>
        <n v="951488107"/>
        <n v="965999258"/>
        <n v="998307463"/>
        <n v="951507986"/>
        <n v="939732352"/>
        <n v="998307528"/>
        <n v="974171056"/>
        <n v="951514974"/>
        <n v="951500713"/>
        <n v="951476508"/>
        <n v="998302563"/>
        <n v="966568745"/>
        <n v="951988553"/>
        <n v="939345654"/>
        <n v="951489642"/>
        <n v="951460326"/>
        <n v="998304961"/>
        <n v="998301625"/>
        <n v="951490122"/>
        <n v="998301155"/>
        <n v="998305943"/>
        <n v="983688907"/>
        <n v="998307752"/>
        <n v="938919165"/>
        <n v="938919323"/>
        <n v="998301952"/>
        <n v="976612325" u="1"/>
      </sharedItems>
    </cacheField>
    <cacheField name="IMEI1" numFmtId="1">
      <sharedItems containsString="0" containsBlank="1" containsNumber="1" containsInteger="1" minValue="351755486054590" maxValue="866849060091884" count="65">
        <m/>
        <n v="860590070432272"/>
        <n v="354715602692837"/>
        <n v="865451068887800"/>
        <n v="865451068730802"/>
        <n v="862805074027367"/>
        <n v="353384837598730"/>
        <n v="866849060089300"/>
        <n v="354685617321187"/>
        <n v="354685617982269"/>
        <n v="354685617321229"/>
        <n v="354685617321211"/>
        <n v="354715604104088"/>
        <n v="354715602783594"/>
        <n v="354685617961966"/>
        <n v="354715604101241"/>
        <n v="865451068744662"/>
        <n v="351755486069192"/>
        <n v="351755486056314"/>
        <n v="351755486069523"/>
        <n v="351755486069606"/>
        <n v="351755486069283"/>
        <n v="351755486057940"/>
        <n v="351755486054590"/>
        <n v="351755486062841"/>
        <n v="351755486069580"/>
        <n v="352859169459479"/>
        <n v="351755486068103"/>
        <n v="351755486069614"/>
        <n v="351755486069119"/>
        <n v="351755486064268"/>
        <n v="351755486110103"/>
        <n v="351755486112281"/>
        <n v="351755486659091"/>
        <n v="351755486659414"/>
        <n v="865451068883767"/>
        <n v="861578070747160"/>
        <n v="861578070734465"/>
        <n v="862480064845804"/>
        <n v="865451068729481"/>
        <n v="353384837598318"/>
        <n v="862805074036004"/>
        <n v="866849060091884"/>
        <n v="353384837594689"/>
        <n v="353384835439390"/>
        <n v="865451068740967"/>
        <n v="865451068876548"/>
        <n v="865451068714426"/>
        <n v="861578070738912"/>
        <n v="353384837596783"/>
        <n v="359626455688878"/>
        <n v="353384837598516"/>
        <n v="861578070735959"/>
        <n v="865451068889889"/>
        <n v="862448066334804"/>
        <n v="861578070736817"/>
        <n v="862480064827026"/>
        <n v="862448066333608"/>
        <n v="862448066334820"/>
        <n v="356310857653540"/>
        <n v="866317067923160"/>
        <n v="866849060089375"/>
        <n v="353384837598714"/>
        <n v="356253244392473"/>
        <n v="353883565165901"/>
      </sharedItems>
    </cacheField>
    <cacheField name="IMEI2" numFmtId="1">
      <sharedItems containsString="0" containsBlank="1" containsNumber="1" containsInteger="1" minValue="86157807113595" maxValue="866317068523167"/>
    </cacheField>
    <cacheField name="Cuenta Gmail" numFmtId="0">
      <sharedItems containsBlank="1"/>
    </cacheField>
    <cacheField name="Clave Gmail" numFmtId="0">
      <sharedItems containsNonDate="0" containsString="0" containsBlank="1"/>
    </cacheField>
    <cacheField name="Mac Address" numFmtId="0">
      <sharedItems containsBlank="1" count="123">
        <s v="50-91-E3-FC-3F-ED"/>
        <m/>
        <s v="B8-6B-23-AD-0C-20"/>
        <s v="D0-F4-05-3E-74-C1"/>
        <s v="B0-83-FE-5E-0A-B9"/>
        <s v="B0-83-FE-55-28-CD"/>
        <s v="B0-83-FE-5E-E5-BC"/>
        <s v="D0-F4-05-3F-CC-11"/>
        <s v="D0-F4-05-3E-74-BB"/>
        <s v="_x000a_A4:D7:3C:6F:E2:D0"/>
        <s v="9C:AE:D3:AD:20:FE"/>
        <s v="A4:D7:3C:6F:E1:2A"/>
        <s v="A4:D7:3C:70:EE:9C"/>
        <s v="A4:D7:3C:72:F2:76"/>
        <s v="9C:AE:D3:AD:21:00"/>
        <s v="9C:AE:D3:AD:20:F0"/>
        <s v="9C:AE:D3:AC:4D:78"/>
        <s v="9C:AE:D3:AD:21:2C"/>
        <s v="A4:D7:3C:6F:E3:B7"/>
        <s v="9C:AE:DE:AD:21:38"/>
        <s v="A4:D7:3C:70:EF:10"/>
        <s v="9C:AE:D3:AD:20:FF"/>
        <s v="9C:AE:D3:AD:09:2F"/>
        <s v="9C:AE:D3:AD:21:72"/>
        <s v="9C:AE:D3:AD:21:3F"/>
        <s v="B0-83-FE-5E-93-F0"/>
        <s v="B0-83-FE-5E-9D-9F"/>
        <s v="40-A8-F0-60-C2-FB"/>
        <s v="B0-83-FE-5E-9D-79"/>
        <s v="B0-83-FE-5F-01-54"/>
        <s v="B0-83-FE-5F-8D-D3"/>
        <s v="B0-83-FE-54-C6-74"/>
        <s v="B0-83-FE-5F-8F-0E"/>
        <s v="B0-83-FE-5E-FE-C2"/>
        <s v="B0-83-FE-55-21-A3"/>
        <s v="B0-83-FE-5F-45-54"/>
        <s v="B0-83-FE-52-3F-C6"/>
        <s v="B0-83-FE-52-AB-94"/>
        <s v="C4-5A-B1-CE-05-5D"/>
        <s v="B0-83-FE-5E-FF-1C"/>
        <s v="B0-83-FE-55-32-59"/>
        <s v="B0-83-FE-52-AB-BB"/>
        <s v="B0-83-FE-5F-3F-57"/>
        <s v="B0-83-FE-5E-FF-44"/>
        <s v="B0-83-FE-5F-03-7D"/>
        <s v=" D0-F4-05-3F-CC-11"/>
        <s v="B0-83-FE-5E-9D-7B"/>
        <s v="B0-83-FE-5E-FF-7E"/>
        <s v="B0-83-FE-5E-FF-33"/>
        <s v="B0-83-FE-54-C6-09"/>
        <s v="B0-83-FE-52-BB-9F"/>
        <s v="B0-83-FE-5E-87-E8"/>
        <s v="B0-83-FE-5E-FC-30"/>
        <s v="B0-83-FE-5E-FE-05"/>
        <s v="B0-83-FE-5E-9D-43"/>
        <s v="B0-83-FE-5E-89-1A"/>
        <s v="B0-83-FE-5E-FE-79"/>
        <s v="B0-83-FE-52-AA-3A"/>
        <s v="B0-83-FE-5E-9D-8E"/>
        <s v="B0-83-FE-5F-4B-CF"/>
        <s v="B0-83-FE-5E-9D-8A"/>
        <s v="B0-83-FE-5E-FE-DB"/>
        <s v="B0-83-FE-55-14-B7"/>
        <s v="B0-83-FE-5F-03-FD"/>
        <s v="B0-83-FE-55-27-FF"/>
        <s v="B0-83-FE-5F-8F-4F"/>
        <s v="B0-83-FE-52-AA-84"/>
        <s v="B0-83-FE-52-C5-64"/>
        <s v="B0-83-FE-5F-01-A4"/>
        <s v="D4-C9-EF-F3-A7-A2"/>
        <s v="B0-83-FE-52-97-98"/>
        <s v="C4-5A-B1-E3-BA-5B"/>
        <s v="40-A8-F0-3E-1B-8D"/>
        <s v="B0-83-FE-52-BA-E6"/>
        <s v="C4-5A-B1-E3-DB-3F"/>
        <s v="B0-83-FE-5E-FE-FB"/>
        <s v="B0-83-FE-5E-E1-AA"/>
        <s v="B0-83-FE-5E-F9-C9"/>
        <s v="B0-83-FE-5E-F9-1D"/>
        <s v="B0-83-FE-52-BB-FE"/>
        <s v="B0-83-FE-5E-FF-5B"/>
        <s v="C4-5A-B1-E3-E3-F1"/>
        <s v="B0-83-FE-5E-FF-40"/>
        <s v="B0-83-FE-5E-94-1E"/>
        <s v="B0-83-FE-55-28-AE"/>
        <s v="C4-5A-B1-E3-DB-09"/>
        <s v="B0-83-FE-52-C1-E9"/>
        <s v="B0-83-FE-5F-3D-54"/>
        <s v="B0-83-FE-52-AB-58"/>
        <s v="B0-83-FE-5E-91-E9"/>
        <s v="B0-83-FE-55-2B-57"/>
        <s v="B0-83-FE-52-AD-2D"/>
        <s v="84-A9-38-CC-1A-16"/>
        <s v="64-00-6A-2A-D2-84"/>
        <s v="B0-83-FE-52-AB-C1"/>
        <s v="B0-83-FE-5E-A1-EE"/>
        <s v="B0-83-FE-5F-8D-A2"/>
        <s v="B0-83-FE-5F-3C-FA"/>
        <s v="B0-83-FE-52-C0-93"/>
        <s v="B0-83-FE-5F-01-12"/>
        <s v="B0-83-FE-5E-94-01"/>
        <s v="00-A0-A4-22-03-E8"/>
        <s v="40-A8-F0-60-0B-4F"/>
        <s v="2C-44-FD-10-08-79"/>
        <s v="98-FB-27-C4-1A-FC"/>
        <s v="CA-44-12-42-FF-59"/>
        <s v="24-5E-BE-95-94-F6"/>
        <s v="B0-83-FE-5E-FF-7A"/>
        <s v="9C-8E-99-56-75-B6"/>
        <s v="9C-8E-99-4C-9E-94"/>
        <s v="FC-15-B4-94-A5-7A"/>
        <s v="74-46-A0-FE-C6-50"/>
        <s v="9C-8E-99-22-52-0E"/>
        <s v="EC-EB-B8-89-25-8C"/>
        <s v="FC-15-B4-93-CA-B0"/>
        <s v="48-21-0B-7F-D5-A3"/>
        <s v=" 6C-83-75-5F-FE-B5"/>
        <s v="20-67-7C-E2-25-74"/>
        <s v="44-1E-A1-45-AE-EA"/>
        <s v="B0-83-FE-5E-FF-6C"/>
        <s v="B0-83-FE-5E-F9-6B"/>
        <s v="9C-B6-54-12-12-04"/>
        <s v="28-80-23-A2-D1-B4"/>
      </sharedItems>
    </cacheField>
    <cacheField name="Mac Address - Wifi" numFmtId="0">
      <sharedItems containsBlank="1"/>
    </cacheField>
    <cacheField name="IP" numFmtId="0">
      <sharedItems containsBlank="1" count="142">
        <s v="10.72.10.168"/>
        <m/>
        <s v="10.72.10.177"/>
        <s v="10.72.10.146"/>
        <s v="10.72.10.162"/>
        <s v="10.72.10.173"/>
        <s v="10.72.10.129"/>
        <s v="10.72.8.115"/>
        <s v="10.72.10.109"/>
        <s v="10.72.10.103"/>
        <s v="10.72.10.120"/>
        <s v="10.72.10.34"/>
        <s v="10.72.8.200"/>
        <s v="10.72.8.132"/>
        <s v="10.72.8.229"/>
        <s v="10.72.8.151"/>
        <s v="10.72.8.210"/>
        <s v="10.72.8.197"/>
        <s v="10.9.10.153"/>
        <s v="10.72.8.191"/>
        <s v="10.72.8.203"/>
        <s v="10.72.8.215"/>
        <s v="10.72.8.205"/>
        <s v="10.72.8.211"/>
        <s v="10.72.8.153"/>
        <s v="10.72.8.196"/>
        <s v="10.72.8.208"/>
        <s v="10.72.8.219"/>
        <s v="10.72.8.204"/>
        <s v="10.72.8.220"/>
        <s v="10.72.10.43"/>
        <s v="10.72.8.206"/>
        <s v="10.72.8.207"/>
        <s v="10.72.10.84"/>
        <s v="10.72.10.152"/>
        <s v="10.72.10.93"/>
        <s v="10.72.10.111"/>
        <s v="10.72.10.130"/>
        <s v="10.72.10.138"/>
        <s v="10.72.10.41"/>
        <s v="10.72.10.53"/>
        <s v="10.72.10.157"/>
        <s v="10.72.10.70"/>
        <s v="10.72.10.51"/>
        <s v="10.72.10.33"/>
        <s v="10.72.10.133"/>
        <s v="10.72.10.161"/>
        <s v="10.72.10.37"/>
        <s v="10.72.10.149"/>
        <s v="10.72.10.95"/>
        <s v="10.72.10.165"/>
        <s v="10.72.10.110"/>
        <s v="10.72.10.83"/>
        <s v="10.72.10.44"/>
        <s v="10.72.10.106"/>
        <s v="10.9.10.38"/>
        <s v="10.72.10.87"/>
        <s v="10.72.10.63"/>
        <s v="10.72.10.135"/>
        <s v="10.72.10.72"/>
        <s v="10.72.10.136"/>
        <s v="10.72.10.159"/>
        <s v="10.72.10.76"/>
        <s v="10.72.10.77"/>
        <s v="10.72.10.86"/>
        <s v="10.72.10.92"/>
        <s v="10.72.10.100"/>
        <s v="10.72.10.17"/>
        <s v="10.72.10.71"/>
        <s v="10.72.10.81"/>
        <s v="10.72.10.50"/>
        <s v="10.72.10.145"/>
        <s v="10.72.10.67"/>
        <s v="10.72.10.73"/>
        <s v="10.72.10.121"/>
        <s v="10.72.10.85"/>
        <s v="10.72.10.61"/>
        <s v="10.72.10.65"/>
        <s v="10.72.10.25"/>
        <s v="10.72.8.113"/>
        <s v="10.72.10.96"/>
        <s v="10.72.10.91"/>
        <s v="10.72.10.118"/>
        <s v="10.72.10.90"/>
        <s v="10.72.10.108"/>
        <s v="10.72.10.52"/>
        <s v="10.72.10.141"/>
        <s v="10.72.10.54"/>
        <s v="10.72.10.74"/>
        <s v="10.72.10.104"/>
        <s v="10.72.10.123"/>
        <s v="10.72.10.56"/>
        <s v="10.72.10.101"/>
        <s v="10.72.10.148"/>
        <s v="10.72.10.139"/>
        <s v="10.72.10.144"/>
        <s v="10.72.10.49"/>
        <s v="10.72.10.99"/>
        <s v="10.72.10.131"/>
        <s v="10.72.10.80"/>
        <s v="10.72.10.112"/>
        <s v="10.72.10.82"/>
        <s v="10.72.10.125"/>
        <s v="10.72.10.94"/>
        <s v="10.72.10.164"/>
        <s v="10.72.8.120"/>
        <s v="10.72.8.247"/>
        <s v="10.72.8.245"/>
        <s v="10.72.8.238"/>
        <s v="10.72.8.246"/>
        <s v="10.72.8.237"/>
        <s v="10.72.8.236"/>
        <s v="174.16.0.228"/>
        <s v="10.72.8.130"/>
        <s v="10.72.8.212"/>
        <s v="10.72.8.101"/>
        <s v="10.72.8.100"/>
        <s v="10.72.8.181"/>
        <s v="10.72.8.182"/>
        <s v="10.72.8.183"/>
        <s v="10.72.8.40"/>
        <s v="10.72.8.180"/>
        <s v="10.72.9.10"/>
        <s v="10.72.8.1"/>
        <s v="10.72.8.39"/>
        <s v="10.72.8.81"/>
        <s v="10.72.8.56"/>
        <s v="10.72.8.79"/>
        <s v="10.72.8.78"/>
        <s v="10.32.0.102"/>
        <s v="no IP" u="1"/>
        <s v="10.72.10.121.0" u="1"/>
        <s v="ip" u="1"/>
        <s v="10.72.10.40" u="1"/>
        <s v="Ñ" u="1"/>
        <s v="10.72.10.78" u="1"/>
        <s v="10.72.10.128" u="1"/>
        <s v="10.72.10.105" u="1"/>
        <s v="10.72.10.142" u="1"/>
        <s v="10.72.10.137" u="1"/>
        <s v="10.72.10.57" u="1"/>
        <s v="10.72.8.65" u="1"/>
      </sharedItems>
    </cacheField>
    <cacheField name="Nombre Host" numFmtId="0">
      <sharedItems containsBlank="1" count="89">
        <s v="LIMIT01"/>
        <m/>
        <s v="EPSON6FE2D0"/>
        <s v="EPSONAD20FE"/>
        <s v="EPSON6FE12A"/>
        <s v="EPSON72F276"/>
        <s v="EPSONAD2100"/>
        <s v="EPSONAD20F0"/>
        <s v="EPSONAC4D78"/>
        <s v="EPSON27359D"/>
        <s v="imageRUNNER1730i_x0009_"/>
        <s v="EPSONAD212C"/>
        <s v="EPSON6FE3B7"/>
        <s v="EPSON70EF10"/>
        <s v="EPSONAD20FF"/>
        <s v="EPSONAD092F"/>
        <s v="EPSONAD2172"/>
        <s v="EPSONAD213F"/>
        <s v="LIMMANT02"/>
        <s v="LIMH1W11IT01"/>
        <s v="LIMH1SMPC019"/>
        <s v="LIMH1W11P071"/>
        <s v="LIMH1ACPC003"/>
        <s v="LIMH1FBPC06"/>
        <s v="LIMH1GMPC02"/>
        <s v="LIMH1PUPC001"/>
        <s v="LIMH1SMPC012"/>
        <s v="LIMH1SMPC018"/>
        <s v="LIMH1SMPC020"/>
        <s v="LIMH1SMPC022"/>
        <s v="LIMH1SMPC023"/>
        <s v="LIMH1W7P07"/>
        <s v="LIMH1W7P34"/>
        <s v="LIMH1W7P48"/>
        <s v="LIMH1W7P57"/>
        <s v="LIMH1W7P65"/>
        <s v="LIMH1W7P85"/>
        <s v="LIMH1W7P95"/>
        <s v="LIMSMVMEC"/>
        <s v="LIMH1W7P101"/>
        <s v="LIMH1W10FB010"/>
        <s v="LIMH1W10GYM02"/>
        <s v="limh1w10p005"/>
        <s v="limh1w10p008"/>
        <s v="limh1w10p009"/>
        <s v="limh1w10p011"/>
        <s v="limh1w10p013"/>
        <s v="limh1w10p017"/>
        <s v="limh1w10p024"/>
        <s v="limh1w10p030"/>
        <s v="limh1w10p047"/>
        <s v="limh1w10p054"/>
        <s v="LIMH1W10P061"/>
        <s v="LIMH1W10P062"/>
        <s v="LIMH1W10P066"/>
        <s v="LIMH1W10P081"/>
        <s v="LIMH1W10P100"/>
        <s v="LIMH1W10P101"/>
        <s v="LIMH1W10PC004"/>
        <s v="LIMH1W10PC0010"/>
        <s v="LIMH1W10PC0011"/>
        <s v="LIMH1W10PCCYM"/>
        <s v="LIMH1W11HK02"/>
        <s v="LIMH1W11P036"/>
        <s v="LIMH1W11SM01"/>
        <s v="LIMH1W11SM07"/>
        <s v="LIMH1W11SM14"/>
        <s v="LIMH1W10P102"/>
        <s v="limh1w10p003"/>
        <s v="LIMH1W11SM08"/>
        <s v="LIMH1W10PC005"/>
        <s v="LIMH1W11PMS100"/>
        <s v="LIMH1W11SM09"/>
        <s v="LIMH1W11SM03"/>
        <s v="LIMH1W11SM15"/>
        <s v="LIMH1W11SM12"/>
        <s v="LIMH1W11SM11"/>
        <s v="LIMH1W11HK01"/>
        <s v="LIMH1W11FB12"/>
        <s v="LIMH1W11FO03"/>
        <s v="LIMH1W10CM02"/>
        <s v="LIMH1W7P05"/>
        <s v="NAS-SWISSLIM"/>
        <s v="LIMSWCAP1"/>
        <s v="LIMSWCAP3"/>
        <s v="LIMH1W7P97" u="1"/>
        <s v="limh1w10p059" u="1"/>
        <s v="LIMSWCAP2" u="1"/>
        <s v="LIMH1W11LT02" u="1"/>
      </sharedItems>
    </cacheField>
    <cacheField name="Nuevo Nombre Host" numFmtId="0">
      <sharedItems containsBlank="1" count="110">
        <m/>
        <s v="LIMCNTSC"/>
        <s v="LIMFD02"/>
        <s v="LIMVMVEN14"/>
        <s v="LIMVMAC"/>
        <s v="LIMCNTCONT8"/>
        <s v="LIMH1SVRCONAC"/>
        <s v="LIMCMSCM01"/>
        <s v="LIMAYBSGER"/>
        <s v="LIMSMGCC"/>
        <s v="LIMFD01"/>
        <s v="LIMFBSW"/>
        <s v="LIMMANT02"/>
        <s v="LIMFB02"/>
        <s v="LIMSMVEN1"/>
        <s v="LIMMANT01"/>
        <s v="LIMVMGRES"/>
        <s v="LIMCNTCONT5"/>
        <s v="LIMCOC04"/>
        <s v="LIMCOC05"/>
        <s v="LIMH1GMPC02"/>
        <s v="LIMCOMPGC"/>
        <s v="LIMH1SMPC012"/>
        <s v="LIMVMVEN01"/>
        <s v="LIMVMRES01"/>
        <s v="LIMVMRES03"/>
        <s v="LIMVMGVC"/>
        <s v="LIMH1W7P07"/>
        <s v="LIMFD04"/>
        <s v="LIMCNTCONT6"/>
        <s v="LIMCNTAI"/>
        <s v="LIMAYBBQ01"/>
        <s v="LIMAYBLB"/>
        <s v="LIMVMEC"/>
        <s v="LIMCNTCONT3"/>
        <s v="LIMCHEF"/>
        <s v="LIMDHGYM01"/>
        <s v="LIMAYBRS"/>
        <s v="LIMAYBLC02"/>
        <s v="LIMRD01"/>
        <s v="LIMAYBLL"/>
        <s v="LIMDHHK01"/>
        <s v="LIMDHLIM"/>
        <s v="LIMPCGCD"/>
        <s v="LIMDHSLV"/>
        <s v="LIMDHJHK"/>
        <s v="LIMCMP5"/>
        <s v="LIMAYBBQ02"/>
        <s v="LIMPCAPC"/>
        <s v="LIMCNTBG01"/>
        <s v="LIMH1W10PC004"/>
        <s v="LIMDHBOT"/>
        <s v="LIMH1W11HK02"/>
        <s v="LIMH1W11SM01"/>
        <s v="LIMVMC1"/>
        <s v="LIMH1W11SM14"/>
        <s v="LIMH1W10P102"/>
        <s v="limh1w10p003"/>
        <s v="LIMH1W11SM08"/>
        <s v="LIMHR6"/>
        <s v="LIMVMRES02"/>
        <s v="LIMAYBLC01"/>
        <s v="LIMVMC2"/>
        <s v="LIMH1W11SM03"/>
        <s v="LIMH1W11SM15"/>
        <s v="LIMVMVEN02"/>
        <s v="LIMVMGGE"/>
        <s v="LIMVMC3"/>
        <s v="LIMPU01"/>
        <s v="LIMPCAS"/>
        <s v="LIMAYBGER"/>
        <s v="LIMH1W11HK01"/>
        <s v="LIMCNTAI02"/>
        <s v="LIMCOC03"/>
        <s v="LIMCOC02"/>
        <s v="LIMCOC01"/>
        <s v="LIMMANTGER"/>
        <s v="LIMRD02"/>
        <s v="LIMCNTCONT7"/>
        <s v="LIMCMASST"/>
        <s v="LIMH1CAJA_FONDU"/>
        <s v="LIMH1W11AC02"/>
        <s v="LIMDHREC"/>
        <s v="LIMSWCAP1"/>
        <s v="LIMCOC06"/>
        <s v="LIMSWCAP3"/>
        <s v="LIMH1SVRQR"/>
        <s v="LIMSMDVM"/>
        <s v="LIMCNTCONT4"/>
        <s v="LIMH1SVRVI01"/>
        <s v="LIMH1SVRDC2"/>
        <s v="LIMH1SVRDC1"/>
        <s v="LIMH1SVRAD02"/>
        <s v="LIMH1SVRHD"/>
        <s v="LIMH1SVRACT"/>
        <s v="LIMH1SVRSAP"/>
        <s v="LIMH1SVRAD01"/>
        <s v="LIMH1SVRINT"/>
        <s v="LIMH1SVRDC0"/>
        <s v="LIMH1SVRIFC5"/>
        <s v="LIMH1SVROPERA"/>
        <s v="LIMH1SVRXDOCPRD"/>
        <s v="LIMH1SVRCAPS"/>
        <s v="LIMH1W7P89"/>
        <s v="LIMH1SRVPCSISTEL"/>
        <s v="SLINTSCRSIF03"/>
        <s v="LIMSMVMEC" u="1"/>
        <s v="LIMSMDSM" u="1"/>
        <s v="LIMSWCAP2" u="1"/>
        <s v="LIMH1W10CM02" u="1"/>
      </sharedItems>
    </cacheField>
    <cacheField name="Procesador" numFmtId="0">
      <sharedItems containsBlank="1" count="9">
        <s v="Intel Core i7"/>
        <m/>
        <s v="Movil"/>
        <s v="Intel Core i5"/>
        <s v="Intel Core i3 "/>
        <s v="Intel Atom"/>
        <s v="ARM"/>
        <s v="Intel Celeron"/>
        <s v="Intel Xeon"/>
      </sharedItems>
    </cacheField>
    <cacheField name="Generación Procesador" numFmtId="0">
      <sharedItems containsBlank="1" count="12">
        <s v="8va Gen."/>
        <m/>
        <s v="3era Gen."/>
        <s v="14va Gen."/>
        <s v="5ta Gen."/>
        <s v="6ta Gen."/>
        <s v="4ta Gen."/>
        <s v="12va Gen."/>
        <s v="11va Gen."/>
        <s v="Ultra "/>
        <s v="2da Gen."/>
        <s v="1era Gen."/>
      </sharedItems>
    </cacheField>
    <cacheField name="Chip Video" numFmtId="0">
      <sharedItems containsBlank="1" count="3">
        <s v="NVIDEA"/>
        <m/>
        <s v="Intel Integrado"/>
      </sharedItems>
    </cacheField>
    <cacheField name="Ram" numFmtId="0">
      <sharedItems containsBlank="1" count="19">
        <s v="32 GB DDR4"/>
        <m/>
        <s v="4GB"/>
        <s v="8 GB DDR3"/>
        <s v="16 GB DDR5"/>
        <s v="32 GB DDR5"/>
        <s v="12 GB DDR3"/>
        <s v="16 GB DDR3"/>
        <s v="1GB"/>
        <s v="32 GB DDR3"/>
        <s v="20 GB DDR3"/>
        <s v="8 GB DDR4"/>
        <s v="16 GB DDR4"/>
        <s v="3GB"/>
        <s v="128 GB DDR4"/>
        <s v="64 GB DDR5"/>
        <s v="64 GB DDR4"/>
        <s v="4GB + 8GB " u="1"/>
        <s v="4 GB DDR3" u="1"/>
      </sharedItems>
    </cacheField>
    <cacheField name="Ram Actual" numFmtId="0">
      <sharedItems containsNonDate="0" containsString="0" containsBlank="1"/>
    </cacheField>
    <cacheField name="Almacenamiento" numFmtId="0">
      <sharedItems containsBlank="1" count="17">
        <s v="480 GB SSD"/>
        <m/>
        <s v="128 GB"/>
        <s v="500 GB HDD"/>
        <s v="1000 GB SSD"/>
        <s v="16 GB"/>
        <s v="480 GB SSD + 500 GB HDD"/>
        <s v="250 GB SSD"/>
        <s v="500 GB SSD"/>
        <s v="500 GB SSD + 500 GB HDD"/>
        <s v="64 GB"/>
        <s v="16 TB RAID"/>
        <s v="6 TB RAID"/>
        <s v="2 TB "/>
        <s v="1 TB"/>
        <s v="4 TB"/>
        <s v="1000 GB HDD" u="1"/>
      </sharedItems>
    </cacheField>
    <cacheField name="Pantalla" numFmtId="0">
      <sharedItems containsBlank="1" count="9">
        <s v="15&quot;"/>
        <s v="27&quot;"/>
        <m/>
        <s v="6.75&quot;"/>
        <s v="14&quot;"/>
        <s v="10&quot;"/>
        <s v="20&quot;"/>
        <s v="22&quot;"/>
        <s v="19&quot;"/>
      </sharedItems>
    </cacheField>
    <cacheField name="Sistema Operativo" numFmtId="0">
      <sharedItems containsBlank="1" count="14">
        <s v="Windows 11 Pro"/>
        <m/>
        <s v="Android"/>
        <s v="Windows 10 Pro"/>
        <s v="Windows 7 Pro"/>
        <s v="Windows 10 Enterprise"/>
        <s v="Linux"/>
        <s v="Windows 11 IoT Enterprise LTSC"/>
        <s v="iOS"/>
        <s v="Windows Server 2012"/>
        <s v="Windows Server 2008"/>
        <s v="Windows Server 2016"/>
        <s v="Windows Server 2025"/>
        <s v="Windows Server 2022"/>
      </sharedItems>
    </cacheField>
    <cacheField name="Antivirus" numFmtId="0">
      <sharedItems containsBlank="1" count="5">
        <s v="Pendiente"/>
        <m/>
        <s v="Si"/>
        <s v="N/A"/>
        <s v="No"/>
      </sharedItems>
    </cacheField>
    <cacheField name="Office" numFmtId="0">
      <sharedItems containsBlank="1" count="3">
        <s v="MS Office 2007 HB"/>
        <m/>
        <s v="MS Office 365 HB"/>
      </sharedItems>
    </cacheField>
    <cacheField name="Fech. Ini Garantía" numFmtId="14">
      <sharedItems containsNonDate="0" containsDate="1" containsString="0" containsBlank="1" minDate="2014-10-11T00:00:00" maxDate="2023-01-02T00:00:00"/>
    </cacheField>
    <cacheField name="Fech. Fin Garantía" numFmtId="0">
      <sharedItems containsNonDate="0" containsString="0" containsBlank="1"/>
    </cacheField>
    <cacheField name="Propiedad" numFmtId="0">
      <sharedItems containsBlank="1" count="3">
        <s v="HOTELERA COSTA DEL PACIFICO"/>
        <s v="Prov. DATACONT"/>
        <m/>
      </sharedItems>
    </cacheField>
    <cacheField name="Estado" numFmtId="0">
      <sharedItems containsBlank="1" count="8">
        <s v="Operativo"/>
        <s v="Custodia - Operativo"/>
        <s v="Custodia - Por Revisar"/>
        <s v="Custodia - Obsoleto"/>
        <s v="Custodia - Inoperativo"/>
        <m/>
        <s v="Inoperativo" u="1"/>
        <s v="Custodia - Por Repotenciar" u="1"/>
      </sharedItems>
    </cacheField>
    <cacheField name="DNI" numFmtId="0">
      <sharedItems containsBlank="1" containsMixedTypes="1" containsNumber="1" containsInteger="1" minValue="12345678" maxValue="75315987"/>
    </cacheField>
    <cacheField name="Código" numFmtId="0">
      <sharedItems containsMixedTypes="1" containsNumber="1" containsInteger="1" minValue="0" maxValue="0"/>
    </cacheField>
    <cacheField name="Usuario" numFmtId="0">
      <sharedItems containsMixedTypes="1" containsNumber="1" containsInteger="1" minValue="0" maxValue="0" count="122">
        <s v="SALINAS TORRES NOE"/>
        <s v="FALCON PAZ JULIAN MIGUEL ANGEL"/>
        <s v="Tecnologias de Información "/>
        <s v="ALVARADO CHAVARRY JIMMY GERARDO"/>
        <s v="Front Desk 2"/>
        <s v="VIDAL TAPIA ARIANA FERNANDA VALERIA"/>
        <s v="RAFAELO LORENZO ANA ROSA"/>
        <s v="MILLA GOMEZ ANJALI ABIGAIL"/>
        <s v="Control y Monitoreo"/>
        <s v="MEDINA CASTILLO ALVARO GERARDO"/>
        <s v="TRUJILLO GARAY MONICA ALEJANDRA"/>
        <s v="Front Desk 1"/>
        <s v="VEGA ARRATEA JAVIER VICTOR"/>
        <e v="#N/A"/>
        <s v="MAMANI SEVILLANO ANGIE "/>
        <s v="YAMUNAQUE CASTILLO HECTOR ARTURO"/>
        <s v="RAMOS MAGAN HANNA GRACE"/>
        <s v="CHUYES MENDOZA CLAUDIA ELIZABETH"/>
        <s v="MUÑOZ CUBA ROSA ALICIA"/>
        <s v="NOLASCO CUNYARACHE GABRIELA FLOR"/>
        <s v="PECHING CHIONG KARINA JANET"/>
        <s v="JARA RISCO GINO"/>
        <s v="TISNADO MEGO LEIDER ALFONZO"/>
        <s v="BAUTISTA CARDENAS MIGUEL ALEJANDRO"/>
        <s v="CONDORI MORENO ELIZABETH CINTHIA"/>
        <s v="SISTEMAS DE ACTIVOS FIJOS"/>
        <s v="OBARA AVI JUAN FERNANDO"/>
        <s v="PALACIOS CULQUI THALIA YARIM"/>
        <s v="CHAVEZ CRUZ MARITZA DINA"/>
        <s v="ROQUE SILVA TANIA MARYORI"/>
        <s v="BAGLIETTO ROJAS PIERO GIOVANI"/>
        <s v="VASQUEZ MORALES MARIELA IRAIS"/>
        <s v="Front Desk 4"/>
        <s v="ORELLANA CHIPANA MARTIN SANTIAGO"/>
        <s v="MOTA CASTRO JIM EDUARDO"/>
        <s v="UGAZ OLIVARES PALOMA"/>
        <s v="BOHORQUEZ LEMOR ROSSANA ARMIDA"/>
        <s v="CARHUANCOTA CHAVEZ ANDRES ALBERTO"/>
        <s v="LOPEZ PEREZ JUAN"/>
        <s v="MOGROVEJO BRACESCO ANDREA CAROLINA"/>
        <s v="HUAPAYA PEREZ LUIS ANGEL"/>
        <s v="ABANTO CARRANZA ANDREA SOFIA"/>
        <s v="CARBAJAL BRAVO ROMMEL MARTIN"/>
        <s v="HERRERA SOLIS CLAUDIA DANIELA FELICITA"/>
        <s v="CARDENAS ALCAZABA PAOLA RAQUEL"/>
        <s v="MARTINEZ SOTELO LUIS ENRIQUE"/>
        <s v="COBOS GRANDA GLADYS EDITH"/>
        <s v="VALDERRAMA ALVAREZ PABLO CESAR"/>
        <s v="LLACSAHUANGA VALENCIA EDITH"/>
        <s v="Puerta 5"/>
        <s v="GOMEZ COBEÑA PERCY BOLIVAR"/>
        <s v="CARRERA PALACIOS ROSALIA RENE"/>
        <s v="CARPIO PONCE GARY ANDRES"/>
        <s v="Front Desk 3"/>
        <s v="GAMBONI KOIFMAN DE TENORIO SANCHO DAVI C"/>
        <s v="CARRILLO SILVA ENRIQUE RAFAEL"/>
        <s v="ORELLANA GODOY MELCHORA OLINDA"/>
        <s v="CERRON ACUÑA JUAN MIGUEL"/>
        <s v="MENDIETA SOLANO WILLIAM JESUS"/>
        <s v="LOZADA PAREDES LIZBETH"/>
        <s v="RAMIREZ MORALES CARLO MARIO"/>
        <s v="TEJADA RIVEROS DIEGO JOEL"/>
        <s v="QUINTANA TALLEDO ANGELA VIRGINIA"/>
        <s v="CARBAJAL SANDOVAL KARIN GEORGHET"/>
        <s v="GUERRERO BOLAÑOS SONIBEL SOFIA"/>
        <s v="GUTIERREZ OYARDO ANGELA GEORGINA"/>
        <s v="SEGOVIA CRISPIN XAVIER ALONSO"/>
        <s v="WONG COM MICHELLE ANDREA"/>
        <s v="MECHATO VILCAPOMA MARCIA LUISA"/>
        <s v="VARGAS PINTO DIANA VERÓNICA"/>
        <s v="DAVILA GUERRERO DIANA MARIELLA"/>
        <s v="PACHAS DELGADO CARMEN ROSA"/>
        <s v="BAZAN CRUZ MARCIA ANGELA"/>
        <s v="QUISPILAYA FACHE DIANA KATHERINE"/>
        <s v="VILLACIS PAREDES MARIA DE LOS ANGELES"/>
        <s v="CASTRO MORA NELLY YOLANDA"/>
        <s v="PINEDA LOPEZ GLADYS DIANA"/>
        <s v="BRENDA STEFANY VILLAREAL MACHADO"/>
        <s v="ROMAN ZUÑIGA ANNIE PAOLA"/>
        <s v="SICHA PEREZ IRIS GIOVANNA"/>
        <s v="TRONCOS REQUEJO MELANIE ALICIA"/>
        <s v="CHAVEZ LING SUSANA BETSABE"/>
        <s v="VARGAS CACHIQUE ORLANDO FLORENCIO"/>
        <s v="LLANCA ZUÑIGA JIMMY WIELER"/>
        <s v="GAMARRA MARCELO TONY EISNTEIN"/>
        <s v="NOVOA ZACIGA MEY-LIN"/>
        <s v="LUNA MARIÑO FANNY ISABEL"/>
        <s v="HUAYAMA INGAROCA MERCEDES GRACIELA"/>
        <s v="MARQUEZ GODOY LUIS ANGEL"/>
        <s v="Micros"/>
        <s v="FLORES RAMIREZ PERCY FERNANDO"/>
        <s v="FONG SARAVIA ALEJANDRO FONG"/>
        <s v="RODRIGUEZ ESPINOZA CYANE MILAGROS"/>
        <s v="Housekeeping"/>
        <s v="VELIZ CHUCO WILIAN"/>
        <s v="HUAMAN NUÑUBERO ROSARIO NICOLE"/>
        <s v="Gerente de Turno"/>
        <s v="HOZMA DIAZ NORMA CONSTANZA"/>
        <s v="Empleado CyM Supervisor"/>
        <s v="FERNANDEZ CHOQUECAHUA MOISES"/>
        <s v="Lavandería"/>
        <s v="Room Service"/>
        <s v="CHAFALOTE MAURICIO CESAR HUGO"/>
        <s v="HINOSTROZA TOCCAS MIGUEL ANGEL"/>
        <s v="Limpieza Publica"/>
        <s v="ALEGRE ANGELES FERNANDA LUCIA"/>
        <s v="Caja La Fondue"/>
        <s v="Caja Le Café"/>
        <s v="Caja Room Service"/>
        <s v="Banquetes"/>
        <s v="Caja Lobby Bar"/>
        <s v="Caja La Locanda"/>
        <s v="GARCIA HERRERA YAZMIN MILAGROS"/>
        <s v="OREJUELA OLIVARES ANGELA ROSA"/>
        <s v="LEME DE OLIVEIRA VICTOR"/>
        <s v="CORDOVA ESTRADA JESUS MARTIN"/>
        <s v="HERRERA DELZO MARCO ANTONIO"/>
        <s v="Empleado CyM Lobby"/>
        <s v="Empleado CyM Foyer"/>
        <s v="ORIHUELA CARHUALLANQUI ROSMERY"/>
        <s v="RODRIGUEZ ROJAS JEAN PIERRE"/>
        <n v="0" u="1"/>
      </sharedItems>
    </cacheField>
    <cacheField name="Cargo" numFmtId="0">
      <sharedItems count="93">
        <s v="Analista de Sistemas"/>
        <s v="Supervisor Senior de A&amp;B"/>
        <s v="Tecnologias de Información "/>
        <s v="Sub Contralor"/>
        <s v="Recepcionista"/>
        <s v="Practicante de Ventas y Marketing"/>
        <s v="Asistente de Coordinación"/>
        <s v="Practicante de Contabilidad"/>
        <s v="Empleado Puesto de Control"/>
        <s v="Sub Gerente de A&amp;B "/>
        <s v="Gerente de Congresos y Convenciones"/>
        <s v="Supervisor Jr. de Steward"/>
        <e v="#N/A"/>
        <s v="Asistente de Mantenimiento"/>
        <s v="Gerente de Sistemas"/>
        <s v="Asistente Administrativa Jr."/>
        <s v="Ejecutiva de Eventos "/>
        <s v="Practicante de Mantenimiento"/>
        <s v="Gerenta de Reservas"/>
        <s v="Director de Alimentos y Bebidas"/>
        <s v="Encargado de Costos"/>
        <s v="Sub Chef"/>
        <s v="Asistente de Calidad"/>
        <s v="Sistema de Activos Fijos"/>
        <s v="Gerente de Compras"/>
        <s v="Jefe de Marketing"/>
        <s v="Ejecutiva de Ventas"/>
        <s v="Agente de Reservas"/>
        <s v="Jefe de Revenue"/>
        <s v="Gerente de Ventas Corporativas"/>
        <s v="Auditor de Ingresos"/>
        <s v="Asistente Senior de Contabilidad"/>
        <s v="Chef Ejecutivo"/>
        <s v="Supervisor de Gimnasio"/>
        <s v="Supervisor de A&amp;B"/>
        <s v="Consejero Gastronómico "/>
        <s v="Gerente de Turno"/>
        <s v="Restaurant Manager"/>
        <s v="Supervisor Jr. De Housekeeping"/>
        <s v="Supervisor Senior de Limpieza"/>
        <s v="Gerente de Capacitación y Desarrollo"/>
        <s v="Supervisor Senior de Lavanderia "/>
        <s v="Jefe de Housekeeping"/>
        <s v="Capitán de Banquetes"/>
        <s v="Asistente de Personas y Cultura"/>
        <s v="Bodeguero"/>
        <s v="Asistente de Gerencia General"/>
        <s v="Botones"/>
        <s v="Contador"/>
        <s v="Supervisor Jr. De Lavanderia "/>
        <s v="Gerente de Control y Monitero"/>
        <s v="Coordinador de Eventos"/>
        <s v="Gerente de Personas y Cultura"/>
        <s v="Enfermera"/>
        <s v="Asistente de Contabilidad"/>
        <s v="Ejecutiva de Ventas Senior "/>
        <s v="Gerente de Grupos y Eventos"/>
        <s v="Directora Regional de Revenue"/>
        <s v="Gerente de Compras Regional"/>
        <s v="Contralora Regional"/>
        <s v="Trabajadora Social"/>
        <s v="Gerente de Alimentos y Bebidas"/>
        <s v="Practicante Administrativo de Cocina"/>
        <s v="Supervisor Pasteleria / Panadería"/>
        <s v="Gerente de Mantenimiento"/>
        <s v="Técnico de Mantenimiento"/>
        <s v=" Técnico Electricista"/>
        <s v="Jefe de Recepción "/>
        <s v="Analista de Seguridad y Salud en el Trabajo"/>
        <s v="Symphony"/>
        <s v="Asistente de Cuentas por Cobrar"/>
        <s v="Empleado de Housekeeping"/>
        <s v="Jardinero"/>
        <s v="Recepcionista Back Office"/>
        <s v="Directora de Ventas y Marketing"/>
        <s v="Kenfix"/>
        <s v="Empleado de Lavanderia"/>
        <s v="Técnico Sanitario"/>
        <s v="Supervisor Cocina Producción"/>
        <s v="Empleado de Limpieza"/>
        <s v="Jefa de Aseguramiento de Calidad"/>
        <s v="Caja La Fondue"/>
        <s v="Caja Le Café"/>
        <s v="Caja Room Service"/>
        <s v="Banquetes"/>
        <s v="Caja Lobby Bar"/>
        <s v="Caja La Locanda"/>
        <s v="Consierge"/>
        <s v="Sous Chef Ejecutivo"/>
        <s v="Cocinero 1"/>
        <s v="Jefe de Gimnasio" u="1"/>
        <s v="Ejecutiva de Ventas Leisure" u="1"/>
        <s v="Asistente Administrativa Jr. de A&amp;B" u="1"/>
      </sharedItems>
    </cacheField>
    <cacheField name="Centro de Costo" numFmtId="0">
      <sharedItems count="39">
        <s v="Tecnologias de Información "/>
        <s v="Banquetes"/>
        <s v="Contabilidad"/>
        <s v="Recepción"/>
        <s v="Ventas"/>
        <s v="Control y Monitoreo"/>
        <s v="Gerencia A&amp;B"/>
        <s v="Steward"/>
        <e v="#N/A"/>
        <s v="Mantenimiento"/>
        <s v="Reservas"/>
        <s v="Cocina La Locanda "/>
        <s v="Calidad"/>
        <s v="Compras"/>
        <s v="Marketing"/>
        <s v="Revenue"/>
        <s v="Auditoría de Ingresos"/>
        <s v="Lobby"/>
        <s v="Cocina"/>
        <s v="Gym &amp; Spa"/>
        <s v="Room Service"/>
        <s v="Le Café "/>
        <s v="La Locanda "/>
        <s v="Housekeeping "/>
        <s v="Limpieza"/>
        <s v="Personas y Cultura"/>
        <s v="Lavandería"/>
        <s v="Bodegas"/>
        <s v="Gerencia General"/>
        <s v="Contraloría"/>
        <s v="Pastelería"/>
        <s v="Seguridad y Salud en el Trabajo"/>
        <s v="La Fondue"/>
        <s v="Piso Ejecutivo"/>
        <s v="Cocina Producción "/>
        <s v="Le Café"/>
        <s v="Lobby Bar"/>
        <s v="La Locanda"/>
        <s v="Cocina Le Café"/>
      </sharedItems>
    </cacheField>
    <cacheField name="Unidad" numFmtId="0">
      <sharedItems count="12">
        <s v="Tecnologias de Información "/>
        <s v="Alimentos y Bebidas"/>
        <s v="Contraloría"/>
        <s v="División de Habitaciones (Operaciones)"/>
        <s v="Ventas y Marketing"/>
        <s v="Control y Monitoreo"/>
        <e v="#N/A"/>
        <s v="Mantenimiento"/>
        <s v="Cocina"/>
        <s v="Compras"/>
        <s v="Personas y Cultura"/>
        <s v="Gerencia General"/>
      </sharedItems>
    </cacheField>
    <cacheField name="Observación" numFmtId="0">
      <sharedItems containsBlank="1" count="115">
        <m/>
        <s v="Falta cover que tapa la memoria ram."/>
        <s v="Para Front Desk"/>
        <s v="Equipo con etiqueta de Finanzas"/>
        <s v="Integrador Contastec con Opera Cloud - FACT. ELECT"/>
        <s v="Para asignar Ventas"/>
        <s v="SIN CARGADOR"/>
        <s v="SE USARA PARA CLONACION DE IMÁGENES WINDOWS"/>
        <s v="Para Contabilidad"/>
        <s v="1er Sotano - RRHH - Sistemas"/>
        <s v="1er Sotano - Steward - Limpieza"/>
        <s v="1er Sotano - Housekeeping"/>
        <s v="3er Piso - Gerencia General"/>
        <s v="3er Piso - Ventas"/>
        <s v="3er Piso - Reservas"/>
        <s v="1er Piso Gym"/>
        <s v="2do Piso - Oficina Banquetes"/>
        <s v="2do Piso - Seguridad"/>
        <s v="2do Piso - Oficina Auditor de Ingresos"/>
        <s v="1er Piso - Recepción - Back Office"/>
        <s v="1er Piso - Front Desk - Recepción"/>
        <s v="1er Piso - Conserge"/>
        <s v="1er Piso - Caja Lobby Bar"/>
        <s v="1er Piso - Oficina Chef"/>
        <s v="1er Piso - Room Service"/>
        <s v="1er Piso - Oficina AyB"/>
        <s v="1er Piso Compras"/>
        <s v="1er Piso - Bodega"/>
        <s v="3er Piso - Contabilidad"/>
        <s v="Linea horizontal inferior."/>
        <s v="Conexión Remoto - ACDC - Frontdesk"/>
        <s v="Ex Front Desk - Se cambio por una Lenovo - tiene Información"/>
        <s v="La PC lo utiliza Alex Cardenas con usuario de Andres"/>
        <s v="Para 0000000345"/>
        <s v="HDD no está operando, no es reconocido por la placa"/>
        <s v="Tiene casi toda su información llena en el disco, se recomienda guardar su info en el server"/>
        <s v="Ex Andres Carhuanconta"/>
        <s v="ex Centro de Control y Monitoreo"/>
        <s v="MagicInfo Server"/>
        <s v="Custodia en la oficina de Contabilidad"/>
        <s v="Se actualizó solo a Windows 11 Pro al reiniciar"/>
        <s v="2da PC en su área - GYM a su nombre"/>
        <s v="Ex  Caja La Fondue "/>
        <s v="Para Housekeeping"/>
        <s v="Ex Mantenimiento Sanitario"/>
        <s v="Custodia por Hector Yamunaque"/>
        <s v="Microfono defectuoso. Ex Supervisores"/>
        <s v="Equipo nuevo - Ex Grisel Garcia por asignar "/>
        <s v="Equipo nuevo en caja"/>
        <s v="Equipo no le escuchan cuando habla"/>
        <s v="No carga el celular"/>
        <s v="Nuevo equipo"/>
        <s v="Alejandro Mucha - Joaquin Acha - Edilbrando Hernandez - Nilton"/>
        <s v="Ex equipo de Diana Quispilaya - Eventos"/>
        <s v="NAS QNAP"/>
        <s v="Ex equipo de Michelle Won - Mantenimiento - con cable"/>
        <s v="Ex equipo de Supervisor de CyM - Línea personal del usuario"/>
        <s v="Ex equipo celular de AyB - Sheyla"/>
        <s v="Ex equipo de Edith Llacsahuanga"/>
        <s v="Ex equipo de Lizbeth Lozada"/>
        <s v="Ex Hanna Ramos - AyB"/>
        <s v="Ex Tania Roque - Reservas"/>
        <s v="Ex Karina Peching - Reservas"/>
        <s v="Ex Carlo Mario - Eventos"/>
        <s v="Ex Karin Carbajal - Enfermeria"/>
        <s v="Caja La Fondue"/>
        <s v="Caja Le Café"/>
        <s v="Caja Room Service"/>
        <s v="Banquetes"/>
        <s v="Custodia Sistemas"/>
        <s v="Caja Lobby Bar"/>
        <s v="Caja La Locanda"/>
        <s v="Custodis Sistemas"/>
        <s v="Web Interna QR Menus Habitaciones"/>
        <s v="Ex equipo Grisel Garcia"/>
        <s v="Ex equipo de Mariela Vasquez - Pantalla Ok, Caver Ok"/>
        <s v="Ex equipo de Rossi Pachas"/>
        <s v="Ex Equipo Room Service"/>
        <s v="Equipo nuevo"/>
        <s v="NAS SYNOLOGY"/>
        <s v="Ex equipo de HK"/>
        <s v="Servidor VingCard"/>
        <s v="DC/AC Secundario - File Server - WSUS"/>
        <s v="DC/AC Primario - File Server"/>
        <s v="Sistema Zkteco marcadores - BD Adryan "/>
        <s v="Sistemas GLPI"/>
        <s v="Sistemas GLPI - Swiss Service"/>
        <s v="Sistemas ERP SAP Business One"/>
        <s v="Adryan Web - Sistema Asistencia"/>
        <s v="Servidor de Interfaces de Opera Cloud"/>
        <s v="Nuevo DC / AC / HyperV Center"/>
        <s v="Ex Server Interfaces Opera V5 - No se utiliza"/>
        <s v="Server Opera V5 - Sistema antiguo - Consulta"/>
        <s v="Firma de DOC - SAP (GOSOCKET) - No se utiliza"/>
        <s v="CAPS Simphony"/>
        <s v="TARTEL - Tarificador - Desincronizado"/>
        <s v="TARIFICADOR - PCSISTEL (POR CONFIGURAR)"/>
        <s v="Conexión Remota - ORS - Revenue"/>
        <s v="Conexión Remoto - ACDC - Forntdesk " u="1"/>
        <s v="Ex Server Interfaces Opera V5" u="1"/>
        <s v="La Fonfue" u="1"/>
        <s v="Le Café" u="1"/>
        <s v="Sistemas Adryan Web - Sistema Zkteco marcadores" u="1"/>
        <s v="Microfono defectuoso." u="1"/>
        <s v="Equipo con etiqueta hp Finanzas" u="1"/>
        <s v="Para asignar Ientas" u="1"/>
        <s v="SIN CAR1PORTEGE5HOR" u="1"/>
        <s v="Para 0000001105" u="1"/>
        <s v="Equipo con etiqueta le Finanzas" u="1"/>
        <s v="Para 0000001297" u="1"/>
        <s v="Para 0000001417" u="1"/>
        <s v="Para 0" u="1"/>
        <s v="Equipo con etiqueta sa Fmoanzas" u="1"/>
        <s v="Ex equipo de Supervisor de CyM " u="1"/>
        <s v="Javier 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1">
  <r>
    <n v="1"/>
    <m/>
    <m/>
    <m/>
    <m/>
    <x v="0"/>
    <x v="0"/>
    <x v="0"/>
    <s v="Notebook HP -15"/>
    <x v="0"/>
    <s v="3PX38LA"/>
    <m/>
    <m/>
    <m/>
    <m/>
    <m/>
    <m/>
    <s v="50-91-E3-FC-3F-ED"/>
    <s v="D0-C5-D3-21-1D-29"/>
    <x v="0"/>
    <x v="0"/>
    <x v="0"/>
    <s v="Intel Core i7"/>
    <s v="8va Gen."/>
    <s v="NVIDEA"/>
    <x v="0"/>
    <m/>
    <x v="0"/>
    <s v="15&quot;"/>
    <x v="0"/>
    <s v="Pendiente"/>
    <x v="0"/>
    <d v="2023-01-01T00:00:00"/>
    <m/>
    <x v="0"/>
    <x v="0"/>
    <n v="43488382"/>
    <s v="0000001736"/>
    <x v="0"/>
    <x v="0"/>
    <x v="0"/>
    <x v="0"/>
    <m/>
  </r>
  <r>
    <n v="2"/>
    <m/>
    <m/>
    <m/>
    <m/>
    <x v="1"/>
    <x v="0"/>
    <x v="1"/>
    <s v="S27E370D"/>
    <x v="1"/>
    <m/>
    <m/>
    <m/>
    <m/>
    <m/>
    <m/>
    <m/>
    <m/>
    <m/>
    <x v="1"/>
    <x v="1"/>
    <x v="0"/>
    <m/>
    <m/>
    <m/>
    <x v="1"/>
    <m/>
    <x v="1"/>
    <s v="27&quot;"/>
    <x v="1"/>
    <m/>
    <x v="1"/>
    <m/>
    <m/>
    <x v="0"/>
    <x v="0"/>
    <n v="43488382"/>
    <s v="0000001736"/>
    <x v="0"/>
    <x v="0"/>
    <x v="0"/>
    <x v="0"/>
    <m/>
  </r>
  <r>
    <n v="3"/>
    <m/>
    <m/>
    <m/>
    <m/>
    <x v="2"/>
    <x v="0"/>
    <x v="1"/>
    <s v="HW-J250"/>
    <x v="2"/>
    <m/>
    <m/>
    <m/>
    <m/>
    <m/>
    <m/>
    <m/>
    <m/>
    <m/>
    <x v="1"/>
    <x v="1"/>
    <x v="0"/>
    <m/>
    <m/>
    <m/>
    <x v="1"/>
    <m/>
    <x v="1"/>
    <m/>
    <x v="1"/>
    <m/>
    <x v="1"/>
    <m/>
    <m/>
    <x v="0"/>
    <x v="0"/>
    <n v="43488382"/>
    <s v="0000001736"/>
    <x v="0"/>
    <x v="0"/>
    <x v="0"/>
    <x v="0"/>
    <m/>
  </r>
  <r>
    <n v="4"/>
    <m/>
    <m/>
    <m/>
    <m/>
    <x v="3"/>
    <x v="0"/>
    <x v="2"/>
    <s v="ZTE Blade A55"/>
    <x v="3"/>
    <m/>
    <s v="Movistar"/>
    <n v="965647947"/>
    <n v="860590070432272"/>
    <m/>
    <m/>
    <m/>
    <m/>
    <s v="54-1F-8D-A0-17-C3"/>
    <x v="1"/>
    <x v="1"/>
    <x v="0"/>
    <s v="Movil"/>
    <m/>
    <m/>
    <x v="2"/>
    <m/>
    <x v="2"/>
    <s v="6.75&quot;"/>
    <x v="2"/>
    <m/>
    <x v="1"/>
    <m/>
    <m/>
    <x v="0"/>
    <x v="0"/>
    <s v="10158051"/>
    <s v="0000000874"/>
    <x v="1"/>
    <x v="1"/>
    <x v="1"/>
    <x v="1"/>
    <m/>
  </r>
  <r>
    <n v="5"/>
    <m/>
    <m/>
    <m/>
    <m/>
    <x v="0"/>
    <x v="0"/>
    <x v="3"/>
    <s v="PORTEGE-R930-SP3256KL"/>
    <x v="4"/>
    <s v="PT331P-0KW0GT"/>
    <m/>
    <m/>
    <m/>
    <m/>
    <m/>
    <m/>
    <s v="B8-6B-23-AD-0C-20"/>
    <s v="B4-B6-76-FB-46-4F"/>
    <x v="1"/>
    <x v="1"/>
    <x v="0"/>
    <s v="Intel Core i5"/>
    <s v="3era Gen."/>
    <s v="Intel Integrado"/>
    <x v="3"/>
    <m/>
    <x v="3"/>
    <s v="14&quot;"/>
    <x v="0"/>
    <s v="Pendiente"/>
    <x v="1"/>
    <m/>
    <m/>
    <x v="0"/>
    <x v="1"/>
    <s v="Sistemas"/>
    <n v="0"/>
    <x v="2"/>
    <x v="2"/>
    <x v="0"/>
    <x v="0"/>
    <s v="Falta cover que tapa la memoria ram."/>
  </r>
  <r>
    <n v="6"/>
    <m/>
    <m/>
    <m/>
    <m/>
    <x v="4"/>
    <x v="0"/>
    <x v="4"/>
    <s v="Thinkcentre Neo 50S"/>
    <x v="5"/>
    <s v="12XG0015LS"/>
    <m/>
    <m/>
    <m/>
    <m/>
    <m/>
    <m/>
    <m/>
    <m/>
    <x v="2"/>
    <x v="1"/>
    <x v="1"/>
    <s v="Intel Core i7"/>
    <s v="14va Gen."/>
    <s v="Intel Integrado"/>
    <x v="4"/>
    <m/>
    <x v="0"/>
    <m/>
    <x v="0"/>
    <s v="Si"/>
    <x v="2"/>
    <m/>
    <m/>
    <x v="0"/>
    <x v="0"/>
    <s v="10590738"/>
    <n v="0"/>
    <x v="3"/>
    <x v="3"/>
    <x v="2"/>
    <x v="2"/>
    <m/>
  </r>
  <r>
    <n v="7"/>
    <m/>
    <m/>
    <m/>
    <m/>
    <x v="4"/>
    <x v="0"/>
    <x v="4"/>
    <s v="Thinkcentre Neo 50S"/>
    <x v="6"/>
    <s v="12XG0015LS"/>
    <m/>
    <m/>
    <m/>
    <m/>
    <m/>
    <m/>
    <s v="D0-F4-05-3E-74-C1"/>
    <s v="E4-1F-D5-E8-9F-CC"/>
    <x v="3"/>
    <x v="1"/>
    <x v="2"/>
    <s v="Intel Core i7"/>
    <s v="14va Gen."/>
    <s v="Intel Integrado"/>
    <x v="5"/>
    <m/>
    <x v="4"/>
    <m/>
    <x v="0"/>
    <s v="Si"/>
    <x v="0"/>
    <m/>
    <m/>
    <x v="0"/>
    <x v="0"/>
    <s v="Front Desk 2"/>
    <s v="Front Desk"/>
    <x v="4"/>
    <x v="4"/>
    <x v="3"/>
    <x v="3"/>
    <s v="Para Front Desk"/>
  </r>
  <r>
    <n v="8"/>
    <m/>
    <m/>
    <m/>
    <m/>
    <x v="4"/>
    <x v="0"/>
    <x v="5"/>
    <s v="Optiplex 3020"/>
    <x v="7"/>
    <s v="0WMJ54"/>
    <m/>
    <m/>
    <m/>
    <m/>
    <m/>
    <m/>
    <m/>
    <m/>
    <x v="4"/>
    <x v="1"/>
    <x v="3"/>
    <s v="Intel Core i5"/>
    <s v="5ta Gen."/>
    <s v="Intel Integrado"/>
    <x v="6"/>
    <m/>
    <x v="0"/>
    <m/>
    <x v="0"/>
    <s v="Si"/>
    <x v="0"/>
    <d v="2014-10-14T00:00:00"/>
    <m/>
    <x v="0"/>
    <x v="0"/>
    <s v="74129212"/>
    <s v="0000P00764"/>
    <x v="5"/>
    <x v="5"/>
    <x v="4"/>
    <x v="4"/>
    <s v="Equipo con etiqueta de Finanzas"/>
  </r>
  <r>
    <n v="9"/>
    <m/>
    <m/>
    <m/>
    <m/>
    <x v="4"/>
    <x v="0"/>
    <x v="5"/>
    <s v="Optiplex 3020"/>
    <x v="8"/>
    <s v="0WMJ54"/>
    <m/>
    <m/>
    <m/>
    <m/>
    <m/>
    <m/>
    <m/>
    <m/>
    <x v="5"/>
    <x v="1"/>
    <x v="4"/>
    <s v="Intel Core i5"/>
    <s v="5ta Gen."/>
    <s v="Intel Integrado"/>
    <x v="3"/>
    <m/>
    <x v="0"/>
    <m/>
    <x v="0"/>
    <s v="Si"/>
    <x v="0"/>
    <d v="2014-10-11T00:00:00"/>
    <m/>
    <x v="0"/>
    <x v="0"/>
    <s v="75173008"/>
    <s v="0000001577"/>
    <x v="6"/>
    <x v="6"/>
    <x v="4"/>
    <x v="4"/>
    <m/>
  </r>
  <r>
    <n v="10"/>
    <m/>
    <m/>
    <m/>
    <m/>
    <x v="4"/>
    <x v="0"/>
    <x v="5"/>
    <s v="Optiplex 3020"/>
    <x v="9"/>
    <s v="0WMJ54"/>
    <m/>
    <m/>
    <m/>
    <m/>
    <m/>
    <m/>
    <m/>
    <m/>
    <x v="6"/>
    <x v="1"/>
    <x v="5"/>
    <s v="Intel Core i5"/>
    <s v="5ta Gen."/>
    <s v="Intel Integrado"/>
    <x v="7"/>
    <m/>
    <x v="0"/>
    <m/>
    <x v="0"/>
    <s v="Si"/>
    <x v="1"/>
    <d v="2014-10-11T00:00:00"/>
    <m/>
    <x v="0"/>
    <x v="0"/>
    <s v="76644092"/>
    <s v="0000P00758"/>
    <x v="7"/>
    <x v="7"/>
    <x v="2"/>
    <x v="2"/>
    <m/>
  </r>
  <r>
    <n v="11"/>
    <m/>
    <m/>
    <m/>
    <m/>
    <x v="4"/>
    <x v="1"/>
    <x v="5"/>
    <s v="Optiplex 3020"/>
    <x v="10"/>
    <s v="0WMJ54"/>
    <m/>
    <m/>
    <m/>
    <m/>
    <m/>
    <m/>
    <s v="B0-83-FE-5E-0A-B9"/>
    <m/>
    <x v="7"/>
    <x v="1"/>
    <x v="6"/>
    <s v="Intel Core i5"/>
    <s v="5ta Gen."/>
    <s v="Intel Integrado"/>
    <x v="6"/>
    <m/>
    <x v="0"/>
    <m/>
    <x v="0"/>
    <s v="Si"/>
    <x v="0"/>
    <d v="2014-10-11T00:00:00"/>
    <m/>
    <x v="0"/>
    <x v="0"/>
    <s v="Sistemas"/>
    <n v="0"/>
    <x v="2"/>
    <x v="2"/>
    <x v="0"/>
    <x v="0"/>
    <s v="Integrador Contastec con Opera Cloud - FACT. ELECT"/>
  </r>
  <r>
    <n v="12"/>
    <m/>
    <m/>
    <m/>
    <m/>
    <x v="4"/>
    <x v="0"/>
    <x v="5"/>
    <s v="Optiplex 3020"/>
    <x v="11"/>
    <s v="0WMJ54"/>
    <m/>
    <m/>
    <m/>
    <m/>
    <m/>
    <m/>
    <m/>
    <m/>
    <x v="1"/>
    <x v="1"/>
    <x v="0"/>
    <m/>
    <m/>
    <m/>
    <x v="1"/>
    <m/>
    <x v="1"/>
    <m/>
    <x v="1"/>
    <m/>
    <x v="1"/>
    <d v="2014-10-11T00:00:00"/>
    <m/>
    <x v="0"/>
    <x v="2"/>
    <s v="Sistemas"/>
    <n v="0"/>
    <x v="2"/>
    <x v="2"/>
    <x v="0"/>
    <x v="0"/>
    <m/>
  </r>
  <r>
    <n v="13"/>
    <m/>
    <m/>
    <m/>
    <m/>
    <x v="4"/>
    <x v="0"/>
    <x v="5"/>
    <s v="Optiplex 3020"/>
    <x v="12"/>
    <s v="0WMJ54"/>
    <m/>
    <m/>
    <m/>
    <m/>
    <m/>
    <m/>
    <m/>
    <m/>
    <x v="1"/>
    <x v="1"/>
    <x v="0"/>
    <s v="Intel Core i5"/>
    <s v="5ta Gen."/>
    <s v="Intel Integrado"/>
    <x v="1"/>
    <m/>
    <x v="1"/>
    <m/>
    <x v="1"/>
    <s v="Pendiente"/>
    <x v="1"/>
    <d v="2014-10-13T00:00:00"/>
    <m/>
    <x v="0"/>
    <x v="2"/>
    <s v="Sistemas"/>
    <n v="0"/>
    <x v="2"/>
    <x v="2"/>
    <x v="0"/>
    <x v="0"/>
    <m/>
  </r>
  <r>
    <n v="14"/>
    <m/>
    <m/>
    <m/>
    <m/>
    <x v="4"/>
    <x v="0"/>
    <x v="5"/>
    <s v="Optiplex 3020"/>
    <x v="13"/>
    <s v="0WMJ54"/>
    <m/>
    <m/>
    <m/>
    <m/>
    <m/>
    <m/>
    <s v="B0-83-FE-55-28-CD"/>
    <m/>
    <x v="8"/>
    <x v="1"/>
    <x v="7"/>
    <s v="Intel Core i5"/>
    <s v="5ta Gen."/>
    <s v="Intel Integrado"/>
    <x v="7"/>
    <m/>
    <x v="0"/>
    <m/>
    <x v="0"/>
    <s v="Si"/>
    <x v="1"/>
    <d v="2014-10-11T00:00:00"/>
    <m/>
    <x v="0"/>
    <x v="0"/>
    <s v="CyM"/>
    <n v="0"/>
    <x v="8"/>
    <x v="8"/>
    <x v="5"/>
    <x v="5"/>
    <m/>
  </r>
  <r>
    <n v="15"/>
    <m/>
    <m/>
    <m/>
    <m/>
    <x v="4"/>
    <x v="0"/>
    <x v="5"/>
    <s v="Optiplex 3020"/>
    <x v="14"/>
    <s v="0WMJ54"/>
    <m/>
    <m/>
    <m/>
    <m/>
    <m/>
    <m/>
    <s v="B0-83-FE-5E-E5-BC"/>
    <m/>
    <x v="9"/>
    <x v="1"/>
    <x v="8"/>
    <s v="Intel Core i5"/>
    <s v="5ta Gen."/>
    <s v="Intel Integrado"/>
    <x v="7"/>
    <m/>
    <x v="0"/>
    <m/>
    <x v="0"/>
    <s v="Si"/>
    <x v="2"/>
    <d v="2014-10-11T00:00:00"/>
    <m/>
    <x v="0"/>
    <x v="0"/>
    <s v="10479259"/>
    <s v="0000000031"/>
    <x v="9"/>
    <x v="9"/>
    <x v="6"/>
    <x v="1"/>
    <m/>
  </r>
  <r>
    <n v="16"/>
    <m/>
    <m/>
    <m/>
    <m/>
    <x v="4"/>
    <x v="0"/>
    <x v="5"/>
    <s v="Optiplex 3020"/>
    <x v="15"/>
    <s v="0WMJ54"/>
    <m/>
    <m/>
    <m/>
    <m/>
    <m/>
    <m/>
    <m/>
    <m/>
    <x v="10"/>
    <x v="1"/>
    <x v="9"/>
    <s v="Intel Core i5"/>
    <s v="5ta Gen."/>
    <s v="Intel Integrado"/>
    <x v="7"/>
    <m/>
    <x v="0"/>
    <m/>
    <x v="0"/>
    <s v="Si"/>
    <x v="0"/>
    <d v="2014-10-11T00:00:00"/>
    <m/>
    <x v="0"/>
    <x v="0"/>
    <n v="40235456"/>
    <s v="0000000806"/>
    <x v="10"/>
    <x v="10"/>
    <x v="4"/>
    <x v="4"/>
    <m/>
  </r>
  <r>
    <n v="17"/>
    <m/>
    <m/>
    <m/>
    <m/>
    <x v="4"/>
    <x v="0"/>
    <x v="5"/>
    <s v="Optiplex 3020"/>
    <x v="16"/>
    <s v="0WMJ54"/>
    <m/>
    <m/>
    <m/>
    <m/>
    <m/>
    <m/>
    <m/>
    <m/>
    <x v="1"/>
    <x v="1"/>
    <x v="0"/>
    <s v="Intel Core i5"/>
    <s v="5ta Gen."/>
    <s v="Intel Integrado"/>
    <x v="7"/>
    <m/>
    <x v="1"/>
    <m/>
    <x v="0"/>
    <s v="Pendiente"/>
    <x v="1"/>
    <d v="2014-10-13T00:00:00"/>
    <m/>
    <x v="0"/>
    <x v="1"/>
    <s v="Sistemas"/>
    <n v="0"/>
    <x v="2"/>
    <x v="2"/>
    <x v="0"/>
    <x v="0"/>
    <s v="Para asignar Ventas"/>
  </r>
  <r>
    <n v="18"/>
    <m/>
    <m/>
    <m/>
    <m/>
    <x v="5"/>
    <x v="0"/>
    <x v="4"/>
    <s v="A7600-F"/>
    <x v="17"/>
    <m/>
    <m/>
    <m/>
    <m/>
    <m/>
    <m/>
    <m/>
    <m/>
    <s v="60-D9-A0-20-3A7F"/>
    <x v="1"/>
    <x v="1"/>
    <x v="0"/>
    <s v="Movil"/>
    <m/>
    <m/>
    <x v="8"/>
    <m/>
    <x v="5"/>
    <s v="10&quot;"/>
    <x v="2"/>
    <s v="N/A"/>
    <x v="1"/>
    <m/>
    <m/>
    <x v="0"/>
    <x v="3"/>
    <s v="Sistemas"/>
    <n v="0"/>
    <x v="2"/>
    <x v="2"/>
    <x v="0"/>
    <x v="0"/>
    <s v="SIN CARGADOR"/>
  </r>
  <r>
    <n v="19"/>
    <m/>
    <m/>
    <m/>
    <m/>
    <x v="4"/>
    <x v="0"/>
    <x v="6"/>
    <s v="GB-BSi3H-6100"/>
    <x v="18"/>
    <m/>
    <m/>
    <m/>
    <m/>
    <m/>
    <m/>
    <m/>
    <m/>
    <m/>
    <x v="1"/>
    <x v="1"/>
    <x v="0"/>
    <s v="Intel Core i3 "/>
    <s v="6ta Gen."/>
    <s v="Intel Integrado"/>
    <x v="3"/>
    <m/>
    <x v="0"/>
    <m/>
    <x v="0"/>
    <s v="Pendiente"/>
    <x v="1"/>
    <m/>
    <m/>
    <x v="0"/>
    <x v="1"/>
    <s v="Sistemas"/>
    <n v="0"/>
    <x v="2"/>
    <x v="2"/>
    <x v="0"/>
    <x v="0"/>
    <s v="SE USARA PARA CLONACION DE IMÁGENES WINDOWS"/>
  </r>
  <r>
    <n v="20"/>
    <m/>
    <m/>
    <m/>
    <m/>
    <x v="4"/>
    <x v="0"/>
    <x v="6"/>
    <s v="GB-BSi3H-6100"/>
    <x v="19"/>
    <m/>
    <m/>
    <m/>
    <m/>
    <m/>
    <m/>
    <m/>
    <m/>
    <m/>
    <x v="1"/>
    <x v="1"/>
    <x v="0"/>
    <s v="Intel Core i3 "/>
    <s v="6ta Gen."/>
    <s v="Intel Integrado"/>
    <x v="1"/>
    <m/>
    <x v="1"/>
    <m/>
    <x v="1"/>
    <m/>
    <x v="1"/>
    <m/>
    <m/>
    <x v="0"/>
    <x v="2"/>
    <s v="Sistemas"/>
    <n v="0"/>
    <x v="2"/>
    <x v="2"/>
    <x v="0"/>
    <x v="0"/>
    <m/>
  </r>
  <r>
    <n v="21"/>
    <m/>
    <m/>
    <m/>
    <m/>
    <x v="4"/>
    <x v="0"/>
    <x v="4"/>
    <s v="Thinkcentre Neo 50S"/>
    <x v="20"/>
    <s v="12XG0015LS"/>
    <m/>
    <m/>
    <m/>
    <m/>
    <m/>
    <m/>
    <s v="D0-F4-05-3F-CC-11"/>
    <s v="9C-67-D6-78-99-A2"/>
    <x v="1"/>
    <x v="1"/>
    <x v="0"/>
    <s v="Intel Core i7"/>
    <s v="14va Gen."/>
    <s v="Intel Integrado"/>
    <x v="9"/>
    <m/>
    <x v="4"/>
    <m/>
    <x v="0"/>
    <s v="Pendiente"/>
    <x v="1"/>
    <m/>
    <m/>
    <x v="0"/>
    <x v="1"/>
    <s v="Sistemas"/>
    <n v="0"/>
    <x v="2"/>
    <x v="2"/>
    <x v="0"/>
    <x v="0"/>
    <s v="Para Contabilidad"/>
  </r>
  <r>
    <n v="22"/>
    <m/>
    <m/>
    <m/>
    <m/>
    <x v="4"/>
    <x v="0"/>
    <x v="3"/>
    <s v="PORTEGE-R930-SP3256KL"/>
    <x v="21"/>
    <s v="PT331P-0KW0GT"/>
    <m/>
    <m/>
    <m/>
    <m/>
    <m/>
    <m/>
    <m/>
    <m/>
    <x v="1"/>
    <x v="1"/>
    <x v="0"/>
    <s v="Intel Core i5"/>
    <s v="3era Gen."/>
    <s v="Intel Integrado"/>
    <x v="1"/>
    <m/>
    <x v="1"/>
    <m/>
    <x v="1"/>
    <s v="N/A"/>
    <x v="1"/>
    <m/>
    <m/>
    <x v="0"/>
    <x v="4"/>
    <s v="Sistemas"/>
    <n v="0"/>
    <x v="2"/>
    <x v="2"/>
    <x v="0"/>
    <x v="0"/>
    <m/>
  </r>
  <r>
    <n v="23"/>
    <m/>
    <m/>
    <m/>
    <m/>
    <x v="4"/>
    <x v="0"/>
    <x v="4"/>
    <s v="Thinkcentre Neo 50S"/>
    <x v="22"/>
    <s v="12XG0015LS"/>
    <m/>
    <m/>
    <m/>
    <m/>
    <m/>
    <m/>
    <s v="D0-F4-05-3E-74-BB"/>
    <m/>
    <x v="11"/>
    <x v="1"/>
    <x v="10"/>
    <s v="Intel Core i7"/>
    <s v="14va Gen."/>
    <s v="Intel Integrado"/>
    <x v="5"/>
    <m/>
    <x v="4"/>
    <m/>
    <x v="0"/>
    <s v="Si"/>
    <x v="0"/>
    <m/>
    <m/>
    <x v="0"/>
    <x v="0"/>
    <s v="Front Desk 1"/>
    <s v="Front Desk"/>
    <x v="11"/>
    <x v="4"/>
    <x v="3"/>
    <x v="3"/>
    <s v="Para Front Desk"/>
  </r>
  <r>
    <n v="24"/>
    <m/>
    <m/>
    <m/>
    <m/>
    <x v="1"/>
    <x v="0"/>
    <x v="5"/>
    <s v="E2014HC"/>
    <x v="23"/>
    <m/>
    <m/>
    <m/>
    <m/>
    <m/>
    <m/>
    <m/>
    <m/>
    <m/>
    <x v="1"/>
    <x v="1"/>
    <x v="0"/>
    <m/>
    <m/>
    <m/>
    <x v="1"/>
    <m/>
    <x v="1"/>
    <s v="20&quot;"/>
    <x v="1"/>
    <m/>
    <x v="1"/>
    <m/>
    <m/>
    <x v="0"/>
    <x v="0"/>
    <s v="09692690"/>
    <s v="0000000269"/>
    <x v="12"/>
    <x v="11"/>
    <x v="7"/>
    <x v="1"/>
    <m/>
  </r>
  <r>
    <n v="25"/>
    <m/>
    <m/>
    <m/>
    <m/>
    <x v="1"/>
    <x v="0"/>
    <x v="5"/>
    <s v="E2014HC"/>
    <x v="24"/>
    <m/>
    <m/>
    <m/>
    <m/>
    <m/>
    <m/>
    <m/>
    <m/>
    <m/>
    <x v="1"/>
    <x v="1"/>
    <x v="0"/>
    <m/>
    <m/>
    <m/>
    <x v="1"/>
    <m/>
    <x v="1"/>
    <s v="20&quot;"/>
    <x v="1"/>
    <m/>
    <x v="1"/>
    <m/>
    <m/>
    <x v="0"/>
    <x v="1"/>
    <s v="Sistemas"/>
    <n v="0"/>
    <x v="2"/>
    <x v="2"/>
    <x v="0"/>
    <x v="0"/>
    <m/>
  </r>
  <r>
    <n v="26"/>
    <m/>
    <m/>
    <m/>
    <m/>
    <x v="1"/>
    <x v="0"/>
    <x v="1"/>
    <s v="DB22D-P"/>
    <x v="25"/>
    <m/>
    <m/>
    <m/>
    <m/>
    <m/>
    <m/>
    <m/>
    <m/>
    <m/>
    <x v="1"/>
    <x v="1"/>
    <x v="0"/>
    <m/>
    <m/>
    <m/>
    <x v="1"/>
    <m/>
    <x v="1"/>
    <s v="22&quot;"/>
    <x v="1"/>
    <m/>
    <x v="1"/>
    <m/>
    <m/>
    <x v="0"/>
    <x v="1"/>
    <s v="Sistemas"/>
    <n v="0"/>
    <x v="2"/>
    <x v="2"/>
    <x v="0"/>
    <x v="0"/>
    <m/>
  </r>
  <r>
    <n v="27"/>
    <m/>
    <m/>
    <m/>
    <m/>
    <x v="4"/>
    <x v="0"/>
    <x v="0"/>
    <m/>
    <x v="26"/>
    <m/>
    <m/>
    <m/>
    <m/>
    <m/>
    <m/>
    <m/>
    <m/>
    <m/>
    <x v="1"/>
    <x v="1"/>
    <x v="0"/>
    <s v="Intel Core i5"/>
    <s v="4ta Gen."/>
    <s v="Intel Integrado"/>
    <x v="7"/>
    <m/>
    <x v="0"/>
    <m/>
    <x v="0"/>
    <s v="Si"/>
    <x v="1"/>
    <m/>
    <m/>
    <x v="0"/>
    <x v="1"/>
    <s v="Sistemas"/>
    <n v="0"/>
    <x v="2"/>
    <x v="2"/>
    <x v="0"/>
    <x v="0"/>
    <m/>
  </r>
  <r>
    <n v="28"/>
    <m/>
    <m/>
    <m/>
    <m/>
    <x v="6"/>
    <x v="0"/>
    <x v="7"/>
    <s v="MX-3070V"/>
    <x v="27"/>
    <m/>
    <m/>
    <m/>
    <m/>
    <m/>
    <m/>
    <m/>
    <s v="_x000a_A4:D7:3C:6F:E2:D0"/>
    <m/>
    <x v="12"/>
    <x v="2"/>
    <x v="0"/>
    <m/>
    <m/>
    <m/>
    <x v="1"/>
    <m/>
    <x v="1"/>
    <m/>
    <x v="1"/>
    <m/>
    <x v="1"/>
    <m/>
    <m/>
    <x v="1"/>
    <x v="0"/>
    <m/>
    <e v="#N/A"/>
    <x v="13"/>
    <x v="12"/>
    <x v="8"/>
    <x v="6"/>
    <s v="1er Sotano - RRHH - Sistemas"/>
  </r>
  <r>
    <n v="29"/>
    <m/>
    <m/>
    <m/>
    <m/>
    <x v="6"/>
    <x v="0"/>
    <x v="8"/>
    <s v="WF-C5790 Series"/>
    <x v="28"/>
    <m/>
    <m/>
    <m/>
    <m/>
    <m/>
    <m/>
    <m/>
    <s v="9C:AE:D3:AD:20:FE"/>
    <m/>
    <x v="13"/>
    <x v="3"/>
    <x v="0"/>
    <m/>
    <m/>
    <m/>
    <x v="1"/>
    <m/>
    <x v="1"/>
    <m/>
    <x v="1"/>
    <m/>
    <x v="1"/>
    <m/>
    <m/>
    <x v="1"/>
    <x v="0"/>
    <m/>
    <e v="#N/A"/>
    <x v="13"/>
    <x v="12"/>
    <x v="8"/>
    <x v="6"/>
    <s v="1er Sotano - Steward - Limpieza"/>
  </r>
  <r>
    <n v="30"/>
    <m/>
    <m/>
    <m/>
    <m/>
    <x v="6"/>
    <x v="0"/>
    <x v="8"/>
    <s v="WF-C5890 Series"/>
    <x v="29"/>
    <m/>
    <m/>
    <m/>
    <m/>
    <m/>
    <m/>
    <m/>
    <s v="A4:D7:3C:6F:E1:2A"/>
    <m/>
    <x v="14"/>
    <x v="4"/>
    <x v="0"/>
    <m/>
    <m/>
    <m/>
    <x v="1"/>
    <m/>
    <x v="1"/>
    <m/>
    <x v="1"/>
    <m/>
    <x v="1"/>
    <m/>
    <m/>
    <x v="1"/>
    <x v="0"/>
    <m/>
    <e v="#N/A"/>
    <x v="13"/>
    <x v="12"/>
    <x v="8"/>
    <x v="6"/>
    <s v="1er Sotano - Housekeeping"/>
  </r>
  <r>
    <n v="31"/>
    <m/>
    <m/>
    <m/>
    <m/>
    <x v="6"/>
    <x v="0"/>
    <x v="8"/>
    <s v="WF-C5890 Series"/>
    <x v="30"/>
    <m/>
    <m/>
    <m/>
    <m/>
    <m/>
    <m/>
    <m/>
    <s v="A4:D7:3C:70:EE:9C"/>
    <m/>
    <x v="15"/>
    <x v="1"/>
    <x v="0"/>
    <m/>
    <m/>
    <m/>
    <x v="1"/>
    <m/>
    <x v="1"/>
    <m/>
    <x v="1"/>
    <m/>
    <x v="1"/>
    <m/>
    <m/>
    <x v="1"/>
    <x v="0"/>
    <m/>
    <e v="#N/A"/>
    <x v="13"/>
    <x v="12"/>
    <x v="8"/>
    <x v="6"/>
    <s v="3er Piso - Gerencia General"/>
  </r>
  <r>
    <n v="32"/>
    <m/>
    <m/>
    <m/>
    <m/>
    <x v="6"/>
    <x v="0"/>
    <x v="8"/>
    <s v="WF-C5890 Series"/>
    <x v="31"/>
    <m/>
    <m/>
    <m/>
    <m/>
    <m/>
    <m/>
    <m/>
    <s v="A4:D7:3C:72:F2:76"/>
    <m/>
    <x v="16"/>
    <x v="5"/>
    <x v="0"/>
    <m/>
    <m/>
    <m/>
    <x v="1"/>
    <m/>
    <x v="1"/>
    <m/>
    <x v="1"/>
    <m/>
    <x v="1"/>
    <m/>
    <m/>
    <x v="1"/>
    <x v="0"/>
    <m/>
    <e v="#N/A"/>
    <x v="13"/>
    <x v="12"/>
    <x v="8"/>
    <x v="6"/>
    <s v="3er Piso - Ventas"/>
  </r>
  <r>
    <n v="33"/>
    <m/>
    <m/>
    <m/>
    <m/>
    <x v="6"/>
    <x v="0"/>
    <x v="8"/>
    <s v="WF-C5790 Series"/>
    <x v="32"/>
    <m/>
    <m/>
    <m/>
    <m/>
    <m/>
    <m/>
    <m/>
    <s v="9C:AE:D3:AD:21:00"/>
    <m/>
    <x v="17"/>
    <x v="6"/>
    <x v="0"/>
    <m/>
    <m/>
    <m/>
    <x v="1"/>
    <m/>
    <x v="1"/>
    <m/>
    <x v="1"/>
    <m/>
    <x v="1"/>
    <m/>
    <m/>
    <x v="1"/>
    <x v="0"/>
    <m/>
    <e v="#N/A"/>
    <x v="13"/>
    <x v="12"/>
    <x v="8"/>
    <x v="6"/>
    <s v="3er Piso - Reservas"/>
  </r>
  <r>
    <n v="34"/>
    <m/>
    <m/>
    <m/>
    <m/>
    <x v="6"/>
    <x v="0"/>
    <x v="8"/>
    <s v="WF-C5790 Series"/>
    <x v="33"/>
    <m/>
    <m/>
    <m/>
    <m/>
    <m/>
    <m/>
    <m/>
    <s v="9C:AE:D3:AD:20:F0"/>
    <m/>
    <x v="18"/>
    <x v="7"/>
    <x v="0"/>
    <m/>
    <m/>
    <m/>
    <x v="1"/>
    <m/>
    <x v="1"/>
    <m/>
    <x v="1"/>
    <m/>
    <x v="1"/>
    <m/>
    <m/>
    <x v="1"/>
    <x v="0"/>
    <m/>
    <e v="#N/A"/>
    <x v="13"/>
    <x v="12"/>
    <x v="8"/>
    <x v="6"/>
    <s v="1er Piso Gym"/>
  </r>
  <r>
    <n v="35"/>
    <m/>
    <m/>
    <m/>
    <m/>
    <x v="6"/>
    <x v="0"/>
    <x v="8"/>
    <s v="WF-C5790 Series"/>
    <x v="34"/>
    <m/>
    <m/>
    <m/>
    <m/>
    <m/>
    <m/>
    <m/>
    <s v="9C:AE:D3:AC:4D:78"/>
    <m/>
    <x v="19"/>
    <x v="8"/>
    <x v="0"/>
    <m/>
    <m/>
    <m/>
    <x v="1"/>
    <m/>
    <x v="1"/>
    <m/>
    <x v="1"/>
    <m/>
    <x v="1"/>
    <m/>
    <m/>
    <x v="1"/>
    <x v="0"/>
    <m/>
    <e v="#N/A"/>
    <x v="13"/>
    <x v="12"/>
    <x v="8"/>
    <x v="6"/>
    <s v="2do Piso - Oficina Banquetes"/>
  </r>
  <r>
    <n v="36"/>
    <m/>
    <m/>
    <m/>
    <m/>
    <x v="6"/>
    <x v="0"/>
    <x v="7"/>
    <s v="MX-M3070"/>
    <x v="35"/>
    <m/>
    <m/>
    <m/>
    <m/>
    <m/>
    <m/>
    <m/>
    <m/>
    <m/>
    <x v="20"/>
    <x v="9"/>
    <x v="0"/>
    <m/>
    <m/>
    <m/>
    <x v="1"/>
    <m/>
    <x v="1"/>
    <m/>
    <x v="1"/>
    <m/>
    <x v="1"/>
    <m/>
    <m/>
    <x v="1"/>
    <x v="0"/>
    <m/>
    <e v="#N/A"/>
    <x v="13"/>
    <x v="12"/>
    <x v="8"/>
    <x v="6"/>
    <s v="2do Piso - Seguridad"/>
  </r>
  <r>
    <n v="37"/>
    <m/>
    <m/>
    <m/>
    <m/>
    <x v="6"/>
    <x v="0"/>
    <x v="9"/>
    <s v="iR1730i_x0009_"/>
    <x v="36"/>
    <m/>
    <m/>
    <m/>
    <m/>
    <m/>
    <m/>
    <m/>
    <m/>
    <m/>
    <x v="21"/>
    <x v="10"/>
    <x v="0"/>
    <m/>
    <m/>
    <m/>
    <x v="1"/>
    <m/>
    <x v="1"/>
    <m/>
    <x v="1"/>
    <m/>
    <x v="1"/>
    <m/>
    <m/>
    <x v="1"/>
    <x v="0"/>
    <m/>
    <e v="#N/A"/>
    <x v="13"/>
    <x v="12"/>
    <x v="8"/>
    <x v="6"/>
    <s v="2do Piso - Oficina Auditor de Ingresos"/>
  </r>
  <r>
    <n v="38"/>
    <m/>
    <m/>
    <m/>
    <m/>
    <x v="6"/>
    <x v="0"/>
    <x v="8"/>
    <s v="WF-C5790 Series"/>
    <x v="37"/>
    <m/>
    <m/>
    <m/>
    <m/>
    <m/>
    <m/>
    <m/>
    <s v="9C:AE:D3:AD:21:2C"/>
    <m/>
    <x v="22"/>
    <x v="11"/>
    <x v="0"/>
    <m/>
    <m/>
    <m/>
    <x v="1"/>
    <m/>
    <x v="1"/>
    <m/>
    <x v="1"/>
    <m/>
    <x v="1"/>
    <m/>
    <m/>
    <x v="1"/>
    <x v="0"/>
    <m/>
    <e v="#N/A"/>
    <x v="13"/>
    <x v="12"/>
    <x v="8"/>
    <x v="6"/>
    <s v="1er Piso - Recepción - Back Office"/>
  </r>
  <r>
    <n v="39"/>
    <m/>
    <m/>
    <m/>
    <m/>
    <x v="6"/>
    <x v="0"/>
    <x v="9"/>
    <s v="iR1643i II"/>
    <x v="38"/>
    <m/>
    <m/>
    <m/>
    <m/>
    <m/>
    <m/>
    <m/>
    <m/>
    <m/>
    <x v="23"/>
    <x v="10"/>
    <x v="0"/>
    <m/>
    <m/>
    <m/>
    <x v="1"/>
    <m/>
    <x v="1"/>
    <m/>
    <x v="1"/>
    <m/>
    <x v="1"/>
    <m/>
    <m/>
    <x v="1"/>
    <x v="0"/>
    <m/>
    <e v="#N/A"/>
    <x v="13"/>
    <x v="12"/>
    <x v="8"/>
    <x v="6"/>
    <s v="1er Piso - Front Desk - Recepción"/>
  </r>
  <r>
    <n v="40"/>
    <m/>
    <m/>
    <m/>
    <m/>
    <x v="6"/>
    <x v="0"/>
    <x v="9"/>
    <s v="iR1643i II"/>
    <x v="39"/>
    <m/>
    <m/>
    <m/>
    <m/>
    <m/>
    <m/>
    <m/>
    <m/>
    <m/>
    <x v="24"/>
    <x v="10"/>
    <x v="0"/>
    <m/>
    <m/>
    <m/>
    <x v="1"/>
    <m/>
    <x v="1"/>
    <m/>
    <x v="1"/>
    <m/>
    <x v="1"/>
    <m/>
    <m/>
    <x v="1"/>
    <x v="0"/>
    <m/>
    <e v="#N/A"/>
    <x v="13"/>
    <x v="12"/>
    <x v="8"/>
    <x v="6"/>
    <s v="1er Piso - Front Desk - Recepción"/>
  </r>
  <r>
    <n v="41"/>
    <m/>
    <m/>
    <m/>
    <m/>
    <x v="6"/>
    <x v="0"/>
    <x v="8"/>
    <s v="WF-C5890 Series"/>
    <x v="40"/>
    <m/>
    <m/>
    <m/>
    <m/>
    <m/>
    <m/>
    <m/>
    <s v="A4:D7:3C:6F:E3:B7"/>
    <m/>
    <x v="25"/>
    <x v="12"/>
    <x v="0"/>
    <m/>
    <m/>
    <m/>
    <x v="1"/>
    <m/>
    <x v="1"/>
    <m/>
    <x v="1"/>
    <m/>
    <x v="1"/>
    <m/>
    <m/>
    <x v="1"/>
    <x v="0"/>
    <m/>
    <e v="#N/A"/>
    <x v="13"/>
    <x v="12"/>
    <x v="8"/>
    <x v="6"/>
    <s v="1er Piso - Conserge"/>
  </r>
  <r>
    <n v="42"/>
    <m/>
    <m/>
    <m/>
    <m/>
    <x v="6"/>
    <x v="0"/>
    <x v="8"/>
    <s v="WF-C5790 Series"/>
    <x v="41"/>
    <m/>
    <m/>
    <m/>
    <m/>
    <m/>
    <m/>
    <m/>
    <s v="9C:AE:DE:AD:21:38"/>
    <m/>
    <x v="26"/>
    <x v="1"/>
    <x v="0"/>
    <m/>
    <m/>
    <m/>
    <x v="1"/>
    <m/>
    <x v="1"/>
    <m/>
    <x v="1"/>
    <m/>
    <x v="1"/>
    <m/>
    <m/>
    <x v="1"/>
    <x v="0"/>
    <m/>
    <e v="#N/A"/>
    <x v="13"/>
    <x v="12"/>
    <x v="8"/>
    <x v="6"/>
    <s v="1er Piso - Caja Lobby Bar"/>
  </r>
  <r>
    <n v="43"/>
    <m/>
    <m/>
    <m/>
    <m/>
    <x v="6"/>
    <x v="0"/>
    <x v="8"/>
    <s v="WF-C5890 Series"/>
    <x v="42"/>
    <m/>
    <m/>
    <m/>
    <m/>
    <m/>
    <m/>
    <m/>
    <s v="A4:D7:3C:70:EF:10"/>
    <m/>
    <x v="27"/>
    <x v="13"/>
    <x v="0"/>
    <m/>
    <m/>
    <m/>
    <x v="1"/>
    <m/>
    <x v="1"/>
    <m/>
    <x v="1"/>
    <m/>
    <x v="1"/>
    <m/>
    <m/>
    <x v="1"/>
    <x v="0"/>
    <m/>
    <e v="#N/A"/>
    <x v="13"/>
    <x v="12"/>
    <x v="8"/>
    <x v="6"/>
    <s v="1er Piso - Oficina Chef"/>
  </r>
  <r>
    <n v="44"/>
    <m/>
    <m/>
    <m/>
    <m/>
    <x v="6"/>
    <x v="0"/>
    <x v="8"/>
    <s v="WF-C5790 Series"/>
    <x v="43"/>
    <m/>
    <m/>
    <m/>
    <m/>
    <m/>
    <m/>
    <m/>
    <s v="9C:AE:D3:AD:20:FF"/>
    <m/>
    <x v="28"/>
    <x v="14"/>
    <x v="0"/>
    <m/>
    <m/>
    <m/>
    <x v="1"/>
    <m/>
    <x v="1"/>
    <m/>
    <x v="1"/>
    <m/>
    <x v="1"/>
    <m/>
    <m/>
    <x v="1"/>
    <x v="0"/>
    <m/>
    <e v="#N/A"/>
    <x v="13"/>
    <x v="12"/>
    <x v="8"/>
    <x v="6"/>
    <s v="1er Piso - Room Service"/>
  </r>
  <r>
    <n v="45"/>
    <m/>
    <m/>
    <m/>
    <m/>
    <x v="6"/>
    <x v="0"/>
    <x v="8"/>
    <s v="WF-C5790 Series"/>
    <x v="44"/>
    <m/>
    <m/>
    <m/>
    <m/>
    <m/>
    <s v=" "/>
    <m/>
    <s v="9C:AE:D3:AD:09:2F"/>
    <m/>
    <x v="29"/>
    <x v="15"/>
    <x v="0"/>
    <m/>
    <m/>
    <m/>
    <x v="1"/>
    <m/>
    <x v="1"/>
    <m/>
    <x v="1"/>
    <m/>
    <x v="1"/>
    <m/>
    <m/>
    <x v="1"/>
    <x v="0"/>
    <m/>
    <e v="#N/A"/>
    <x v="13"/>
    <x v="12"/>
    <x v="8"/>
    <x v="6"/>
    <s v="1er Piso - Oficina AyB"/>
  </r>
  <r>
    <n v="46"/>
    <m/>
    <m/>
    <m/>
    <m/>
    <x v="6"/>
    <x v="0"/>
    <x v="8"/>
    <s v="WF-C5790 Series"/>
    <x v="45"/>
    <m/>
    <m/>
    <m/>
    <m/>
    <m/>
    <m/>
    <m/>
    <s v="9C:AE:D3:AD:21:72"/>
    <m/>
    <x v="30"/>
    <x v="16"/>
    <x v="0"/>
    <m/>
    <m/>
    <m/>
    <x v="1"/>
    <m/>
    <x v="1"/>
    <m/>
    <x v="1"/>
    <m/>
    <x v="1"/>
    <m/>
    <m/>
    <x v="1"/>
    <x v="0"/>
    <m/>
    <e v="#N/A"/>
    <x v="13"/>
    <x v="12"/>
    <x v="8"/>
    <x v="6"/>
    <s v="1er Piso Compras"/>
  </r>
  <r>
    <n v="47"/>
    <m/>
    <m/>
    <m/>
    <m/>
    <x v="6"/>
    <x v="0"/>
    <x v="8"/>
    <s v="WF-C5890 Series"/>
    <x v="46"/>
    <m/>
    <m/>
    <m/>
    <m/>
    <m/>
    <m/>
    <m/>
    <s v="9C:AE:D3:AD:21:3F"/>
    <m/>
    <x v="31"/>
    <x v="17"/>
    <x v="0"/>
    <m/>
    <m/>
    <m/>
    <x v="1"/>
    <m/>
    <x v="1"/>
    <m/>
    <x v="1"/>
    <m/>
    <x v="1"/>
    <m/>
    <m/>
    <x v="1"/>
    <x v="0"/>
    <m/>
    <e v="#N/A"/>
    <x v="13"/>
    <x v="12"/>
    <x v="8"/>
    <x v="6"/>
    <s v="1er Piso - Bodega"/>
  </r>
  <r>
    <n v="48"/>
    <m/>
    <m/>
    <m/>
    <m/>
    <x v="6"/>
    <x v="0"/>
    <x v="7"/>
    <s v="MX-M3070"/>
    <x v="47"/>
    <m/>
    <m/>
    <m/>
    <m/>
    <m/>
    <m/>
    <m/>
    <m/>
    <m/>
    <x v="32"/>
    <x v="10"/>
    <x v="0"/>
    <m/>
    <m/>
    <m/>
    <x v="1"/>
    <m/>
    <x v="1"/>
    <m/>
    <x v="1"/>
    <m/>
    <x v="1"/>
    <m/>
    <m/>
    <x v="1"/>
    <x v="0"/>
    <m/>
    <e v="#N/A"/>
    <x v="13"/>
    <x v="12"/>
    <x v="8"/>
    <x v="6"/>
    <s v="3er Piso - Contabilidad"/>
  </r>
  <r>
    <n v="49"/>
    <m/>
    <m/>
    <m/>
    <m/>
    <x v="4"/>
    <x v="0"/>
    <x v="5"/>
    <s v="Optiplex 3020"/>
    <x v="48"/>
    <s v="0WMJ54"/>
    <m/>
    <m/>
    <m/>
    <m/>
    <m/>
    <m/>
    <s v="B0-83-FE-5E-93-F0"/>
    <m/>
    <x v="33"/>
    <x v="1"/>
    <x v="11"/>
    <s v="Intel Core i5"/>
    <s v="4ta Gen."/>
    <s v="Intel Integrado"/>
    <x v="7"/>
    <m/>
    <x v="0"/>
    <m/>
    <x v="0"/>
    <s v="Si"/>
    <x v="0"/>
    <m/>
    <m/>
    <x v="0"/>
    <x v="0"/>
    <s v="09692690"/>
    <s v="0000000269"/>
    <x v="12"/>
    <x v="11"/>
    <x v="7"/>
    <x v="1"/>
    <m/>
  </r>
  <r>
    <n v="50"/>
    <m/>
    <m/>
    <m/>
    <m/>
    <x v="4"/>
    <x v="0"/>
    <x v="5"/>
    <s v="Optiplex 3020"/>
    <x v="49"/>
    <s v="0WMJ54"/>
    <m/>
    <m/>
    <m/>
    <m/>
    <m/>
    <m/>
    <s v="B0-83-FE-5E-9D-9F"/>
    <m/>
    <x v="34"/>
    <x v="18"/>
    <x v="12"/>
    <s v="Intel Core i5"/>
    <s v="4ta Gen."/>
    <s v="Intel Integrado"/>
    <x v="6"/>
    <m/>
    <x v="0"/>
    <m/>
    <x v="0"/>
    <m/>
    <x v="2"/>
    <m/>
    <m/>
    <x v="0"/>
    <x v="0"/>
    <s v="46815301"/>
    <s v="0000001791"/>
    <x v="14"/>
    <x v="13"/>
    <x v="9"/>
    <x v="7"/>
    <m/>
  </r>
  <r>
    <n v="51"/>
    <m/>
    <m/>
    <m/>
    <m/>
    <x v="4"/>
    <x v="0"/>
    <x v="0"/>
    <s v="Prodesk 600 G1"/>
    <x v="50"/>
    <s v="E1Z55LT#ABM"/>
    <m/>
    <m/>
    <m/>
    <m/>
    <m/>
    <m/>
    <s v="40-A8-F0-60-C2-FB"/>
    <m/>
    <x v="1"/>
    <x v="19"/>
    <x v="0"/>
    <s v="Intel Core i5"/>
    <s v="4ta Gen."/>
    <s v="Intel Integrado"/>
    <x v="9"/>
    <m/>
    <x v="6"/>
    <m/>
    <x v="0"/>
    <m/>
    <x v="0"/>
    <m/>
    <m/>
    <x v="0"/>
    <x v="0"/>
    <s v="02856974"/>
    <s v="0000001501"/>
    <x v="15"/>
    <x v="14"/>
    <x v="0"/>
    <x v="0"/>
    <m/>
  </r>
  <r>
    <n v="52"/>
    <m/>
    <m/>
    <m/>
    <m/>
    <x v="1"/>
    <x v="0"/>
    <x v="5"/>
    <s v="E2014HC"/>
    <x v="51"/>
    <m/>
    <m/>
    <m/>
    <m/>
    <m/>
    <m/>
    <m/>
    <m/>
    <m/>
    <x v="1"/>
    <x v="1"/>
    <x v="0"/>
    <m/>
    <m/>
    <m/>
    <x v="1"/>
    <m/>
    <x v="1"/>
    <s v="20&quot;"/>
    <x v="1"/>
    <m/>
    <x v="1"/>
    <m/>
    <m/>
    <x v="0"/>
    <x v="5"/>
    <m/>
    <e v="#N/A"/>
    <x v="13"/>
    <x v="12"/>
    <x v="8"/>
    <x v="6"/>
    <m/>
  </r>
  <r>
    <n v="53"/>
    <m/>
    <m/>
    <m/>
    <m/>
    <x v="4"/>
    <x v="0"/>
    <x v="5"/>
    <s v="Optiplex 3020"/>
    <x v="52"/>
    <s v="0WMJ54"/>
    <m/>
    <m/>
    <m/>
    <m/>
    <m/>
    <m/>
    <s v="B0-83-FE-5E-9D-79"/>
    <m/>
    <x v="35"/>
    <x v="1"/>
    <x v="13"/>
    <s v="Intel Core i5"/>
    <s v="4ta Gen."/>
    <s v="Intel Integrado"/>
    <x v="7"/>
    <m/>
    <x v="0"/>
    <m/>
    <x v="0"/>
    <s v="Si"/>
    <x v="0"/>
    <m/>
    <m/>
    <x v="0"/>
    <x v="0"/>
    <s v="75521197"/>
    <s v="0000001580"/>
    <x v="16"/>
    <x v="15"/>
    <x v="6"/>
    <x v="1"/>
    <m/>
  </r>
  <r>
    <n v="54"/>
    <m/>
    <m/>
    <m/>
    <m/>
    <x v="4"/>
    <x v="0"/>
    <x v="5"/>
    <s v="Optiplex 3020"/>
    <x v="53"/>
    <s v="0WMJ54"/>
    <m/>
    <m/>
    <m/>
    <m/>
    <m/>
    <m/>
    <s v="B0-83-FE-5F-01-54"/>
    <m/>
    <x v="36"/>
    <x v="1"/>
    <x v="14"/>
    <s v="Intel Core i5"/>
    <s v="4ta Gen."/>
    <s v="Intel Integrado"/>
    <x v="7"/>
    <m/>
    <x v="0"/>
    <m/>
    <x v="0"/>
    <s v="Si"/>
    <x v="0"/>
    <m/>
    <m/>
    <x v="0"/>
    <x v="0"/>
    <s v="46405695"/>
    <s v="0000001780"/>
    <x v="17"/>
    <x v="16"/>
    <x v="4"/>
    <x v="4"/>
    <m/>
  </r>
  <r>
    <n v="55"/>
    <m/>
    <m/>
    <m/>
    <m/>
    <x v="1"/>
    <x v="0"/>
    <x v="5"/>
    <s v="E2014HC"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0"/>
    <x v="0"/>
    <n v="41093999"/>
    <s v="0000001737"/>
    <x v="18"/>
    <x v="16"/>
    <x v="4"/>
    <x v="4"/>
    <m/>
  </r>
  <r>
    <n v="56"/>
    <m/>
    <m/>
    <m/>
    <m/>
    <x v="4"/>
    <x v="0"/>
    <x v="5"/>
    <s v="Optiplex 3020"/>
    <x v="54"/>
    <s v="0WMJ54"/>
    <m/>
    <m/>
    <m/>
    <m/>
    <m/>
    <m/>
    <s v="B0-83-FE-5F-8D-D3"/>
    <m/>
    <x v="37"/>
    <x v="1"/>
    <x v="15"/>
    <s v="Intel Core i5"/>
    <s v="4ta Gen."/>
    <s v="Intel Integrado"/>
    <x v="6"/>
    <m/>
    <x v="0"/>
    <m/>
    <x v="0"/>
    <s v="Si"/>
    <x v="2"/>
    <m/>
    <m/>
    <x v="0"/>
    <x v="0"/>
    <s v="75438114"/>
    <s v="0000P00761"/>
    <x v="19"/>
    <x v="17"/>
    <x v="9"/>
    <x v="7"/>
    <m/>
  </r>
  <r>
    <n v="57"/>
    <m/>
    <m/>
    <m/>
    <m/>
    <x v="4"/>
    <x v="0"/>
    <x v="5"/>
    <s v="Optiplex 3020"/>
    <x v="55"/>
    <s v="0WMJ54"/>
    <m/>
    <m/>
    <m/>
    <m/>
    <m/>
    <m/>
    <s v="B0-83-FE-54-C6-74"/>
    <m/>
    <x v="38"/>
    <x v="20"/>
    <x v="16"/>
    <s v="Intel Core i5"/>
    <s v="4ta Gen."/>
    <s v="Intel Integrado"/>
    <x v="7"/>
    <m/>
    <x v="0"/>
    <m/>
    <x v="0"/>
    <s v="Si"/>
    <x v="0"/>
    <m/>
    <m/>
    <x v="0"/>
    <x v="0"/>
    <s v="40263172"/>
    <s v="0000000868"/>
    <x v="20"/>
    <x v="18"/>
    <x v="10"/>
    <x v="4"/>
    <m/>
  </r>
  <r>
    <n v="58"/>
    <m/>
    <m/>
    <m/>
    <m/>
    <x v="4"/>
    <x v="0"/>
    <x v="5"/>
    <s v="Optiplex 3020"/>
    <x v="56"/>
    <s v="0WMJ54"/>
    <m/>
    <m/>
    <m/>
    <m/>
    <m/>
    <m/>
    <s v="B0-83-FE-5F-8F-0E"/>
    <m/>
    <x v="39"/>
    <x v="21"/>
    <x v="0"/>
    <s v="Intel Core i5"/>
    <s v="4ta Gen."/>
    <s v="Intel Integrado"/>
    <x v="7"/>
    <m/>
    <x v="0"/>
    <m/>
    <x v="0"/>
    <s v="Si"/>
    <x v="0"/>
    <m/>
    <m/>
    <x v="0"/>
    <x v="0"/>
    <n v="41531474"/>
    <s v="0000F00050"/>
    <x v="21"/>
    <x v="19"/>
    <x v="6"/>
    <x v="1"/>
    <m/>
  </r>
  <r>
    <n v="59"/>
    <m/>
    <m/>
    <m/>
    <m/>
    <x v="1"/>
    <x v="0"/>
    <x v="5"/>
    <s v="E2014HC"/>
    <x v="57"/>
    <m/>
    <m/>
    <m/>
    <m/>
    <m/>
    <m/>
    <m/>
    <m/>
    <m/>
    <x v="1"/>
    <x v="1"/>
    <x v="0"/>
    <m/>
    <m/>
    <m/>
    <x v="1"/>
    <m/>
    <x v="1"/>
    <s v="20&quot;"/>
    <x v="1"/>
    <m/>
    <x v="1"/>
    <m/>
    <m/>
    <x v="0"/>
    <x v="0"/>
    <n v="40235456"/>
    <s v="0000000806"/>
    <x v="10"/>
    <x v="10"/>
    <x v="4"/>
    <x v="4"/>
    <m/>
  </r>
  <r>
    <n v="60"/>
    <m/>
    <m/>
    <m/>
    <m/>
    <x v="1"/>
    <x v="0"/>
    <x v="5"/>
    <s v="E2014HC"/>
    <x v="58"/>
    <m/>
    <m/>
    <m/>
    <m/>
    <m/>
    <m/>
    <m/>
    <m/>
    <m/>
    <x v="1"/>
    <x v="1"/>
    <x v="0"/>
    <m/>
    <m/>
    <m/>
    <x v="1"/>
    <m/>
    <x v="1"/>
    <s v="20&quot;"/>
    <x v="1"/>
    <m/>
    <x v="1"/>
    <m/>
    <m/>
    <x v="0"/>
    <x v="1"/>
    <s v="Sistemas"/>
    <n v="0"/>
    <x v="2"/>
    <x v="2"/>
    <x v="0"/>
    <x v="0"/>
    <s v="Linea horizontal inferior."/>
  </r>
  <r>
    <n v="61"/>
    <m/>
    <m/>
    <m/>
    <m/>
    <x v="4"/>
    <x v="0"/>
    <x v="5"/>
    <s v="Optiplex 3020"/>
    <x v="59"/>
    <s v="0WMJ54"/>
    <m/>
    <m/>
    <m/>
    <m/>
    <m/>
    <m/>
    <s v="B0-83-FE-5E-FE-C2"/>
    <m/>
    <x v="40"/>
    <x v="22"/>
    <x v="17"/>
    <s v="Intel Core i5"/>
    <s v="4ta Gen."/>
    <s v="Intel Integrado"/>
    <x v="7"/>
    <m/>
    <x v="0"/>
    <m/>
    <x v="0"/>
    <m/>
    <x v="2"/>
    <m/>
    <m/>
    <x v="0"/>
    <x v="0"/>
    <s v="46690955"/>
    <s v="0000001713"/>
    <x v="22"/>
    <x v="20"/>
    <x v="2"/>
    <x v="2"/>
    <m/>
  </r>
  <r>
    <n v="62"/>
    <m/>
    <m/>
    <m/>
    <m/>
    <x v="4"/>
    <x v="0"/>
    <x v="5"/>
    <s v="Optiplex 3020"/>
    <x v="60"/>
    <s v="0WMJ54"/>
    <m/>
    <m/>
    <m/>
    <m/>
    <m/>
    <m/>
    <s v="B0-83-FE-55-21-A3"/>
    <m/>
    <x v="41"/>
    <x v="23"/>
    <x v="18"/>
    <s v="Intel Core i5"/>
    <s v="4ta Gen."/>
    <s v="Intel Integrado"/>
    <x v="7"/>
    <m/>
    <x v="0"/>
    <m/>
    <x v="0"/>
    <s v="Si"/>
    <x v="0"/>
    <m/>
    <m/>
    <x v="0"/>
    <x v="0"/>
    <s v="47156230"/>
    <s v="0000001236"/>
    <x v="23"/>
    <x v="21"/>
    <x v="11"/>
    <x v="8"/>
    <m/>
  </r>
  <r>
    <n v="63"/>
    <m/>
    <m/>
    <m/>
    <m/>
    <x v="4"/>
    <x v="0"/>
    <x v="5"/>
    <s v="Optiplex 3020"/>
    <x v="61"/>
    <s v="0WMJ54"/>
    <m/>
    <m/>
    <m/>
    <m/>
    <m/>
    <m/>
    <s v="B0-83-FE-5F-45-54"/>
    <m/>
    <x v="38"/>
    <x v="1"/>
    <x v="19"/>
    <s v="Intel Core i5"/>
    <s v="4ta Gen."/>
    <s v="Intel Integrado"/>
    <x v="7"/>
    <m/>
    <x v="0"/>
    <m/>
    <x v="0"/>
    <m/>
    <x v="2"/>
    <m/>
    <m/>
    <x v="0"/>
    <x v="0"/>
    <s v="74767236"/>
    <s v="0000001760"/>
    <x v="24"/>
    <x v="22"/>
    <x v="12"/>
    <x v="8"/>
    <m/>
  </r>
  <r>
    <n v="64"/>
    <m/>
    <m/>
    <m/>
    <m/>
    <x v="4"/>
    <x v="0"/>
    <x v="5"/>
    <s v="Optiplex 3020"/>
    <x v="62"/>
    <s v="0WMJ54"/>
    <m/>
    <m/>
    <m/>
    <m/>
    <m/>
    <m/>
    <s v="B0-83-FE-52-3F-C6"/>
    <m/>
    <x v="42"/>
    <x v="24"/>
    <x v="20"/>
    <s v="Intel Core i5"/>
    <s v="4ta Gen."/>
    <s v="Intel Integrado"/>
    <x v="3"/>
    <m/>
    <x v="7"/>
    <m/>
    <x v="3"/>
    <m/>
    <x v="0"/>
    <m/>
    <m/>
    <x v="0"/>
    <x v="0"/>
    <s v="ACTSYS"/>
    <n v="0"/>
    <x v="25"/>
    <x v="23"/>
    <x v="2"/>
    <x v="2"/>
    <m/>
  </r>
  <r>
    <n v="65"/>
    <m/>
    <m/>
    <m/>
    <m/>
    <x v="4"/>
    <x v="0"/>
    <x v="5"/>
    <s v="Optiplex 3020"/>
    <x v="63"/>
    <s v="0WMJ54"/>
    <m/>
    <m/>
    <m/>
    <m/>
    <m/>
    <m/>
    <s v="B0-83-FE-52-AB-94"/>
    <m/>
    <x v="43"/>
    <x v="25"/>
    <x v="21"/>
    <s v="Intel Core i5"/>
    <s v="4ta Gen."/>
    <s v="Intel Integrado"/>
    <x v="7"/>
    <m/>
    <x v="0"/>
    <m/>
    <x v="0"/>
    <m/>
    <x v="0"/>
    <m/>
    <m/>
    <x v="0"/>
    <x v="0"/>
    <s v="09649733"/>
    <s v="0000000037"/>
    <x v="26"/>
    <x v="24"/>
    <x v="13"/>
    <x v="9"/>
    <m/>
  </r>
  <r>
    <n v="66"/>
    <m/>
    <m/>
    <m/>
    <m/>
    <x v="4"/>
    <x v="0"/>
    <x v="5"/>
    <s v="Precision 3660"/>
    <x v="64"/>
    <s v="0PDTHJ"/>
    <m/>
    <m/>
    <m/>
    <m/>
    <m/>
    <m/>
    <s v="C4-5A-B1-CE-05-5D"/>
    <m/>
    <x v="10"/>
    <x v="26"/>
    <x v="22"/>
    <s v="Intel Core i7"/>
    <s v="12va Gen."/>
    <s v="NVIDEA"/>
    <x v="5"/>
    <m/>
    <x v="4"/>
    <m/>
    <x v="0"/>
    <s v="Si"/>
    <x v="0"/>
    <m/>
    <m/>
    <x v="0"/>
    <x v="0"/>
    <s v="47840820"/>
    <s v="0000001708"/>
    <x v="27"/>
    <x v="25"/>
    <x v="14"/>
    <x v="4"/>
    <m/>
  </r>
  <r>
    <n v="67"/>
    <m/>
    <m/>
    <m/>
    <m/>
    <x v="4"/>
    <x v="0"/>
    <x v="5"/>
    <s v="Optiplex 3020"/>
    <x v="65"/>
    <s v="0WMJ54"/>
    <m/>
    <m/>
    <m/>
    <m/>
    <m/>
    <m/>
    <s v="B0-83-FE-5E-FF-1C"/>
    <m/>
    <x v="44"/>
    <x v="27"/>
    <x v="23"/>
    <s v="Intel Core i5"/>
    <s v="4ta Gen."/>
    <s v="Intel Integrado"/>
    <x v="7"/>
    <m/>
    <x v="0"/>
    <m/>
    <x v="0"/>
    <s v="Si"/>
    <x v="0"/>
    <m/>
    <m/>
    <x v="0"/>
    <x v="0"/>
    <s v="45809468"/>
    <s v="0000001510"/>
    <x v="28"/>
    <x v="26"/>
    <x v="4"/>
    <x v="4"/>
    <m/>
  </r>
  <r>
    <n v="68"/>
    <m/>
    <m/>
    <m/>
    <m/>
    <x v="4"/>
    <x v="0"/>
    <x v="5"/>
    <s v="Optiplex 3020"/>
    <x v="66"/>
    <s v="0WMJ54"/>
    <m/>
    <m/>
    <m/>
    <m/>
    <m/>
    <m/>
    <s v="B0-83-FE-55-32-59"/>
    <m/>
    <x v="45"/>
    <x v="1"/>
    <x v="0"/>
    <s v="Intel Core i5"/>
    <s v="4ta Gen."/>
    <s v="Intel Integrado"/>
    <x v="1"/>
    <m/>
    <x v="1"/>
    <m/>
    <x v="1"/>
    <m/>
    <x v="1"/>
    <m/>
    <m/>
    <x v="0"/>
    <x v="1"/>
    <s v="Sistemas"/>
    <n v="0"/>
    <x v="2"/>
    <x v="2"/>
    <x v="0"/>
    <x v="0"/>
    <m/>
  </r>
  <r>
    <n v="69"/>
    <m/>
    <m/>
    <m/>
    <m/>
    <x v="4"/>
    <x v="0"/>
    <x v="5"/>
    <s v="Optiplex 3020"/>
    <x v="67"/>
    <s v="0WMJ54"/>
    <m/>
    <m/>
    <m/>
    <m/>
    <m/>
    <m/>
    <s v="B0-83-FE-52-AB-BB"/>
    <m/>
    <x v="46"/>
    <x v="28"/>
    <x v="24"/>
    <s v="Intel Core i5"/>
    <s v="4ta Gen."/>
    <s v="Intel Integrado"/>
    <x v="7"/>
    <m/>
    <x v="0"/>
    <m/>
    <x v="0"/>
    <s v="Si"/>
    <x v="0"/>
    <m/>
    <m/>
    <x v="0"/>
    <x v="0"/>
    <s v="44247838"/>
    <s v="0000001516"/>
    <x v="29"/>
    <x v="27"/>
    <x v="10"/>
    <x v="4"/>
    <m/>
  </r>
  <r>
    <n v="70"/>
    <m/>
    <m/>
    <m/>
    <m/>
    <x v="4"/>
    <x v="0"/>
    <x v="5"/>
    <s v="Optiplex 3020"/>
    <x v="68"/>
    <s v="0WMJ54"/>
    <m/>
    <m/>
    <m/>
    <m/>
    <m/>
    <m/>
    <s v="B0-83-FE-5F-3F-57"/>
    <m/>
    <x v="47"/>
    <x v="29"/>
    <x v="25"/>
    <s v="Intel Core i5"/>
    <s v="4ta Gen."/>
    <s v="Intel Integrado"/>
    <x v="7"/>
    <m/>
    <x v="0"/>
    <m/>
    <x v="0"/>
    <s v="Si"/>
    <x v="0"/>
    <m/>
    <m/>
    <x v="0"/>
    <x v="0"/>
    <s v="46380959"/>
    <s v="0000001568"/>
    <x v="30"/>
    <x v="28"/>
    <x v="15"/>
    <x v="4"/>
    <m/>
  </r>
  <r>
    <n v="71"/>
    <m/>
    <m/>
    <m/>
    <m/>
    <x v="4"/>
    <x v="0"/>
    <x v="5"/>
    <s v="Optiplex 3020"/>
    <x v="69"/>
    <s v="0WMJ54"/>
    <m/>
    <m/>
    <m/>
    <m/>
    <m/>
    <m/>
    <s v="B0-83-FE-5E-FF-44"/>
    <m/>
    <x v="48"/>
    <x v="30"/>
    <x v="26"/>
    <s v="Intel Core i5"/>
    <s v="4ta Gen."/>
    <s v="Intel Integrado"/>
    <x v="7"/>
    <m/>
    <x v="0"/>
    <m/>
    <x v="0"/>
    <s v="Si"/>
    <x v="2"/>
    <m/>
    <m/>
    <x v="0"/>
    <x v="0"/>
    <s v="41994040"/>
    <s v="0000001121"/>
    <x v="31"/>
    <x v="29"/>
    <x v="4"/>
    <x v="4"/>
    <m/>
  </r>
  <r>
    <n v="72"/>
    <m/>
    <m/>
    <m/>
    <m/>
    <x v="4"/>
    <x v="1"/>
    <x v="5"/>
    <s v="Optiplex 3020"/>
    <x v="70"/>
    <s v="0WMJ54"/>
    <m/>
    <m/>
    <m/>
    <m/>
    <m/>
    <m/>
    <s v="B0-83-FE-5F-03-7D"/>
    <m/>
    <x v="49"/>
    <x v="31"/>
    <x v="27"/>
    <s v="Intel Core i5"/>
    <s v="4ta Gen."/>
    <s v="Intel Integrado"/>
    <x v="3"/>
    <m/>
    <x v="3"/>
    <m/>
    <x v="3"/>
    <s v="Si"/>
    <x v="0"/>
    <m/>
    <m/>
    <x v="0"/>
    <x v="0"/>
    <s v="Sistemas"/>
    <n v="0"/>
    <x v="2"/>
    <x v="2"/>
    <x v="0"/>
    <x v="0"/>
    <s v="Conexión Remoto - ACDC - Frontdesk"/>
  </r>
  <r>
    <n v="73"/>
    <m/>
    <m/>
    <m/>
    <m/>
    <x v="4"/>
    <x v="0"/>
    <x v="4"/>
    <s v="Thinkcentre Neo 50S"/>
    <x v="20"/>
    <s v="12XG0015LS"/>
    <m/>
    <m/>
    <m/>
    <m/>
    <m/>
    <m/>
    <s v=" D0-F4-05-3F-CC-11"/>
    <m/>
    <x v="50"/>
    <x v="32"/>
    <x v="28"/>
    <s v="Intel Core i7"/>
    <s v="14va Gen."/>
    <s v="Intel Integrado"/>
    <x v="5"/>
    <m/>
    <x v="4"/>
    <m/>
    <x v="0"/>
    <s v="Si"/>
    <x v="0"/>
    <m/>
    <m/>
    <x v="0"/>
    <x v="0"/>
    <s v="Front Desk 4"/>
    <s v="Front Desk"/>
    <x v="32"/>
    <x v="4"/>
    <x v="3"/>
    <x v="3"/>
    <s v="Para Front Desk"/>
  </r>
  <r>
    <n v="74"/>
    <m/>
    <m/>
    <m/>
    <m/>
    <x v="4"/>
    <x v="0"/>
    <x v="5"/>
    <s v="Optiplex 3020"/>
    <x v="71"/>
    <s v="0WMJ54"/>
    <m/>
    <m/>
    <m/>
    <m/>
    <m/>
    <m/>
    <s v="B0-83-FE-5E-9D-7B"/>
    <m/>
    <x v="1"/>
    <x v="33"/>
    <x v="0"/>
    <s v="Intel Core i5"/>
    <s v="4ta Gen."/>
    <s v="Intel Integrado"/>
    <x v="3"/>
    <m/>
    <x v="3"/>
    <m/>
    <x v="3"/>
    <m/>
    <x v="0"/>
    <m/>
    <m/>
    <x v="0"/>
    <x v="1"/>
    <s v="Sistemas"/>
    <n v="0"/>
    <x v="2"/>
    <x v="2"/>
    <x v="0"/>
    <x v="0"/>
    <s v="Ex Front Desk - Se cambio por una Lenovo - tiene Información"/>
  </r>
  <r>
    <n v="75"/>
    <m/>
    <m/>
    <m/>
    <m/>
    <x v="4"/>
    <x v="0"/>
    <x v="5"/>
    <s v="Optiplex 3020"/>
    <x v="72"/>
    <s v="0WMJ54"/>
    <m/>
    <m/>
    <m/>
    <m/>
    <m/>
    <m/>
    <s v="B0-83-FE-5E-FF-7E"/>
    <m/>
    <x v="51"/>
    <x v="34"/>
    <x v="29"/>
    <s v="Intel Core i5"/>
    <s v="4ta Gen."/>
    <s v="Intel Integrado"/>
    <x v="7"/>
    <m/>
    <x v="0"/>
    <m/>
    <x v="0"/>
    <s v="Si"/>
    <x v="0"/>
    <m/>
    <m/>
    <x v="0"/>
    <x v="0"/>
    <s v="74915395"/>
    <s v="0000P00661"/>
    <x v="33"/>
    <x v="7"/>
    <x v="2"/>
    <x v="2"/>
    <m/>
  </r>
  <r>
    <n v="76"/>
    <m/>
    <m/>
    <m/>
    <m/>
    <x v="4"/>
    <x v="0"/>
    <x v="5"/>
    <s v="Optiplex 3020"/>
    <x v="73"/>
    <s v="0WMJ54"/>
    <m/>
    <m/>
    <m/>
    <m/>
    <m/>
    <m/>
    <s v="B0-83-FE-5E-FF-33"/>
    <m/>
    <x v="38"/>
    <x v="35"/>
    <x v="30"/>
    <s v="Intel Core i5"/>
    <s v="4ta Gen."/>
    <s v="Intel Integrado"/>
    <x v="7"/>
    <m/>
    <x v="0"/>
    <m/>
    <x v="0"/>
    <s v="Si"/>
    <x v="0"/>
    <m/>
    <m/>
    <x v="0"/>
    <x v="0"/>
    <s v="06111494"/>
    <s v="0000000086"/>
    <x v="34"/>
    <x v="30"/>
    <x v="16"/>
    <x v="2"/>
    <m/>
  </r>
  <r>
    <n v="77"/>
    <m/>
    <m/>
    <m/>
    <m/>
    <x v="4"/>
    <x v="0"/>
    <x v="5"/>
    <s v="Optiplex 3020"/>
    <x v="74"/>
    <s v="0WMJ54"/>
    <m/>
    <m/>
    <m/>
    <m/>
    <m/>
    <m/>
    <s v="B0-83-FE-54-C6-09"/>
    <m/>
    <x v="52"/>
    <x v="36"/>
    <x v="31"/>
    <s v="Intel Core i5"/>
    <s v="4ta Gen."/>
    <s v="Intel Integrado"/>
    <x v="7"/>
    <m/>
    <x v="0"/>
    <m/>
    <x v="0"/>
    <s v="Si"/>
    <x v="0"/>
    <m/>
    <m/>
    <x v="0"/>
    <x v="0"/>
    <s v="10158051"/>
    <s v="0000000874"/>
    <x v="1"/>
    <x v="1"/>
    <x v="1"/>
    <x v="1"/>
    <m/>
  </r>
  <r>
    <n v="78"/>
    <m/>
    <m/>
    <m/>
    <m/>
    <x v="4"/>
    <x v="0"/>
    <x v="5"/>
    <s v="Optiplex 3020"/>
    <x v="75"/>
    <s v="0WMJ54"/>
    <m/>
    <m/>
    <m/>
    <m/>
    <m/>
    <m/>
    <s v="B0-83-FE-52-BB-9F"/>
    <m/>
    <x v="53"/>
    <x v="37"/>
    <x v="32"/>
    <s v="Intel Core i5"/>
    <s v="4ta Gen."/>
    <s v="Intel Integrado"/>
    <x v="7"/>
    <m/>
    <x v="0"/>
    <m/>
    <x v="0"/>
    <s v="Si"/>
    <x v="0"/>
    <m/>
    <m/>
    <x v="0"/>
    <x v="0"/>
    <s v="10806822"/>
    <s v="0000000423"/>
    <x v="35"/>
    <x v="1"/>
    <x v="17"/>
    <x v="1"/>
    <m/>
  </r>
  <r>
    <n v="79"/>
    <m/>
    <m/>
    <m/>
    <m/>
    <x v="4"/>
    <x v="0"/>
    <x v="5"/>
    <s v="Optiplex 3020"/>
    <x v="76"/>
    <s v="0WMJ54"/>
    <m/>
    <m/>
    <m/>
    <m/>
    <m/>
    <m/>
    <s v="B0-83-FE-5E-87-E8"/>
    <m/>
    <x v="1"/>
    <x v="38"/>
    <x v="33"/>
    <s v="Intel Core i5"/>
    <s v="4ta Gen."/>
    <s v="Intel Integrado"/>
    <x v="6"/>
    <m/>
    <x v="7"/>
    <m/>
    <x v="0"/>
    <s v="Si"/>
    <x v="0"/>
    <m/>
    <m/>
    <x v="0"/>
    <x v="0"/>
    <s v="44826856"/>
    <n v="0"/>
    <x v="36"/>
    <x v="16"/>
    <x v="4"/>
    <x v="4"/>
    <m/>
  </r>
  <r>
    <n v="80"/>
    <m/>
    <m/>
    <m/>
    <m/>
    <x v="4"/>
    <x v="0"/>
    <x v="5"/>
    <s v="Optiplex 3020"/>
    <x v="77"/>
    <s v="0WMJ54"/>
    <m/>
    <m/>
    <m/>
    <m/>
    <m/>
    <m/>
    <s v="B0-83-FE-5E-FC-30"/>
    <m/>
    <x v="45"/>
    <x v="39"/>
    <x v="34"/>
    <s v="Intel Core i5"/>
    <s v="4ta Gen."/>
    <s v="Intel Integrado"/>
    <x v="7"/>
    <m/>
    <x v="0"/>
    <m/>
    <x v="0"/>
    <s v="Si"/>
    <x v="0"/>
    <m/>
    <m/>
    <x v="0"/>
    <x v="0"/>
    <s v="40856376"/>
    <s v="0000000772"/>
    <x v="37"/>
    <x v="31"/>
    <x v="2"/>
    <x v="2"/>
    <s v="La PC lo utiliza Alex Cardenas con usuario de Andres"/>
  </r>
  <r>
    <n v="81"/>
    <m/>
    <m/>
    <m/>
    <m/>
    <x v="4"/>
    <x v="0"/>
    <x v="5"/>
    <s v="Optiplex 3020"/>
    <x v="78"/>
    <s v="0WMJ54"/>
    <m/>
    <m/>
    <m/>
    <m/>
    <m/>
    <m/>
    <s v="B0-83-FE-5E-FE-05"/>
    <m/>
    <x v="54"/>
    <x v="40"/>
    <x v="35"/>
    <s v="Intel Core i5"/>
    <s v="4ta Gen."/>
    <s v="Intel Integrado"/>
    <x v="7"/>
    <m/>
    <x v="0"/>
    <m/>
    <x v="0"/>
    <s v="Si"/>
    <x v="2"/>
    <m/>
    <m/>
    <x v="0"/>
    <x v="0"/>
    <s v="009109508"/>
    <s v="0000F00049"/>
    <x v="38"/>
    <x v="32"/>
    <x v="18"/>
    <x v="8"/>
    <m/>
  </r>
  <r>
    <n v="82"/>
    <m/>
    <m/>
    <m/>
    <m/>
    <x v="4"/>
    <x v="0"/>
    <x v="5"/>
    <s v="Optiplex 3020"/>
    <x v="79"/>
    <s v="0WMJ54"/>
    <m/>
    <m/>
    <m/>
    <m/>
    <m/>
    <m/>
    <s v="B0-83-FE-5E-9D-43"/>
    <m/>
    <x v="55"/>
    <x v="41"/>
    <x v="36"/>
    <s v="Intel Core i5"/>
    <s v="4ta Gen."/>
    <s v="Intel Integrado"/>
    <x v="7"/>
    <m/>
    <x v="0"/>
    <m/>
    <x v="0"/>
    <s v="Si"/>
    <x v="2"/>
    <m/>
    <m/>
    <x v="0"/>
    <x v="0"/>
    <s v="45274548"/>
    <s v="0000001776"/>
    <x v="39"/>
    <x v="33"/>
    <x v="19"/>
    <x v="3"/>
    <m/>
  </r>
  <r>
    <n v="83"/>
    <m/>
    <m/>
    <m/>
    <m/>
    <x v="4"/>
    <x v="0"/>
    <x v="5"/>
    <s v="Optiplex 3020"/>
    <x v="80"/>
    <s v="0WMJ54"/>
    <m/>
    <m/>
    <m/>
    <m/>
    <m/>
    <m/>
    <s v="B0-83-FE-5E-89-1A"/>
    <m/>
    <x v="56"/>
    <x v="42"/>
    <x v="37"/>
    <s v="Intel Core i5"/>
    <s v="4ta Gen."/>
    <s v="Intel Integrado"/>
    <x v="7"/>
    <m/>
    <x v="0"/>
    <m/>
    <x v="0"/>
    <s v="Si"/>
    <x v="0"/>
    <m/>
    <m/>
    <x v="0"/>
    <x v="0"/>
    <s v="46960867"/>
    <s v="0000001462"/>
    <x v="40"/>
    <x v="34"/>
    <x v="20"/>
    <x v="1"/>
    <m/>
  </r>
  <r>
    <n v="84"/>
    <m/>
    <m/>
    <m/>
    <m/>
    <x v="4"/>
    <x v="0"/>
    <x v="5"/>
    <s v="Optiplex 3020"/>
    <x v="81"/>
    <s v="0WMJ54"/>
    <m/>
    <m/>
    <m/>
    <m/>
    <m/>
    <m/>
    <s v="B0-83-FE-5E-FE-79"/>
    <m/>
    <x v="57"/>
    <x v="43"/>
    <x v="38"/>
    <s v="Intel Core i5"/>
    <s v="4ta Gen."/>
    <s v="Intel Integrado"/>
    <x v="7"/>
    <m/>
    <x v="0"/>
    <m/>
    <x v="0"/>
    <s v="Si"/>
    <x v="0"/>
    <m/>
    <m/>
    <x v="0"/>
    <x v="0"/>
    <s v="71337245"/>
    <s v="0000001575"/>
    <x v="41"/>
    <x v="35"/>
    <x v="21"/>
    <x v="1"/>
    <m/>
  </r>
  <r>
    <n v="85"/>
    <m/>
    <m/>
    <m/>
    <m/>
    <x v="4"/>
    <x v="0"/>
    <x v="5"/>
    <s v="Optiplex 3020"/>
    <x v="82"/>
    <s v="0WMJ54"/>
    <m/>
    <m/>
    <m/>
    <m/>
    <m/>
    <m/>
    <s v="B0-83-FE-52-AA-3A"/>
    <m/>
    <x v="58"/>
    <x v="44"/>
    <x v="39"/>
    <s v="Intel Core i5"/>
    <s v="4ta Gen."/>
    <s v="Intel Integrado"/>
    <x v="7"/>
    <m/>
    <x v="0"/>
    <m/>
    <x v="0"/>
    <s v="Si"/>
    <x v="0"/>
    <m/>
    <m/>
    <x v="0"/>
    <x v="0"/>
    <s v="70005695"/>
    <s v="0000001335"/>
    <x v="42"/>
    <x v="36"/>
    <x v="3"/>
    <x v="3"/>
    <m/>
  </r>
  <r>
    <n v="86"/>
    <m/>
    <m/>
    <m/>
    <m/>
    <x v="4"/>
    <x v="0"/>
    <x v="5"/>
    <s v="Optiplex 3020"/>
    <x v="83"/>
    <s v="0WMJ54"/>
    <m/>
    <m/>
    <m/>
    <m/>
    <m/>
    <m/>
    <s v="B0-83-FE-5E-9D-8E"/>
    <m/>
    <x v="59"/>
    <x v="45"/>
    <x v="40"/>
    <s v="Intel Core i5"/>
    <s v="4ta Gen."/>
    <s v="Intel Integrado"/>
    <x v="7"/>
    <m/>
    <x v="0"/>
    <m/>
    <x v="0"/>
    <s v="Si"/>
    <x v="0"/>
    <m/>
    <m/>
    <x v="0"/>
    <x v="0"/>
    <s v="76211885"/>
    <s v="0000001539"/>
    <x v="43"/>
    <x v="37"/>
    <x v="22"/>
    <x v="1"/>
    <m/>
  </r>
  <r>
    <n v="87"/>
    <m/>
    <m/>
    <m/>
    <m/>
    <x v="4"/>
    <x v="0"/>
    <x v="5"/>
    <s v="Optiplex 3020"/>
    <x v="84"/>
    <s v="0WMJ54"/>
    <m/>
    <m/>
    <m/>
    <m/>
    <m/>
    <m/>
    <s v="B0-83-FE-5F-4B-CF"/>
    <m/>
    <x v="60"/>
    <x v="46"/>
    <x v="41"/>
    <s v="Intel Core i5"/>
    <s v="4ta Gen."/>
    <s v="Intel Integrado"/>
    <x v="7"/>
    <m/>
    <x v="0"/>
    <m/>
    <x v="0"/>
    <s v="Si"/>
    <x v="0"/>
    <m/>
    <m/>
    <x v="0"/>
    <x v="0"/>
    <s v="43329158"/>
    <s v="0000001417"/>
    <x v="44"/>
    <x v="38"/>
    <x v="23"/>
    <x v="3"/>
    <m/>
  </r>
  <r>
    <n v="88"/>
    <m/>
    <m/>
    <m/>
    <m/>
    <x v="4"/>
    <x v="0"/>
    <x v="5"/>
    <s v="Optiplex 3020"/>
    <x v="85"/>
    <s v="0WMJ54"/>
    <m/>
    <m/>
    <m/>
    <m/>
    <m/>
    <m/>
    <s v="B0-83-FE-5E-9D-8A"/>
    <m/>
    <x v="61"/>
    <x v="47"/>
    <x v="42"/>
    <s v="Intel Core i5"/>
    <s v="4ta Gen."/>
    <s v="Intel Integrado"/>
    <x v="7"/>
    <m/>
    <x v="0"/>
    <m/>
    <x v="0"/>
    <s v="Si"/>
    <x v="0"/>
    <m/>
    <m/>
    <x v="0"/>
    <x v="0"/>
    <s v="09884050"/>
    <s v="0000000345"/>
    <x v="45"/>
    <x v="39"/>
    <x v="24"/>
    <x v="3"/>
    <s v="Para 0000000345"/>
  </r>
  <r>
    <n v="89"/>
    <m/>
    <m/>
    <m/>
    <m/>
    <x v="4"/>
    <x v="0"/>
    <x v="5"/>
    <s v="Optiplex 3020"/>
    <x v="86"/>
    <s v="0WMJ54"/>
    <m/>
    <m/>
    <m/>
    <m/>
    <m/>
    <m/>
    <s v="B0-83-FE-5E-FE-DB"/>
    <m/>
    <x v="1"/>
    <x v="48"/>
    <x v="0"/>
    <s v="Intel Core i5"/>
    <s v="4ta Gen."/>
    <s v="Intel Integrado"/>
    <x v="3"/>
    <m/>
    <x v="3"/>
    <m/>
    <x v="3"/>
    <m/>
    <x v="0"/>
    <m/>
    <m/>
    <x v="0"/>
    <x v="2"/>
    <s v="10479259"/>
    <s v="0000000031"/>
    <x v="9"/>
    <x v="9"/>
    <x v="6"/>
    <x v="1"/>
    <s v="HDD no está operando, no es reconocido por la placa"/>
  </r>
  <r>
    <n v="90"/>
    <m/>
    <m/>
    <m/>
    <m/>
    <x v="4"/>
    <x v="0"/>
    <x v="5"/>
    <s v="Optiplex 3020"/>
    <x v="87"/>
    <s v="0WMJ54"/>
    <m/>
    <m/>
    <m/>
    <m/>
    <m/>
    <m/>
    <s v="B0-83-FE-55-14-B7"/>
    <m/>
    <x v="62"/>
    <x v="49"/>
    <x v="43"/>
    <s v="Intel Core i5"/>
    <s v="4ta Gen."/>
    <s v="Intel Integrado"/>
    <x v="7"/>
    <m/>
    <x v="0"/>
    <m/>
    <x v="0"/>
    <s v="Si"/>
    <x v="2"/>
    <m/>
    <m/>
    <x v="0"/>
    <x v="0"/>
    <s v="10710564"/>
    <s v="0000000875"/>
    <x v="46"/>
    <x v="40"/>
    <x v="25"/>
    <x v="10"/>
    <s v="Tiene casi toda su información llena en el disco, se recomienda guardar su info en el server"/>
  </r>
  <r>
    <n v="91"/>
    <m/>
    <m/>
    <m/>
    <m/>
    <x v="4"/>
    <x v="0"/>
    <x v="5"/>
    <s v="Optiplex 3020"/>
    <x v="88"/>
    <s v="0WMJ54"/>
    <m/>
    <m/>
    <m/>
    <m/>
    <m/>
    <m/>
    <s v="B0-83-FE-5F-03-FD"/>
    <m/>
    <x v="63"/>
    <x v="50"/>
    <x v="44"/>
    <s v="Intel Core i5"/>
    <s v="4ta Gen."/>
    <s v="Intel Integrado"/>
    <x v="7"/>
    <m/>
    <x v="0"/>
    <m/>
    <x v="0"/>
    <s v="Si"/>
    <x v="0"/>
    <m/>
    <m/>
    <x v="0"/>
    <x v="0"/>
    <s v="42354767"/>
    <s v="0000000809"/>
    <x v="47"/>
    <x v="41"/>
    <x v="26"/>
    <x v="3"/>
    <m/>
  </r>
  <r>
    <n v="92"/>
    <m/>
    <m/>
    <m/>
    <m/>
    <x v="4"/>
    <x v="0"/>
    <x v="5"/>
    <s v="Optiplex 3020"/>
    <x v="89"/>
    <s v="0WMJ54"/>
    <m/>
    <m/>
    <m/>
    <m/>
    <m/>
    <m/>
    <s v="B0-83-FE-55-27-FF"/>
    <m/>
    <x v="64"/>
    <x v="51"/>
    <x v="45"/>
    <s v="Intel Core i5"/>
    <s v="4ta Gen."/>
    <s v="Intel Integrado"/>
    <x v="7"/>
    <m/>
    <x v="0"/>
    <m/>
    <x v="0"/>
    <s v="Si"/>
    <x v="2"/>
    <m/>
    <m/>
    <x v="0"/>
    <x v="0"/>
    <s v="41302115"/>
    <s v="0000001663"/>
    <x v="48"/>
    <x v="42"/>
    <x v="23"/>
    <x v="3"/>
    <m/>
  </r>
  <r>
    <n v="93"/>
    <m/>
    <m/>
    <m/>
    <m/>
    <x v="4"/>
    <x v="0"/>
    <x v="5"/>
    <s v="Optiplex 3020"/>
    <x v="90"/>
    <s v="0WMJ54"/>
    <m/>
    <m/>
    <m/>
    <m/>
    <m/>
    <m/>
    <s v="B0-83-FE-5F-8F-4F"/>
    <m/>
    <x v="65"/>
    <x v="1"/>
    <x v="46"/>
    <s v="Intel Core i5"/>
    <s v="4ta Gen."/>
    <s v="Intel Integrado"/>
    <x v="3"/>
    <m/>
    <x v="7"/>
    <m/>
    <x v="0"/>
    <s v="Si"/>
    <x v="0"/>
    <m/>
    <m/>
    <x v="0"/>
    <x v="0"/>
    <s v="Puerta 5"/>
    <s v="Puerta 5"/>
    <x v="49"/>
    <x v="8"/>
    <x v="5"/>
    <x v="5"/>
    <m/>
  </r>
  <r>
    <n v="94"/>
    <m/>
    <m/>
    <m/>
    <m/>
    <x v="4"/>
    <x v="0"/>
    <x v="5"/>
    <s v="Optiplex 3020"/>
    <x v="91"/>
    <s v="0WMJ54"/>
    <m/>
    <m/>
    <m/>
    <m/>
    <m/>
    <m/>
    <s v="B0-83-FE-52-AA-84"/>
    <m/>
    <x v="66"/>
    <x v="52"/>
    <x v="47"/>
    <s v="Intel Core i5"/>
    <s v="4ta Gen."/>
    <s v="Intel Integrado"/>
    <x v="7"/>
    <m/>
    <x v="0"/>
    <m/>
    <x v="0"/>
    <s v="Si"/>
    <x v="0"/>
    <m/>
    <m/>
    <x v="0"/>
    <x v="0"/>
    <s v="75623367"/>
    <s v="0000001439"/>
    <x v="50"/>
    <x v="43"/>
    <x v="1"/>
    <x v="1"/>
    <m/>
  </r>
  <r>
    <n v="95"/>
    <m/>
    <m/>
    <m/>
    <m/>
    <x v="4"/>
    <x v="0"/>
    <x v="5"/>
    <s v="Optiplex 3020"/>
    <x v="92"/>
    <s v="0WMJ54"/>
    <m/>
    <m/>
    <m/>
    <m/>
    <m/>
    <m/>
    <s v="B0-83-FE-52-C5-64"/>
    <m/>
    <x v="67"/>
    <x v="53"/>
    <x v="0"/>
    <s v="Intel Core i5"/>
    <s v="4ta Gen."/>
    <s v="Intel Integrado"/>
    <x v="3"/>
    <m/>
    <x v="0"/>
    <m/>
    <x v="3"/>
    <m/>
    <x v="0"/>
    <m/>
    <m/>
    <x v="0"/>
    <x v="0"/>
    <s v="02856974"/>
    <s v="0000001501"/>
    <x v="15"/>
    <x v="14"/>
    <x v="0"/>
    <x v="0"/>
    <m/>
  </r>
  <r>
    <n v="96"/>
    <m/>
    <m/>
    <m/>
    <m/>
    <x v="4"/>
    <x v="0"/>
    <x v="5"/>
    <s v="Optiplex 3020"/>
    <x v="93"/>
    <s v="0WMJ54"/>
    <m/>
    <m/>
    <m/>
    <m/>
    <m/>
    <m/>
    <s v="B0-83-FE-5F-01-A4"/>
    <m/>
    <x v="1"/>
    <x v="54"/>
    <x v="0"/>
    <s v="Intel Core i5"/>
    <s v="4ta Gen."/>
    <s v="Intel Integrado"/>
    <x v="3"/>
    <m/>
    <x v="3"/>
    <m/>
    <x v="3"/>
    <m/>
    <x v="0"/>
    <m/>
    <m/>
    <x v="0"/>
    <x v="4"/>
    <s v="40856376"/>
    <s v="0000000772"/>
    <x v="37"/>
    <x v="31"/>
    <x v="2"/>
    <x v="2"/>
    <s v="Ex Andres Carhuanconta"/>
  </r>
  <r>
    <n v="97"/>
    <m/>
    <m/>
    <m/>
    <m/>
    <x v="4"/>
    <x v="0"/>
    <x v="0"/>
    <s v="Prodesk 600 G1"/>
    <x v="94"/>
    <s v="E1Z56LT#ABM"/>
    <m/>
    <m/>
    <m/>
    <m/>
    <m/>
    <m/>
    <s v="D4-C9-EF-F3-A7-A2"/>
    <m/>
    <x v="68"/>
    <x v="55"/>
    <x v="48"/>
    <s v="Intel Core i7"/>
    <s v="4ta Gen."/>
    <s v="Intel Integrado"/>
    <x v="10"/>
    <m/>
    <x v="0"/>
    <m/>
    <x v="0"/>
    <m/>
    <x v="2"/>
    <m/>
    <m/>
    <x v="0"/>
    <x v="0"/>
    <s v="76204111"/>
    <s v="0000001670"/>
    <x v="51"/>
    <x v="44"/>
    <x v="25"/>
    <x v="10"/>
    <m/>
  </r>
  <r>
    <n v="98"/>
    <m/>
    <m/>
    <m/>
    <m/>
    <x v="4"/>
    <x v="0"/>
    <x v="5"/>
    <s v="Optiplex 3020"/>
    <x v="95"/>
    <s v="0WMJ54"/>
    <m/>
    <m/>
    <m/>
    <m/>
    <m/>
    <m/>
    <s v="B0-83-FE-52-97-98"/>
    <m/>
    <x v="69"/>
    <x v="56"/>
    <x v="49"/>
    <s v="Intel Core i5"/>
    <s v="4ta Gen."/>
    <s v="Intel Integrado"/>
    <x v="7"/>
    <m/>
    <x v="0"/>
    <m/>
    <x v="0"/>
    <s v="Si"/>
    <x v="0"/>
    <m/>
    <m/>
    <x v="0"/>
    <x v="0"/>
    <s v="40530952"/>
    <s v="0000000993"/>
    <x v="52"/>
    <x v="45"/>
    <x v="27"/>
    <x v="2"/>
    <m/>
  </r>
  <r>
    <n v="99"/>
    <m/>
    <m/>
    <m/>
    <m/>
    <x v="4"/>
    <x v="0"/>
    <x v="5"/>
    <s v="Optiplex 7000"/>
    <x v="96"/>
    <s v="04H8YK"/>
    <m/>
    <m/>
    <m/>
    <m/>
    <m/>
    <m/>
    <s v="C4-5A-B1-E3-BA-5B"/>
    <m/>
    <x v="70"/>
    <x v="57"/>
    <x v="0"/>
    <s v="Intel Core i7"/>
    <s v="12va Gen."/>
    <s v="Intel Integrado"/>
    <x v="5"/>
    <m/>
    <x v="8"/>
    <m/>
    <x v="0"/>
    <s v="Si"/>
    <x v="0"/>
    <m/>
    <m/>
    <x v="0"/>
    <x v="0"/>
    <s v="Front Desk 3"/>
    <s v="Front Desk"/>
    <x v="53"/>
    <x v="4"/>
    <x v="3"/>
    <x v="3"/>
    <s v="Para Front Desk"/>
  </r>
  <r>
    <n v="100"/>
    <m/>
    <m/>
    <m/>
    <m/>
    <x v="4"/>
    <x v="0"/>
    <x v="0"/>
    <s v="Prodesk 600 G1"/>
    <x v="97"/>
    <s v="E1Z56LT#ABM"/>
    <m/>
    <m/>
    <m/>
    <m/>
    <m/>
    <m/>
    <s v="40-A8-F0-3E-1B-8D"/>
    <m/>
    <x v="71"/>
    <x v="58"/>
    <x v="50"/>
    <s v="Intel Core i5"/>
    <s v="4ta Gen."/>
    <s v="Intel Integrado"/>
    <x v="9"/>
    <m/>
    <x v="8"/>
    <m/>
    <x v="0"/>
    <m/>
    <x v="0"/>
    <m/>
    <m/>
    <x v="0"/>
    <x v="0"/>
    <s v="25728850"/>
    <s v="0000001491"/>
    <x v="54"/>
    <x v="46"/>
    <x v="28"/>
    <x v="11"/>
    <m/>
  </r>
  <r>
    <n v="101"/>
    <m/>
    <m/>
    <m/>
    <m/>
    <x v="4"/>
    <x v="0"/>
    <x v="5"/>
    <s v="Optiplex 3020"/>
    <x v="98"/>
    <s v="0WMJ54"/>
    <m/>
    <m/>
    <m/>
    <m/>
    <m/>
    <m/>
    <s v="B0-83-FE-52-BA-E6"/>
    <m/>
    <x v="72"/>
    <x v="59"/>
    <x v="51"/>
    <s v="Intel Core i5"/>
    <s v="4ta Gen."/>
    <s v="Intel Integrado"/>
    <x v="7"/>
    <m/>
    <x v="0"/>
    <m/>
    <x v="0"/>
    <s v="Si"/>
    <x v="0"/>
    <m/>
    <m/>
    <x v="0"/>
    <x v="0"/>
    <s v="44910871"/>
    <s v="0000001428"/>
    <x v="55"/>
    <x v="47"/>
    <x v="3"/>
    <x v="3"/>
    <m/>
  </r>
  <r>
    <n v="102"/>
    <m/>
    <m/>
    <m/>
    <m/>
    <x v="4"/>
    <x v="0"/>
    <x v="5"/>
    <s v="Optiplex 7000"/>
    <x v="99"/>
    <s v="04H8YK"/>
    <m/>
    <m/>
    <m/>
    <m/>
    <m/>
    <m/>
    <s v="C4-5A-B1-E3-DB-3F"/>
    <m/>
    <x v="73"/>
    <x v="60"/>
    <x v="0"/>
    <s v="Intel Core i7"/>
    <s v="12va Gen."/>
    <s v="Intel Integrado"/>
    <x v="5"/>
    <m/>
    <x v="8"/>
    <m/>
    <x v="0"/>
    <m/>
    <x v="0"/>
    <m/>
    <m/>
    <x v="0"/>
    <x v="0"/>
    <s v="09457769"/>
    <s v="0000000438"/>
    <x v="56"/>
    <x v="48"/>
    <x v="2"/>
    <x v="2"/>
    <m/>
  </r>
  <r>
    <n v="103"/>
    <m/>
    <m/>
    <m/>
    <m/>
    <x v="4"/>
    <x v="0"/>
    <x v="5"/>
    <s v="Optiplex 3020"/>
    <x v="100"/>
    <s v="0WMJ54"/>
    <m/>
    <m/>
    <m/>
    <m/>
    <m/>
    <m/>
    <s v="B0-83-FE-5E-FE-FB"/>
    <m/>
    <x v="1"/>
    <x v="61"/>
    <x v="0"/>
    <s v="Intel Core i5"/>
    <s v="4ta Gen."/>
    <s v="Intel Integrado"/>
    <x v="3"/>
    <m/>
    <x v="7"/>
    <m/>
    <x v="3"/>
    <m/>
    <x v="0"/>
    <m/>
    <m/>
    <x v="0"/>
    <x v="1"/>
    <s v="Sistemas"/>
    <n v="0"/>
    <x v="2"/>
    <x v="2"/>
    <x v="0"/>
    <x v="0"/>
    <s v="ex Centro de Control y Monitoreo"/>
  </r>
  <r>
    <n v="104"/>
    <m/>
    <m/>
    <m/>
    <m/>
    <x v="4"/>
    <x v="0"/>
    <x v="5"/>
    <s v="Optiplex 3020"/>
    <x v="101"/>
    <s v="0WMJ54"/>
    <m/>
    <m/>
    <m/>
    <m/>
    <m/>
    <m/>
    <s v="B0-83-FE-5E-E1-AA"/>
    <m/>
    <x v="74"/>
    <x v="62"/>
    <x v="52"/>
    <s v="Intel Core i5"/>
    <s v="4ta Gen."/>
    <s v="Intel Integrado"/>
    <x v="7"/>
    <m/>
    <x v="7"/>
    <m/>
    <x v="0"/>
    <s v="Si"/>
    <x v="0"/>
    <m/>
    <m/>
    <x v="0"/>
    <x v="0"/>
    <s v="80041385"/>
    <s v="0000001105"/>
    <x v="57"/>
    <x v="49"/>
    <x v="26"/>
    <x v="3"/>
    <m/>
  </r>
  <r>
    <n v="105"/>
    <m/>
    <m/>
    <m/>
    <m/>
    <x v="4"/>
    <x v="0"/>
    <x v="5"/>
    <s v="Optiplex 3020"/>
    <x v="102"/>
    <s v="0WMJ54"/>
    <m/>
    <m/>
    <m/>
    <m/>
    <m/>
    <m/>
    <s v="B0-83-FE-5E-F9-C9"/>
    <m/>
    <x v="1"/>
    <x v="63"/>
    <x v="0"/>
    <s v="Intel Core i5"/>
    <s v="4ta Gen."/>
    <s v="Intel Integrado"/>
    <x v="7"/>
    <m/>
    <x v="0"/>
    <m/>
    <x v="0"/>
    <m/>
    <x v="0"/>
    <m/>
    <m/>
    <x v="0"/>
    <x v="0"/>
    <s v="15356442"/>
    <s v="0000000844"/>
    <x v="58"/>
    <x v="50"/>
    <x v="5"/>
    <x v="5"/>
    <m/>
  </r>
  <r>
    <n v="106"/>
    <m/>
    <m/>
    <m/>
    <m/>
    <x v="4"/>
    <x v="0"/>
    <x v="5"/>
    <s v="Optiplex 3020"/>
    <x v="103"/>
    <s v="0WMJ54"/>
    <m/>
    <m/>
    <m/>
    <m/>
    <m/>
    <m/>
    <s v="B0-83-FE-5E-F9-1D"/>
    <m/>
    <x v="75"/>
    <x v="64"/>
    <x v="53"/>
    <s v="Intel Core i5"/>
    <s v="4ta Gen."/>
    <s v="Intel Integrado"/>
    <x v="7"/>
    <m/>
    <x v="0"/>
    <m/>
    <x v="0"/>
    <s v="Si"/>
    <x v="0"/>
    <m/>
    <m/>
    <x v="0"/>
    <x v="0"/>
    <s v="46421369"/>
    <s v="0000001207"/>
    <x v="59"/>
    <x v="16"/>
    <x v="4"/>
    <x v="4"/>
    <m/>
  </r>
  <r>
    <n v="107"/>
    <m/>
    <m/>
    <m/>
    <m/>
    <x v="4"/>
    <x v="0"/>
    <x v="5"/>
    <s v="Optiplex 3020"/>
    <x v="104"/>
    <s v="0WMJ54"/>
    <m/>
    <m/>
    <m/>
    <m/>
    <m/>
    <m/>
    <s v="B0-83-FE-52-BB-FE"/>
    <m/>
    <x v="76"/>
    <x v="65"/>
    <x v="54"/>
    <s v="Intel Core i5"/>
    <s v="4ta Gen."/>
    <s v="Intel Integrado"/>
    <x v="7"/>
    <m/>
    <x v="0"/>
    <m/>
    <x v="0"/>
    <s v="Si"/>
    <x v="0"/>
    <m/>
    <m/>
    <x v="0"/>
    <x v="0"/>
    <s v="45818643"/>
    <s v="0000001110"/>
    <x v="60"/>
    <x v="51"/>
    <x v="4"/>
    <x v="4"/>
    <m/>
  </r>
  <r>
    <n v="108"/>
    <m/>
    <m/>
    <m/>
    <m/>
    <x v="4"/>
    <x v="0"/>
    <x v="5"/>
    <s v="Optiplex 3020"/>
    <x v="105"/>
    <s v="0WMJ54"/>
    <m/>
    <m/>
    <m/>
    <m/>
    <m/>
    <m/>
    <s v="B0-83-FE-5E-FF-5B"/>
    <m/>
    <x v="77"/>
    <x v="66"/>
    <x v="55"/>
    <s v="Intel Core i5"/>
    <s v="4ta Gen."/>
    <s v="Intel Integrado"/>
    <x v="7"/>
    <m/>
    <x v="0"/>
    <m/>
    <x v="0"/>
    <s v="Si"/>
    <x v="0"/>
    <m/>
    <m/>
    <x v="0"/>
    <x v="0"/>
    <s v="47840820"/>
    <s v="0000001708"/>
    <x v="27"/>
    <x v="25"/>
    <x v="14"/>
    <x v="4"/>
    <m/>
  </r>
  <r>
    <n v="109"/>
    <m/>
    <m/>
    <m/>
    <m/>
    <x v="4"/>
    <x v="0"/>
    <x v="5"/>
    <s v="Optiplex 7000"/>
    <x v="106"/>
    <s v="04H8YK"/>
    <m/>
    <m/>
    <m/>
    <m/>
    <m/>
    <m/>
    <s v="C4-5A-B1-E3-E3-F1"/>
    <m/>
    <x v="78"/>
    <x v="67"/>
    <x v="56"/>
    <s v="Intel Core i7"/>
    <s v="12va Gen."/>
    <s v="Intel Integrado"/>
    <x v="5"/>
    <m/>
    <x v="9"/>
    <m/>
    <x v="0"/>
    <m/>
    <x v="2"/>
    <m/>
    <m/>
    <x v="0"/>
    <x v="0"/>
    <s v="45987182"/>
    <s v="0000F00047"/>
    <x v="61"/>
    <x v="52"/>
    <x v="25"/>
    <x v="10"/>
    <m/>
  </r>
  <r>
    <n v="110"/>
    <m/>
    <m/>
    <m/>
    <m/>
    <x v="4"/>
    <x v="1"/>
    <x v="5"/>
    <s v="Optiplex 3020"/>
    <x v="107"/>
    <s v="0WMJ54"/>
    <m/>
    <m/>
    <m/>
    <m/>
    <m/>
    <m/>
    <s v="B0-83-FE-5E-FF-40"/>
    <m/>
    <x v="79"/>
    <x v="68"/>
    <x v="57"/>
    <s v="Intel Core i5"/>
    <s v="4ta Gen."/>
    <s v="Intel Integrado"/>
    <x v="3"/>
    <m/>
    <x v="3"/>
    <m/>
    <x v="3"/>
    <s v="No"/>
    <x v="0"/>
    <m/>
    <m/>
    <x v="0"/>
    <x v="0"/>
    <s v="Sistemas"/>
    <n v="0"/>
    <x v="2"/>
    <x v="2"/>
    <x v="0"/>
    <x v="0"/>
    <s v="MagicInfo Server"/>
  </r>
  <r>
    <n v="111"/>
    <m/>
    <m/>
    <m/>
    <m/>
    <x v="1"/>
    <x v="0"/>
    <x v="5"/>
    <s v="E2014HC"/>
    <x v="108"/>
    <m/>
    <m/>
    <m/>
    <m/>
    <m/>
    <m/>
    <m/>
    <m/>
    <m/>
    <x v="1"/>
    <x v="1"/>
    <x v="0"/>
    <m/>
    <m/>
    <m/>
    <x v="1"/>
    <m/>
    <x v="1"/>
    <s v="20&quot;"/>
    <x v="1"/>
    <m/>
    <x v="1"/>
    <m/>
    <m/>
    <x v="0"/>
    <x v="0"/>
    <s v="40530952"/>
    <s v="0000000993"/>
    <x v="52"/>
    <x v="45"/>
    <x v="27"/>
    <x v="2"/>
    <m/>
  </r>
  <r>
    <n v="112"/>
    <m/>
    <m/>
    <m/>
    <m/>
    <x v="1"/>
    <x v="0"/>
    <x v="5"/>
    <s v="E2014HC"/>
    <x v="109"/>
    <m/>
    <m/>
    <m/>
    <m/>
    <m/>
    <m/>
    <m/>
    <m/>
    <m/>
    <x v="1"/>
    <x v="1"/>
    <x v="0"/>
    <m/>
    <m/>
    <m/>
    <x v="1"/>
    <m/>
    <x v="1"/>
    <s v="20&quot;"/>
    <x v="1"/>
    <m/>
    <x v="1"/>
    <m/>
    <m/>
    <x v="0"/>
    <x v="0"/>
    <s v="09884050"/>
    <s v="0000000345"/>
    <x v="45"/>
    <x v="39"/>
    <x v="24"/>
    <x v="3"/>
    <m/>
  </r>
  <r>
    <n v="113"/>
    <m/>
    <m/>
    <m/>
    <m/>
    <x v="1"/>
    <x v="0"/>
    <x v="5"/>
    <s v="E2014HC"/>
    <x v="110"/>
    <m/>
    <m/>
    <m/>
    <m/>
    <m/>
    <m/>
    <m/>
    <m/>
    <m/>
    <x v="1"/>
    <x v="1"/>
    <x v="0"/>
    <m/>
    <m/>
    <m/>
    <x v="1"/>
    <m/>
    <x v="1"/>
    <s v="20&quot;"/>
    <x v="1"/>
    <m/>
    <x v="1"/>
    <m/>
    <m/>
    <x v="0"/>
    <x v="0"/>
    <s v="10710564"/>
    <s v="0000000875"/>
    <x v="46"/>
    <x v="40"/>
    <x v="25"/>
    <x v="10"/>
    <m/>
  </r>
  <r>
    <n v="114"/>
    <m/>
    <m/>
    <m/>
    <m/>
    <x v="4"/>
    <x v="0"/>
    <x v="5"/>
    <s v="Optiplex 3020"/>
    <x v="111"/>
    <s v="0WMJ54"/>
    <m/>
    <m/>
    <m/>
    <m/>
    <m/>
    <m/>
    <m/>
    <m/>
    <x v="80"/>
    <x v="69"/>
    <x v="58"/>
    <s v="Intel Core i5"/>
    <s v="4ta Gen."/>
    <s v="Intel Integrado"/>
    <x v="7"/>
    <m/>
    <x v="0"/>
    <m/>
    <x v="0"/>
    <s v="Si"/>
    <x v="2"/>
    <m/>
    <m/>
    <x v="0"/>
    <x v="0"/>
    <s v="40728257"/>
    <s v="0000001548"/>
    <x v="62"/>
    <x v="16"/>
    <x v="4"/>
    <x v="4"/>
    <m/>
  </r>
  <r>
    <n v="115"/>
    <m/>
    <m/>
    <m/>
    <m/>
    <x v="1"/>
    <x v="0"/>
    <x v="5"/>
    <s v="E2014HC"/>
    <x v="112"/>
    <m/>
    <m/>
    <m/>
    <m/>
    <m/>
    <m/>
    <m/>
    <m/>
    <m/>
    <x v="1"/>
    <x v="1"/>
    <x v="0"/>
    <m/>
    <m/>
    <m/>
    <x v="1"/>
    <m/>
    <x v="1"/>
    <s v="20&quot;"/>
    <x v="1"/>
    <m/>
    <x v="1"/>
    <m/>
    <m/>
    <x v="0"/>
    <x v="0"/>
    <s v="40728257"/>
    <s v="0000001548"/>
    <x v="62"/>
    <x v="16"/>
    <x v="4"/>
    <x v="4"/>
    <m/>
  </r>
  <r>
    <n v="116"/>
    <m/>
    <m/>
    <m/>
    <m/>
    <x v="1"/>
    <x v="0"/>
    <x v="5"/>
    <s v="E2014HC"/>
    <x v="113"/>
    <m/>
    <m/>
    <m/>
    <m/>
    <m/>
    <m/>
    <m/>
    <m/>
    <m/>
    <x v="1"/>
    <x v="1"/>
    <x v="0"/>
    <m/>
    <m/>
    <m/>
    <x v="1"/>
    <m/>
    <x v="1"/>
    <s v="20&quot;"/>
    <x v="1"/>
    <m/>
    <x v="1"/>
    <m/>
    <m/>
    <x v="0"/>
    <x v="0"/>
    <s v="43007664"/>
    <s v="0000001557"/>
    <x v="63"/>
    <x v="53"/>
    <x v="25"/>
    <x v="10"/>
    <m/>
  </r>
  <r>
    <n v="117"/>
    <m/>
    <m/>
    <m/>
    <m/>
    <x v="4"/>
    <x v="0"/>
    <x v="5"/>
    <s v="Optiplex 3020"/>
    <x v="114"/>
    <s v="0WMJ54"/>
    <m/>
    <m/>
    <m/>
    <m/>
    <m/>
    <m/>
    <m/>
    <m/>
    <x v="81"/>
    <x v="1"/>
    <x v="59"/>
    <s v="Intel Core i5"/>
    <s v="4ta Gen."/>
    <s v="Intel Integrado"/>
    <x v="7"/>
    <m/>
    <x v="0"/>
    <m/>
    <x v="0"/>
    <s v="Si"/>
    <x v="2"/>
    <m/>
    <m/>
    <x v="0"/>
    <x v="0"/>
    <s v="43007664"/>
    <s v="0000001557"/>
    <x v="63"/>
    <x v="53"/>
    <x v="25"/>
    <x v="10"/>
    <m/>
  </r>
  <r>
    <n v="118"/>
    <m/>
    <m/>
    <m/>
    <m/>
    <x v="1"/>
    <x v="0"/>
    <x v="0"/>
    <s v="HP LV1911"/>
    <x v="115"/>
    <s v="A5V72A"/>
    <m/>
    <m/>
    <m/>
    <m/>
    <m/>
    <m/>
    <m/>
    <m/>
    <x v="1"/>
    <x v="1"/>
    <x v="0"/>
    <m/>
    <m/>
    <m/>
    <x v="1"/>
    <m/>
    <x v="1"/>
    <s v="19&quot;"/>
    <x v="1"/>
    <m/>
    <x v="1"/>
    <m/>
    <m/>
    <x v="0"/>
    <x v="0"/>
    <s v="10806822"/>
    <s v="0000000423"/>
    <x v="35"/>
    <x v="1"/>
    <x v="17"/>
    <x v="1"/>
    <m/>
  </r>
  <r>
    <n v="119"/>
    <m/>
    <m/>
    <m/>
    <m/>
    <x v="1"/>
    <x v="0"/>
    <x v="5"/>
    <s v="E2014HC"/>
    <x v="116"/>
    <m/>
    <m/>
    <m/>
    <m/>
    <m/>
    <m/>
    <m/>
    <m/>
    <m/>
    <x v="1"/>
    <x v="1"/>
    <x v="0"/>
    <m/>
    <m/>
    <m/>
    <x v="1"/>
    <m/>
    <x v="1"/>
    <s v="20&quot;"/>
    <x v="1"/>
    <m/>
    <x v="1"/>
    <m/>
    <m/>
    <x v="0"/>
    <x v="0"/>
    <s v="10158051"/>
    <s v="0000000874"/>
    <x v="1"/>
    <x v="1"/>
    <x v="1"/>
    <x v="1"/>
    <m/>
  </r>
  <r>
    <n v="120"/>
    <m/>
    <m/>
    <m/>
    <m/>
    <x v="1"/>
    <x v="0"/>
    <x v="5"/>
    <s v="E2014HC"/>
    <x v="117"/>
    <m/>
    <m/>
    <m/>
    <m/>
    <m/>
    <m/>
    <m/>
    <m/>
    <m/>
    <x v="1"/>
    <x v="1"/>
    <x v="0"/>
    <m/>
    <m/>
    <m/>
    <x v="1"/>
    <m/>
    <x v="1"/>
    <s v="20&quot;"/>
    <x v="1"/>
    <m/>
    <x v="1"/>
    <m/>
    <m/>
    <x v="0"/>
    <x v="0"/>
    <s v="75623367"/>
    <s v="0000001439"/>
    <x v="50"/>
    <x v="43"/>
    <x v="1"/>
    <x v="1"/>
    <m/>
  </r>
  <r>
    <n v="121"/>
    <m/>
    <m/>
    <m/>
    <m/>
    <x v="1"/>
    <x v="0"/>
    <x v="5"/>
    <s v="E2014HC"/>
    <x v="113"/>
    <m/>
    <m/>
    <m/>
    <m/>
    <m/>
    <m/>
    <m/>
    <m/>
    <m/>
    <x v="1"/>
    <x v="1"/>
    <x v="0"/>
    <m/>
    <m/>
    <m/>
    <x v="1"/>
    <m/>
    <x v="1"/>
    <s v="20&quot;"/>
    <x v="1"/>
    <m/>
    <x v="1"/>
    <m/>
    <m/>
    <x v="0"/>
    <x v="0"/>
    <s v="43007664"/>
    <s v="0000001557"/>
    <x v="63"/>
    <x v="53"/>
    <x v="25"/>
    <x v="10"/>
    <m/>
  </r>
  <r>
    <n v="122"/>
    <m/>
    <m/>
    <m/>
    <m/>
    <x v="1"/>
    <x v="0"/>
    <x v="5"/>
    <s v="E2014HC"/>
    <x v="118"/>
    <m/>
    <m/>
    <m/>
    <m/>
    <m/>
    <m/>
    <m/>
    <m/>
    <m/>
    <x v="1"/>
    <x v="1"/>
    <x v="0"/>
    <m/>
    <m/>
    <m/>
    <x v="1"/>
    <m/>
    <x v="1"/>
    <s v="20&quot;"/>
    <x v="1"/>
    <m/>
    <x v="1"/>
    <m/>
    <m/>
    <x v="0"/>
    <x v="0"/>
    <s v="44247838"/>
    <s v="0000001516"/>
    <x v="29"/>
    <x v="27"/>
    <x v="10"/>
    <x v="4"/>
    <m/>
  </r>
  <r>
    <n v="123"/>
    <m/>
    <m/>
    <m/>
    <m/>
    <x v="4"/>
    <x v="0"/>
    <x v="5"/>
    <s v="Optiplex 3020"/>
    <x v="119"/>
    <s v="0WMJ54"/>
    <m/>
    <m/>
    <m/>
    <m/>
    <m/>
    <m/>
    <s v="B0-83-FE-5E-94-1E"/>
    <m/>
    <x v="73"/>
    <x v="1"/>
    <x v="60"/>
    <s v="Intel Core i5"/>
    <s v="4ta Gen."/>
    <s v="Intel Integrado"/>
    <x v="7"/>
    <m/>
    <x v="0"/>
    <m/>
    <x v="0"/>
    <s v="Si"/>
    <x v="0"/>
    <m/>
    <m/>
    <x v="0"/>
    <x v="0"/>
    <s v="45425723"/>
    <s v="0000001678"/>
    <x v="64"/>
    <x v="27"/>
    <x v="10"/>
    <x v="4"/>
    <m/>
  </r>
  <r>
    <n v="124"/>
    <m/>
    <m/>
    <m/>
    <m/>
    <x v="1"/>
    <x v="0"/>
    <x v="5"/>
    <s v="E2014HC"/>
    <x v="120"/>
    <m/>
    <m/>
    <m/>
    <m/>
    <m/>
    <m/>
    <m/>
    <m/>
    <m/>
    <x v="1"/>
    <x v="1"/>
    <x v="0"/>
    <m/>
    <m/>
    <m/>
    <x v="1"/>
    <m/>
    <x v="1"/>
    <s v="20&quot;"/>
    <x v="1"/>
    <m/>
    <x v="1"/>
    <m/>
    <m/>
    <x v="0"/>
    <x v="0"/>
    <s v="46380959"/>
    <s v="0000001568"/>
    <x v="30"/>
    <x v="28"/>
    <x v="15"/>
    <x v="4"/>
    <m/>
  </r>
  <r>
    <n v="125"/>
    <m/>
    <m/>
    <m/>
    <m/>
    <x v="1"/>
    <x v="0"/>
    <x v="5"/>
    <s v="E2014HC"/>
    <x v="121"/>
    <m/>
    <m/>
    <m/>
    <m/>
    <m/>
    <m/>
    <m/>
    <m/>
    <m/>
    <x v="1"/>
    <x v="1"/>
    <x v="0"/>
    <m/>
    <m/>
    <m/>
    <x v="1"/>
    <m/>
    <x v="1"/>
    <s v="20&quot;"/>
    <x v="1"/>
    <m/>
    <x v="1"/>
    <m/>
    <m/>
    <x v="0"/>
    <x v="0"/>
    <s v="45425723"/>
    <s v="0000001678"/>
    <x v="64"/>
    <x v="27"/>
    <x v="10"/>
    <x v="4"/>
    <m/>
  </r>
  <r>
    <n v="126"/>
    <m/>
    <m/>
    <m/>
    <m/>
    <x v="1"/>
    <x v="0"/>
    <x v="5"/>
    <s v="E2014HC"/>
    <x v="122"/>
    <m/>
    <m/>
    <m/>
    <m/>
    <m/>
    <m/>
    <m/>
    <m/>
    <m/>
    <x v="1"/>
    <x v="1"/>
    <x v="0"/>
    <m/>
    <m/>
    <m/>
    <x v="1"/>
    <m/>
    <x v="1"/>
    <s v="20&quot;"/>
    <x v="1"/>
    <m/>
    <x v="1"/>
    <m/>
    <m/>
    <x v="0"/>
    <x v="0"/>
    <s v="41994040"/>
    <s v="0000001121"/>
    <x v="31"/>
    <x v="29"/>
    <x v="4"/>
    <x v="4"/>
    <m/>
  </r>
  <r>
    <n v="127"/>
    <m/>
    <m/>
    <m/>
    <m/>
    <x v="4"/>
    <x v="0"/>
    <x v="5"/>
    <s v="Optiplex 3020"/>
    <x v="123"/>
    <s v="0WMJ54"/>
    <m/>
    <m/>
    <m/>
    <m/>
    <m/>
    <m/>
    <s v="B0-83-FE-55-28-AE"/>
    <m/>
    <x v="82"/>
    <x v="1"/>
    <x v="61"/>
    <s v="Intel Core i5"/>
    <s v="4ta Gen."/>
    <s v="Intel Integrado"/>
    <x v="7"/>
    <m/>
    <x v="0"/>
    <m/>
    <x v="0"/>
    <s v="Si"/>
    <x v="2"/>
    <m/>
    <m/>
    <x v="0"/>
    <x v="0"/>
    <s v="73240904"/>
    <s v="0000001646"/>
    <x v="65"/>
    <x v="35"/>
    <x v="21"/>
    <x v="1"/>
    <m/>
  </r>
  <r>
    <n v="128"/>
    <m/>
    <m/>
    <m/>
    <m/>
    <x v="1"/>
    <x v="0"/>
    <x v="5"/>
    <s v="E2014HC"/>
    <x v="124"/>
    <m/>
    <m/>
    <m/>
    <m/>
    <m/>
    <m/>
    <m/>
    <m/>
    <m/>
    <x v="1"/>
    <x v="1"/>
    <x v="0"/>
    <m/>
    <m/>
    <m/>
    <x v="1"/>
    <m/>
    <x v="1"/>
    <s v="20&quot;"/>
    <x v="1"/>
    <m/>
    <x v="1"/>
    <m/>
    <m/>
    <x v="0"/>
    <x v="0"/>
    <s v="74915395"/>
    <s v="0000P00661"/>
    <x v="33"/>
    <x v="7"/>
    <x v="2"/>
    <x v="2"/>
    <m/>
  </r>
  <r>
    <n v="129"/>
    <m/>
    <m/>
    <m/>
    <m/>
    <x v="1"/>
    <x v="0"/>
    <x v="5"/>
    <s v="E2014HC"/>
    <x v="125"/>
    <m/>
    <m/>
    <m/>
    <m/>
    <m/>
    <m/>
    <m/>
    <m/>
    <m/>
    <x v="1"/>
    <x v="1"/>
    <x v="0"/>
    <m/>
    <m/>
    <m/>
    <x v="1"/>
    <m/>
    <x v="1"/>
    <s v="20&quot;"/>
    <x v="1"/>
    <m/>
    <x v="1"/>
    <m/>
    <m/>
    <x v="0"/>
    <x v="0"/>
    <s v="09457769"/>
    <s v="0000000438"/>
    <x v="56"/>
    <x v="48"/>
    <x v="2"/>
    <x v="2"/>
    <s v="Custodia en la oficina de Contabilidad"/>
  </r>
  <r>
    <n v="130"/>
    <m/>
    <m/>
    <m/>
    <m/>
    <x v="1"/>
    <x v="0"/>
    <x v="5"/>
    <s v="E2014HC"/>
    <x v="126"/>
    <m/>
    <m/>
    <m/>
    <m/>
    <m/>
    <m/>
    <m/>
    <m/>
    <m/>
    <x v="1"/>
    <x v="1"/>
    <x v="0"/>
    <m/>
    <m/>
    <m/>
    <x v="1"/>
    <m/>
    <x v="1"/>
    <s v="20&quot;"/>
    <x v="1"/>
    <m/>
    <x v="1"/>
    <m/>
    <m/>
    <x v="0"/>
    <x v="0"/>
    <s v="06111494"/>
    <s v="0000000086"/>
    <x v="34"/>
    <x v="30"/>
    <x v="16"/>
    <x v="2"/>
    <m/>
  </r>
  <r>
    <n v="131"/>
    <m/>
    <m/>
    <m/>
    <m/>
    <x v="4"/>
    <x v="0"/>
    <x v="5"/>
    <s v="Optiplex 7000"/>
    <x v="127"/>
    <m/>
    <m/>
    <m/>
    <m/>
    <m/>
    <m/>
    <m/>
    <s v="C4-5A-B1-E3-DB-09"/>
    <m/>
    <x v="83"/>
    <x v="70"/>
    <x v="0"/>
    <s v="Intel Core i7"/>
    <s v="12va Gen."/>
    <s v="Intel Integrado"/>
    <x v="5"/>
    <m/>
    <x v="8"/>
    <m/>
    <x v="0"/>
    <s v="Si"/>
    <x v="0"/>
    <m/>
    <m/>
    <x v="0"/>
    <x v="0"/>
    <s v="75915801"/>
    <s v="0000001629"/>
    <x v="66"/>
    <x v="54"/>
    <x v="2"/>
    <x v="2"/>
    <s v="Se actualizó solo a Windows 11 Pro al reiniciar"/>
  </r>
  <r>
    <n v="132"/>
    <m/>
    <m/>
    <m/>
    <m/>
    <x v="1"/>
    <x v="0"/>
    <x v="5"/>
    <s v="E2216H"/>
    <x v="128"/>
    <m/>
    <m/>
    <m/>
    <m/>
    <m/>
    <m/>
    <m/>
    <m/>
    <m/>
    <x v="1"/>
    <x v="1"/>
    <x v="0"/>
    <m/>
    <m/>
    <m/>
    <x v="1"/>
    <m/>
    <x v="1"/>
    <s v="22&quot;"/>
    <x v="1"/>
    <m/>
    <x v="1"/>
    <m/>
    <m/>
    <x v="0"/>
    <x v="0"/>
    <s v="40263172"/>
    <s v="0000000868"/>
    <x v="20"/>
    <x v="18"/>
    <x v="10"/>
    <x v="4"/>
    <m/>
  </r>
  <r>
    <n v="133"/>
    <m/>
    <m/>
    <m/>
    <m/>
    <x v="1"/>
    <x v="0"/>
    <x v="5"/>
    <s v="E2014HC"/>
    <x v="129"/>
    <m/>
    <m/>
    <m/>
    <m/>
    <m/>
    <m/>
    <m/>
    <m/>
    <m/>
    <x v="1"/>
    <x v="1"/>
    <x v="0"/>
    <m/>
    <m/>
    <m/>
    <x v="1"/>
    <m/>
    <x v="1"/>
    <s v="20&quot;"/>
    <x v="1"/>
    <m/>
    <x v="1"/>
    <m/>
    <m/>
    <x v="0"/>
    <x v="0"/>
    <s v="40263172"/>
    <s v="0000000868"/>
    <x v="20"/>
    <x v="18"/>
    <x v="10"/>
    <x v="4"/>
    <m/>
  </r>
  <r>
    <n v="134"/>
    <m/>
    <m/>
    <m/>
    <m/>
    <x v="1"/>
    <x v="0"/>
    <x v="5"/>
    <s v="E2014HC"/>
    <x v="130"/>
    <m/>
    <m/>
    <m/>
    <m/>
    <m/>
    <m/>
    <m/>
    <m/>
    <m/>
    <x v="1"/>
    <x v="1"/>
    <x v="0"/>
    <m/>
    <m/>
    <m/>
    <x v="1"/>
    <m/>
    <x v="1"/>
    <s v="20&quot;"/>
    <x v="1"/>
    <m/>
    <x v="1"/>
    <m/>
    <m/>
    <x v="0"/>
    <x v="0"/>
    <s v="40856376"/>
    <s v="0000000772"/>
    <x v="37"/>
    <x v="31"/>
    <x v="2"/>
    <x v="2"/>
    <m/>
  </r>
  <r>
    <n v="135"/>
    <m/>
    <m/>
    <m/>
    <m/>
    <x v="1"/>
    <x v="0"/>
    <x v="5"/>
    <s v="E2014HC"/>
    <x v="131"/>
    <m/>
    <m/>
    <m/>
    <m/>
    <m/>
    <m/>
    <m/>
    <m/>
    <m/>
    <x v="1"/>
    <x v="1"/>
    <x v="0"/>
    <m/>
    <m/>
    <m/>
    <x v="1"/>
    <m/>
    <x v="1"/>
    <s v="20&quot;"/>
    <x v="1"/>
    <m/>
    <x v="1"/>
    <m/>
    <m/>
    <x v="0"/>
    <x v="0"/>
    <s v="75915801"/>
    <s v="0000001629"/>
    <x v="66"/>
    <x v="54"/>
    <x v="2"/>
    <x v="2"/>
    <m/>
  </r>
  <r>
    <n v="136"/>
    <m/>
    <m/>
    <m/>
    <m/>
    <x v="1"/>
    <x v="0"/>
    <x v="4"/>
    <s v="E22-30"/>
    <x v="132"/>
    <s v="63EBMAR2LA"/>
    <m/>
    <m/>
    <m/>
    <m/>
    <m/>
    <m/>
    <m/>
    <m/>
    <x v="1"/>
    <x v="1"/>
    <x v="0"/>
    <m/>
    <m/>
    <m/>
    <x v="1"/>
    <m/>
    <x v="1"/>
    <s v="22&quot;"/>
    <x v="1"/>
    <m/>
    <x v="1"/>
    <m/>
    <m/>
    <x v="0"/>
    <x v="0"/>
    <s v="Front Desk"/>
    <e v="#N/A"/>
    <x v="13"/>
    <x v="12"/>
    <x v="8"/>
    <x v="6"/>
    <m/>
  </r>
  <r>
    <n v="137"/>
    <m/>
    <m/>
    <m/>
    <m/>
    <x v="1"/>
    <x v="0"/>
    <x v="4"/>
    <s v="E22-30"/>
    <x v="133"/>
    <s v="63EBMAR2LA"/>
    <m/>
    <m/>
    <m/>
    <m/>
    <m/>
    <m/>
    <m/>
    <m/>
    <x v="1"/>
    <x v="1"/>
    <x v="0"/>
    <m/>
    <m/>
    <m/>
    <x v="1"/>
    <m/>
    <x v="1"/>
    <s v="22&quot;"/>
    <x v="1"/>
    <m/>
    <x v="1"/>
    <m/>
    <m/>
    <x v="0"/>
    <x v="0"/>
    <s v="Front Desk"/>
    <e v="#N/A"/>
    <x v="13"/>
    <x v="12"/>
    <x v="8"/>
    <x v="6"/>
    <m/>
  </r>
  <r>
    <n v="138"/>
    <m/>
    <m/>
    <m/>
    <m/>
    <x v="1"/>
    <x v="0"/>
    <x v="4"/>
    <s v="E22-30"/>
    <x v="134"/>
    <s v="63EBMAR2LA"/>
    <m/>
    <m/>
    <m/>
    <m/>
    <m/>
    <m/>
    <m/>
    <m/>
    <x v="1"/>
    <x v="1"/>
    <x v="0"/>
    <m/>
    <m/>
    <m/>
    <x v="1"/>
    <m/>
    <x v="1"/>
    <s v="22&quot;"/>
    <x v="1"/>
    <m/>
    <x v="1"/>
    <m/>
    <m/>
    <x v="0"/>
    <x v="1"/>
    <m/>
    <e v="#N/A"/>
    <x v="13"/>
    <x v="12"/>
    <x v="8"/>
    <x v="6"/>
    <m/>
  </r>
  <r>
    <n v="139"/>
    <m/>
    <m/>
    <m/>
    <m/>
    <x v="1"/>
    <x v="0"/>
    <x v="4"/>
    <s v="E22-30"/>
    <x v="135"/>
    <s v="63EBMAR2LA"/>
    <m/>
    <m/>
    <m/>
    <m/>
    <m/>
    <m/>
    <m/>
    <m/>
    <x v="1"/>
    <x v="1"/>
    <x v="0"/>
    <m/>
    <m/>
    <m/>
    <x v="1"/>
    <m/>
    <x v="1"/>
    <s v="22&quot;"/>
    <x v="1"/>
    <m/>
    <x v="1"/>
    <m/>
    <m/>
    <x v="0"/>
    <x v="1"/>
    <m/>
    <e v="#N/A"/>
    <x v="13"/>
    <x v="12"/>
    <x v="8"/>
    <x v="6"/>
    <m/>
  </r>
  <r>
    <n v="140"/>
    <m/>
    <m/>
    <m/>
    <m/>
    <x v="1"/>
    <x v="0"/>
    <x v="1"/>
    <s v="S27E370D"/>
    <x v="136"/>
    <s v="LS27E370DS/PE"/>
    <m/>
    <m/>
    <m/>
    <m/>
    <m/>
    <m/>
    <m/>
    <m/>
    <x v="1"/>
    <x v="1"/>
    <x v="0"/>
    <m/>
    <m/>
    <m/>
    <x v="1"/>
    <m/>
    <x v="1"/>
    <s v="27&quot;"/>
    <x v="1"/>
    <m/>
    <x v="1"/>
    <m/>
    <m/>
    <x v="0"/>
    <x v="5"/>
    <s v="25728850"/>
    <s v="0000001491"/>
    <x v="54"/>
    <x v="46"/>
    <x v="28"/>
    <x v="11"/>
    <m/>
  </r>
  <r>
    <n v="141"/>
    <m/>
    <m/>
    <m/>
    <m/>
    <x v="4"/>
    <x v="0"/>
    <x v="5"/>
    <s v="Optiplex 3020"/>
    <x v="137"/>
    <s v="0WMJ54"/>
    <m/>
    <m/>
    <m/>
    <m/>
    <m/>
    <m/>
    <s v="B0-83-FE-52-C1-E9"/>
    <m/>
    <x v="84"/>
    <x v="71"/>
    <x v="0"/>
    <s v="Intel Core i5"/>
    <s v="4ta Gen."/>
    <s v="Intel Integrado"/>
    <x v="7"/>
    <m/>
    <x v="0"/>
    <m/>
    <x v="0"/>
    <s v="Si"/>
    <x v="2"/>
    <m/>
    <m/>
    <x v="0"/>
    <x v="0"/>
    <s v="45274548"/>
    <s v="0000001776"/>
    <x v="39"/>
    <x v="33"/>
    <x v="19"/>
    <x v="3"/>
    <s v="2da PC en su área - GYM a su nombre"/>
  </r>
  <r>
    <n v="142"/>
    <m/>
    <m/>
    <m/>
    <m/>
    <x v="4"/>
    <x v="0"/>
    <x v="5"/>
    <s v="Optiplex 3020"/>
    <x v="138"/>
    <s v="0WMJ54"/>
    <m/>
    <m/>
    <m/>
    <m/>
    <m/>
    <m/>
    <s v="B0-83-FE-5F-3D-54"/>
    <m/>
    <x v="85"/>
    <x v="72"/>
    <x v="62"/>
    <s v="Intel Core i5"/>
    <s v="4ta Gen."/>
    <s v="Intel Integrado"/>
    <x v="7"/>
    <m/>
    <x v="0"/>
    <m/>
    <x v="0"/>
    <s v="Si"/>
    <x v="0"/>
    <m/>
    <m/>
    <x v="0"/>
    <x v="0"/>
    <s v="74092275"/>
    <s v="0000001714"/>
    <x v="67"/>
    <x v="51"/>
    <x v="4"/>
    <x v="4"/>
    <m/>
  </r>
  <r>
    <n v="143"/>
    <m/>
    <m/>
    <m/>
    <m/>
    <x v="4"/>
    <x v="0"/>
    <x v="5"/>
    <s v="Optiplex 3020"/>
    <x v="139"/>
    <s v="0WMJ54"/>
    <m/>
    <m/>
    <m/>
    <m/>
    <m/>
    <m/>
    <s v="B0-83-FE-52-AB-58"/>
    <m/>
    <x v="86"/>
    <x v="73"/>
    <x v="63"/>
    <s v="Intel Core i5"/>
    <s v="4ta Gen."/>
    <s v="Intel Integrado"/>
    <x v="7"/>
    <m/>
    <x v="0"/>
    <m/>
    <x v="0"/>
    <s v="Si"/>
    <x v="0"/>
    <m/>
    <m/>
    <x v="0"/>
    <x v="0"/>
    <s v="46885186"/>
    <s v="0000001527"/>
    <x v="68"/>
    <x v="16"/>
    <x v="4"/>
    <x v="4"/>
    <m/>
  </r>
  <r>
    <n v="144"/>
    <m/>
    <m/>
    <m/>
    <m/>
    <x v="4"/>
    <x v="0"/>
    <x v="5"/>
    <s v="Optiplex 3020"/>
    <x v="140"/>
    <s v="0WMJ54"/>
    <m/>
    <m/>
    <m/>
    <m/>
    <m/>
    <m/>
    <s v="B0-83-FE-5E-91-E9"/>
    <m/>
    <x v="87"/>
    <x v="74"/>
    <x v="64"/>
    <s v="Intel Core i5"/>
    <s v="4ta Gen."/>
    <s v="Intel Integrado"/>
    <x v="7"/>
    <m/>
    <x v="0"/>
    <m/>
    <x v="0"/>
    <s v="Si"/>
    <x v="0"/>
    <m/>
    <m/>
    <x v="0"/>
    <x v="0"/>
    <s v="47119576"/>
    <s v="0000001775"/>
    <x v="69"/>
    <x v="16"/>
    <x v="4"/>
    <x v="4"/>
    <m/>
  </r>
  <r>
    <n v="145"/>
    <m/>
    <m/>
    <m/>
    <m/>
    <x v="4"/>
    <x v="0"/>
    <x v="5"/>
    <s v="Optiplex 3020"/>
    <x v="141"/>
    <s v="0WMJ54"/>
    <m/>
    <m/>
    <m/>
    <m/>
    <m/>
    <m/>
    <s v="B0-83-FE-55-2B-57"/>
    <m/>
    <x v="88"/>
    <x v="75"/>
    <x v="0"/>
    <s v="Intel Core i5"/>
    <s v="4ta Gen."/>
    <s v="Intel Integrado"/>
    <x v="7"/>
    <m/>
    <x v="0"/>
    <m/>
    <x v="0"/>
    <s v="Si"/>
    <x v="0"/>
    <m/>
    <m/>
    <x v="0"/>
    <x v="0"/>
    <s v="40611017"/>
    <s v="0000001553"/>
    <x v="70"/>
    <x v="55"/>
    <x v="4"/>
    <x v="4"/>
    <m/>
  </r>
  <r>
    <n v="146"/>
    <m/>
    <m/>
    <m/>
    <m/>
    <x v="4"/>
    <x v="0"/>
    <x v="5"/>
    <s v="Optiplex 3020"/>
    <x v="142"/>
    <s v="0WMJ54"/>
    <m/>
    <m/>
    <m/>
    <m/>
    <m/>
    <m/>
    <m/>
    <m/>
    <x v="89"/>
    <x v="1"/>
    <x v="65"/>
    <s v="Intel Core i5"/>
    <s v="4ta Gen."/>
    <s v="Intel Integrado"/>
    <x v="7"/>
    <m/>
    <x v="0"/>
    <m/>
    <x v="0"/>
    <s v="Si"/>
    <x v="0"/>
    <m/>
    <m/>
    <x v="0"/>
    <x v="0"/>
    <s v="25830800"/>
    <s v="0000000736"/>
    <x v="71"/>
    <x v="26"/>
    <x v="4"/>
    <x v="4"/>
    <m/>
  </r>
  <r>
    <n v="147"/>
    <m/>
    <m/>
    <m/>
    <m/>
    <x v="4"/>
    <x v="0"/>
    <x v="5"/>
    <s v="Optiplex 3020"/>
    <x v="143"/>
    <s v="0WMJ54"/>
    <m/>
    <m/>
    <m/>
    <m/>
    <m/>
    <m/>
    <s v="B0-83-FE-52-AD-2D"/>
    <m/>
    <x v="90"/>
    <x v="1"/>
    <x v="66"/>
    <s v="Intel Core i5"/>
    <s v="4ta Gen."/>
    <s v="Intel Integrado"/>
    <x v="7"/>
    <m/>
    <x v="0"/>
    <m/>
    <x v="0"/>
    <s v="Si"/>
    <x v="0"/>
    <m/>
    <m/>
    <x v="0"/>
    <x v="0"/>
    <s v="43134319"/>
    <s v="0000001698"/>
    <x v="72"/>
    <x v="56"/>
    <x v="4"/>
    <x v="4"/>
    <m/>
  </r>
  <r>
    <n v="148"/>
    <m/>
    <m/>
    <m/>
    <m/>
    <x v="4"/>
    <x v="0"/>
    <x v="5"/>
    <s v="Optiplex 3020"/>
    <x v="144"/>
    <s v="0WMJ54"/>
    <m/>
    <m/>
    <m/>
    <m/>
    <m/>
    <m/>
    <m/>
    <m/>
    <x v="91"/>
    <x v="76"/>
    <x v="67"/>
    <s v="Intel Core i5"/>
    <s v="4ta Gen."/>
    <s v="Intel Integrado"/>
    <x v="7"/>
    <m/>
    <x v="0"/>
    <m/>
    <x v="0"/>
    <s v="Si"/>
    <x v="0"/>
    <m/>
    <m/>
    <x v="0"/>
    <x v="0"/>
    <s v="72504034"/>
    <s v="0000001717"/>
    <x v="73"/>
    <x v="51"/>
    <x v="4"/>
    <x v="4"/>
    <m/>
  </r>
  <r>
    <n v="149"/>
    <m/>
    <m/>
    <m/>
    <m/>
    <x v="0"/>
    <x v="0"/>
    <x v="4"/>
    <m/>
    <x v="51"/>
    <s v="82KB00G6LM"/>
    <m/>
    <m/>
    <m/>
    <m/>
    <m/>
    <m/>
    <m/>
    <m/>
    <x v="1"/>
    <x v="1"/>
    <x v="0"/>
    <s v="Intel Core i5"/>
    <s v="11va Gen."/>
    <s v="NVIDEA"/>
    <x v="11"/>
    <m/>
    <x v="7"/>
    <m/>
    <x v="0"/>
    <m/>
    <x v="2"/>
    <m/>
    <m/>
    <x v="0"/>
    <x v="0"/>
    <s v="001007594"/>
    <s v="0000F00031"/>
    <x v="74"/>
    <x v="57"/>
    <x v="15"/>
    <x v="4"/>
    <m/>
  </r>
  <r>
    <n v="150"/>
    <m/>
    <m/>
    <m/>
    <m/>
    <x v="0"/>
    <x v="0"/>
    <x v="4"/>
    <s v="V15 G2-ITL "/>
    <x v="145"/>
    <s v="82KB00G6LM"/>
    <m/>
    <m/>
    <m/>
    <m/>
    <m/>
    <m/>
    <s v="84-A9-38-CC-1A-16"/>
    <m/>
    <x v="92"/>
    <x v="1"/>
    <x v="68"/>
    <s v="Intel Core i5"/>
    <s v="11va Gen."/>
    <s v="NVIDEA"/>
    <x v="12"/>
    <m/>
    <x v="4"/>
    <m/>
    <x v="0"/>
    <m/>
    <x v="2"/>
    <m/>
    <m/>
    <x v="0"/>
    <x v="0"/>
    <s v="08738298"/>
    <s v="0000F00011"/>
    <x v="75"/>
    <x v="58"/>
    <x v="13"/>
    <x v="9"/>
    <m/>
  </r>
  <r>
    <n v="151"/>
    <m/>
    <m/>
    <m/>
    <m/>
    <x v="0"/>
    <x v="0"/>
    <x v="4"/>
    <m/>
    <x v="51"/>
    <s v="82KB00G6LM"/>
    <m/>
    <m/>
    <m/>
    <m/>
    <m/>
    <m/>
    <m/>
    <m/>
    <x v="1"/>
    <x v="1"/>
    <x v="0"/>
    <s v="Intel Core i5"/>
    <s v="11va Gen."/>
    <s v="NVIDEA"/>
    <x v="11"/>
    <m/>
    <x v="7"/>
    <m/>
    <x v="0"/>
    <m/>
    <x v="2"/>
    <m/>
    <m/>
    <x v="0"/>
    <x v="0"/>
    <s v="08869374"/>
    <s v="0000F00015"/>
    <x v="76"/>
    <x v="59"/>
    <x v="29"/>
    <x v="2"/>
    <m/>
  </r>
  <r>
    <n v="152"/>
    <m/>
    <m/>
    <m/>
    <m/>
    <x v="4"/>
    <x v="0"/>
    <x v="5"/>
    <s v="Optiplex 3020"/>
    <x v="146"/>
    <s v="0WMJ54"/>
    <m/>
    <m/>
    <m/>
    <m/>
    <m/>
    <m/>
    <s v="64-00-6A-2A-D2-84"/>
    <m/>
    <x v="63"/>
    <x v="1"/>
    <x v="69"/>
    <s v="Intel Core i5"/>
    <s v="4ta Gen."/>
    <s v="Intel Integrado"/>
    <x v="7"/>
    <m/>
    <x v="0"/>
    <m/>
    <x v="0"/>
    <s v="Si"/>
    <x v="2"/>
    <m/>
    <m/>
    <x v="0"/>
    <x v="0"/>
    <s v="76359616"/>
    <s v="0000001755"/>
    <x v="77"/>
    <x v="60"/>
    <x v="25"/>
    <x v="10"/>
    <m/>
  </r>
  <r>
    <n v="153"/>
    <m/>
    <m/>
    <m/>
    <m/>
    <x v="4"/>
    <x v="0"/>
    <x v="5"/>
    <s v="Optiplex 3020"/>
    <x v="147"/>
    <s v="0WMJ54"/>
    <m/>
    <m/>
    <m/>
    <m/>
    <m/>
    <m/>
    <s v="B0-83-FE-52-AB-C1"/>
    <m/>
    <x v="46"/>
    <x v="1"/>
    <x v="70"/>
    <s v="Intel Core i5"/>
    <s v="4ta Gen."/>
    <s v="Intel Integrado"/>
    <x v="7"/>
    <m/>
    <x v="0"/>
    <m/>
    <x v="0"/>
    <s v="Si"/>
    <x v="2"/>
    <m/>
    <m/>
    <x v="0"/>
    <x v="0"/>
    <s v="07631677"/>
    <s v="0000000462"/>
    <x v="78"/>
    <x v="61"/>
    <x v="6"/>
    <x v="1"/>
    <m/>
  </r>
  <r>
    <n v="154"/>
    <m/>
    <m/>
    <m/>
    <m/>
    <x v="4"/>
    <x v="0"/>
    <x v="5"/>
    <s v="Optiplex 3020"/>
    <x v="148"/>
    <s v="0WMJ54"/>
    <m/>
    <m/>
    <m/>
    <m/>
    <m/>
    <m/>
    <s v="B0-83-FE-5E-A1-EE"/>
    <m/>
    <x v="93"/>
    <x v="77"/>
    <x v="71"/>
    <s v="Intel Core i5"/>
    <s v="4ta Gen."/>
    <s v="Intel Integrado"/>
    <x v="7"/>
    <m/>
    <x v="7"/>
    <m/>
    <x v="0"/>
    <s v="Si"/>
    <x v="0"/>
    <m/>
    <m/>
    <x v="0"/>
    <x v="0"/>
    <s v="43828971"/>
    <s v="0000001297"/>
    <x v="79"/>
    <x v="38"/>
    <x v="23"/>
    <x v="3"/>
    <m/>
  </r>
  <r>
    <n v="155"/>
    <m/>
    <m/>
    <m/>
    <m/>
    <x v="4"/>
    <x v="0"/>
    <x v="5"/>
    <s v="Optiplex 3020"/>
    <x v="149"/>
    <s v="0WMJ54"/>
    <m/>
    <m/>
    <m/>
    <m/>
    <m/>
    <m/>
    <m/>
    <m/>
    <x v="94"/>
    <x v="1"/>
    <x v="72"/>
    <s v="Intel Core i5"/>
    <s v="4ta Gen."/>
    <s v="Intel Integrado"/>
    <x v="7"/>
    <m/>
    <x v="0"/>
    <m/>
    <x v="0"/>
    <s v="Si"/>
    <x v="0"/>
    <m/>
    <m/>
    <x v="0"/>
    <x v="0"/>
    <s v="06111494"/>
    <s v="0000000086"/>
    <x v="34"/>
    <x v="30"/>
    <x v="16"/>
    <x v="2"/>
    <m/>
  </r>
  <r>
    <n v="156"/>
    <m/>
    <m/>
    <m/>
    <m/>
    <x v="4"/>
    <x v="0"/>
    <x v="5"/>
    <s v="Optiplex 3020"/>
    <x v="150"/>
    <s v="0WMJ54"/>
    <m/>
    <m/>
    <m/>
    <m/>
    <m/>
    <m/>
    <s v="B0-83-FE-5F-8D-A2"/>
    <m/>
    <x v="95"/>
    <x v="78"/>
    <x v="73"/>
    <s v="Intel Core i5"/>
    <s v="4ta Gen."/>
    <s v="Intel Integrado"/>
    <x v="7"/>
    <m/>
    <x v="7"/>
    <m/>
    <x v="0"/>
    <s v="Si"/>
    <x v="0"/>
    <m/>
    <m/>
    <x v="0"/>
    <x v="0"/>
    <s v="47156230"/>
    <s v="0000001236"/>
    <x v="23"/>
    <x v="21"/>
    <x v="11"/>
    <x v="8"/>
    <m/>
  </r>
  <r>
    <n v="157"/>
    <m/>
    <m/>
    <m/>
    <m/>
    <x v="4"/>
    <x v="0"/>
    <x v="5"/>
    <s v="Optiplex 3020"/>
    <x v="151"/>
    <s v="0WMJ54"/>
    <m/>
    <m/>
    <m/>
    <m/>
    <m/>
    <m/>
    <s v="B0-83-FE-5F-3C-FA"/>
    <m/>
    <x v="96"/>
    <x v="1"/>
    <x v="74"/>
    <s v="Intel Core i5"/>
    <s v="4ta Gen."/>
    <s v="Intel Integrado"/>
    <x v="7"/>
    <m/>
    <x v="0"/>
    <m/>
    <x v="0"/>
    <s v="Si"/>
    <x v="2"/>
    <m/>
    <m/>
    <x v="0"/>
    <x v="0"/>
    <s v="72861241"/>
    <s v="0000P00506"/>
    <x v="80"/>
    <x v="62"/>
    <x v="18"/>
    <x v="8"/>
    <m/>
  </r>
  <r>
    <n v="158"/>
    <m/>
    <m/>
    <m/>
    <m/>
    <x v="1"/>
    <x v="0"/>
    <x v="5"/>
    <s v="E2014HC"/>
    <x v="152"/>
    <m/>
    <m/>
    <m/>
    <m/>
    <m/>
    <m/>
    <m/>
    <m/>
    <m/>
    <x v="1"/>
    <x v="1"/>
    <x v="0"/>
    <m/>
    <m/>
    <m/>
    <x v="1"/>
    <m/>
    <x v="1"/>
    <s v="20&quot;"/>
    <x v="1"/>
    <m/>
    <x v="1"/>
    <m/>
    <m/>
    <x v="0"/>
    <x v="0"/>
    <s v="46960867"/>
    <s v="0000001462"/>
    <x v="40"/>
    <x v="34"/>
    <x v="20"/>
    <x v="1"/>
    <m/>
  </r>
  <r>
    <n v="159"/>
    <m/>
    <m/>
    <m/>
    <m/>
    <x v="1"/>
    <x v="0"/>
    <x v="5"/>
    <s v="E2014HC"/>
    <x v="153"/>
    <m/>
    <m/>
    <m/>
    <m/>
    <m/>
    <m/>
    <m/>
    <m/>
    <m/>
    <x v="1"/>
    <x v="1"/>
    <x v="0"/>
    <m/>
    <m/>
    <m/>
    <x v="1"/>
    <m/>
    <x v="1"/>
    <s v="20&quot;"/>
    <x v="1"/>
    <m/>
    <x v="1"/>
    <m/>
    <m/>
    <x v="0"/>
    <x v="5"/>
    <s v="43329158"/>
    <s v="0000001417"/>
    <x v="44"/>
    <x v="38"/>
    <x v="23"/>
    <x v="3"/>
    <m/>
  </r>
  <r>
    <n v="160"/>
    <m/>
    <m/>
    <m/>
    <m/>
    <x v="4"/>
    <x v="0"/>
    <x v="5"/>
    <s v="Optiplex 3020"/>
    <x v="154"/>
    <s v="0WMJ54"/>
    <m/>
    <m/>
    <m/>
    <m/>
    <m/>
    <m/>
    <s v="B0-83-FE-52-C0-93"/>
    <m/>
    <x v="97"/>
    <x v="78"/>
    <x v="75"/>
    <s v="Intel Core i5"/>
    <s v="4ta Gen."/>
    <s v="Intel Integrado"/>
    <x v="6"/>
    <m/>
    <x v="0"/>
    <m/>
    <x v="0"/>
    <m/>
    <x v="2"/>
    <m/>
    <m/>
    <x v="0"/>
    <x v="0"/>
    <s v="71544844"/>
    <s v="0000001448"/>
    <x v="81"/>
    <x v="63"/>
    <x v="30"/>
    <x v="8"/>
    <m/>
  </r>
  <r>
    <n v="161"/>
    <m/>
    <m/>
    <m/>
    <m/>
    <x v="4"/>
    <x v="0"/>
    <x v="5"/>
    <s v="Optiplex 3020"/>
    <x v="155"/>
    <s v="0WMJ54"/>
    <m/>
    <m/>
    <m/>
    <m/>
    <m/>
    <m/>
    <s v="B0-83-FE-5F-01-12"/>
    <m/>
    <x v="98"/>
    <x v="1"/>
    <x v="76"/>
    <s v="Intel Core i5"/>
    <s v="4ta Gen."/>
    <s v="Intel Integrado"/>
    <x v="7"/>
    <m/>
    <x v="0"/>
    <m/>
    <x v="0"/>
    <m/>
    <x v="0"/>
    <m/>
    <m/>
    <x v="0"/>
    <x v="0"/>
    <s v="09844674"/>
    <n v="0"/>
    <x v="82"/>
    <x v="64"/>
    <x v="9"/>
    <x v="7"/>
    <m/>
  </r>
  <r>
    <n v="162"/>
    <m/>
    <m/>
    <m/>
    <m/>
    <x v="4"/>
    <x v="0"/>
    <x v="5"/>
    <s v="Optiplex 3020"/>
    <x v="156"/>
    <s v="0WMJ54"/>
    <m/>
    <m/>
    <m/>
    <m/>
    <m/>
    <m/>
    <m/>
    <m/>
    <x v="99"/>
    <x v="1"/>
    <x v="0"/>
    <s v="Intel Core i5"/>
    <s v="4ta Gen."/>
    <s v="Intel Integrado"/>
    <x v="7"/>
    <m/>
    <x v="0"/>
    <m/>
    <x v="0"/>
    <m/>
    <x v="0"/>
    <m/>
    <m/>
    <x v="0"/>
    <x v="0"/>
    <s v="08906688"/>
    <s v="0000000304"/>
    <x v="83"/>
    <x v="65"/>
    <x v="9"/>
    <x v="7"/>
    <m/>
  </r>
  <r>
    <n v="163"/>
    <m/>
    <m/>
    <m/>
    <m/>
    <x v="4"/>
    <x v="0"/>
    <x v="0"/>
    <s v="Prodesk 600 G1"/>
    <x v="157"/>
    <s v="E1Z55LT#ABM"/>
    <m/>
    <m/>
    <m/>
    <m/>
    <m/>
    <m/>
    <m/>
    <m/>
    <x v="1"/>
    <x v="1"/>
    <x v="0"/>
    <s v="Intel Core i5"/>
    <s v="4ta Gen."/>
    <s v="Intel Integrado"/>
    <x v="3"/>
    <m/>
    <x v="3"/>
    <m/>
    <x v="4"/>
    <m/>
    <x v="0"/>
    <m/>
    <m/>
    <x v="0"/>
    <x v="0"/>
    <s v="44817223"/>
    <s v="0000001496"/>
    <x v="84"/>
    <x v="66"/>
    <x v="9"/>
    <x v="7"/>
    <m/>
  </r>
  <r>
    <n v="164"/>
    <m/>
    <m/>
    <m/>
    <m/>
    <x v="4"/>
    <x v="0"/>
    <x v="5"/>
    <s v="Optiplex 3020"/>
    <x v="158"/>
    <s v="0WMJ54"/>
    <m/>
    <m/>
    <m/>
    <m/>
    <m/>
    <m/>
    <m/>
    <m/>
    <x v="100"/>
    <x v="1"/>
    <x v="77"/>
    <s v="Intel Core i5"/>
    <s v="4ta Gen."/>
    <s v="Intel Integrado"/>
    <x v="7"/>
    <m/>
    <x v="0"/>
    <m/>
    <x v="0"/>
    <m/>
    <x v="0"/>
    <m/>
    <m/>
    <x v="0"/>
    <x v="0"/>
    <s v="48319738"/>
    <s v="0000001697"/>
    <x v="85"/>
    <x v="4"/>
    <x v="3"/>
    <x v="3"/>
    <m/>
  </r>
  <r>
    <n v="165"/>
    <m/>
    <m/>
    <m/>
    <m/>
    <x v="4"/>
    <x v="0"/>
    <x v="5"/>
    <s v="Optiplex 3020"/>
    <x v="159"/>
    <s v="0WMJ54"/>
    <m/>
    <m/>
    <m/>
    <m/>
    <m/>
    <m/>
    <m/>
    <m/>
    <x v="101"/>
    <x v="79"/>
    <x v="0"/>
    <s v="Intel Core i5"/>
    <s v="4ta Gen."/>
    <s v="Intel Integrado"/>
    <x v="7"/>
    <m/>
    <x v="0"/>
    <m/>
    <x v="0"/>
    <m/>
    <x v="0"/>
    <m/>
    <m/>
    <x v="0"/>
    <x v="0"/>
    <s v="44260173"/>
    <s v="0000001151"/>
    <x v="86"/>
    <x v="67"/>
    <x v="3"/>
    <x v="3"/>
    <m/>
  </r>
  <r>
    <n v="166"/>
    <m/>
    <m/>
    <m/>
    <m/>
    <x v="4"/>
    <x v="0"/>
    <x v="5"/>
    <s v="Optiplex 3020"/>
    <x v="160"/>
    <s v="0WMJ54"/>
    <m/>
    <m/>
    <m/>
    <m/>
    <m/>
    <m/>
    <s v="B0-83-FE-5E-94-01"/>
    <m/>
    <x v="102"/>
    <x v="1"/>
    <x v="78"/>
    <s v="Intel Core i5"/>
    <s v="4ta Gen."/>
    <s v="Intel Integrado"/>
    <x v="7"/>
    <m/>
    <x v="0"/>
    <m/>
    <x v="0"/>
    <m/>
    <x v="0"/>
    <m/>
    <m/>
    <x v="0"/>
    <x v="0"/>
    <s v="74209452"/>
    <s v="0000P00625"/>
    <x v="87"/>
    <x v="7"/>
    <x v="2"/>
    <x v="2"/>
    <m/>
  </r>
  <r>
    <n v="167"/>
    <m/>
    <m/>
    <m/>
    <m/>
    <x v="4"/>
    <x v="0"/>
    <x v="5"/>
    <s v="Optiplex 3020"/>
    <x v="161"/>
    <s v="0WMJ54"/>
    <m/>
    <m/>
    <m/>
    <m/>
    <m/>
    <m/>
    <m/>
    <m/>
    <x v="35"/>
    <x v="80"/>
    <x v="79"/>
    <s v="Intel Core i5"/>
    <s v="4ta Gen."/>
    <s v="Intel Integrado"/>
    <x v="6"/>
    <m/>
    <x v="0"/>
    <m/>
    <x v="0"/>
    <m/>
    <x v="2"/>
    <m/>
    <m/>
    <x v="0"/>
    <x v="0"/>
    <s v="09961825"/>
    <s v="0000001576"/>
    <x v="88"/>
    <x v="68"/>
    <x v="31"/>
    <x v="5"/>
    <m/>
  </r>
  <r>
    <n v="168"/>
    <m/>
    <m/>
    <m/>
    <m/>
    <x v="7"/>
    <x v="0"/>
    <x v="10"/>
    <m/>
    <x v="51"/>
    <m/>
    <m/>
    <m/>
    <m/>
    <m/>
    <m/>
    <m/>
    <s v="00-A0-A4-22-03-E8"/>
    <m/>
    <x v="1"/>
    <x v="1"/>
    <x v="80"/>
    <s v="Intel Atom"/>
    <m/>
    <s v="Intel Integrado"/>
    <x v="3"/>
    <m/>
    <x v="10"/>
    <m/>
    <x v="5"/>
    <s v="No"/>
    <x v="1"/>
    <m/>
    <m/>
    <x v="0"/>
    <x v="4"/>
    <s v="La Fondue"/>
    <n v="0"/>
    <x v="89"/>
    <x v="69"/>
    <x v="32"/>
    <x v="1"/>
    <s v="Ex  Caja La Fondue "/>
  </r>
  <r>
    <n v="169"/>
    <m/>
    <m/>
    <m/>
    <m/>
    <x v="4"/>
    <x v="0"/>
    <x v="4"/>
    <s v="Thinkcentre Neo 50S"/>
    <x v="51"/>
    <s v="12XG0019LD"/>
    <m/>
    <m/>
    <m/>
    <m/>
    <m/>
    <m/>
    <m/>
    <m/>
    <x v="103"/>
    <x v="1"/>
    <x v="81"/>
    <s v="Intel Core i7"/>
    <s v="14va Gen."/>
    <s v="Intel Integrado"/>
    <x v="4"/>
    <m/>
    <x v="4"/>
    <m/>
    <x v="0"/>
    <s v="Si"/>
    <x v="2"/>
    <m/>
    <m/>
    <x v="0"/>
    <x v="0"/>
    <s v="07644641"/>
    <s v="0000000566"/>
    <x v="90"/>
    <x v="70"/>
    <x v="2"/>
    <x v="2"/>
    <m/>
  </r>
  <r>
    <n v="170"/>
    <m/>
    <m/>
    <m/>
    <m/>
    <x v="1"/>
    <x v="0"/>
    <x v="5"/>
    <s v="E2014HC"/>
    <x v="162"/>
    <m/>
    <m/>
    <m/>
    <m/>
    <m/>
    <m/>
    <m/>
    <m/>
    <m/>
    <x v="1"/>
    <x v="1"/>
    <x v="0"/>
    <m/>
    <m/>
    <m/>
    <x v="1"/>
    <m/>
    <x v="1"/>
    <s v="22&quot;"/>
    <x v="1"/>
    <m/>
    <x v="1"/>
    <m/>
    <m/>
    <x v="0"/>
    <x v="0"/>
    <s v="72154252"/>
    <s v="0000P00756"/>
    <x v="91"/>
    <x v="17"/>
    <x v="9"/>
    <x v="7"/>
    <m/>
  </r>
  <r>
    <n v="171"/>
    <m/>
    <m/>
    <m/>
    <m/>
    <x v="4"/>
    <x v="0"/>
    <x v="0"/>
    <s v="Prodesk 600 G1"/>
    <x v="163"/>
    <s v="E1Z55LT#ABM"/>
    <m/>
    <m/>
    <m/>
    <m/>
    <m/>
    <m/>
    <s v="40-A8-F0-60-0B-4F"/>
    <m/>
    <x v="104"/>
    <x v="81"/>
    <x v="0"/>
    <s v="Intel Core i5"/>
    <s v="4ta Gen."/>
    <s v="Intel Integrado"/>
    <x v="6"/>
    <m/>
    <x v="7"/>
    <m/>
    <x v="0"/>
    <m/>
    <x v="0"/>
    <m/>
    <m/>
    <x v="0"/>
    <x v="0"/>
    <s v="74649557"/>
    <s v="0000001542"/>
    <x v="92"/>
    <x v="35"/>
    <x v="33"/>
    <x v="1"/>
    <m/>
  </r>
  <r>
    <n v="172"/>
    <m/>
    <m/>
    <m/>
    <m/>
    <x v="3"/>
    <x v="0"/>
    <x v="1"/>
    <s v="SM-A065M"/>
    <x v="164"/>
    <m/>
    <s v="Movistar"/>
    <n v="951978376"/>
    <n v="354715602692837"/>
    <m/>
    <m/>
    <m/>
    <m/>
    <s v="A4-9F-E7-6A-D8-F7"/>
    <x v="1"/>
    <x v="1"/>
    <x v="0"/>
    <s v="Movil"/>
    <m/>
    <m/>
    <x v="2"/>
    <m/>
    <x v="2"/>
    <m/>
    <x v="2"/>
    <m/>
    <x v="1"/>
    <m/>
    <m/>
    <x v="0"/>
    <x v="0"/>
    <s v="08906688"/>
    <s v="0000000304"/>
    <x v="83"/>
    <x v="65"/>
    <x v="9"/>
    <x v="7"/>
    <m/>
  </r>
  <r>
    <n v="173"/>
    <m/>
    <m/>
    <m/>
    <m/>
    <x v="3"/>
    <x v="0"/>
    <x v="11"/>
    <s v="Redmi 12C"/>
    <x v="165"/>
    <m/>
    <s v="Movistar"/>
    <n v="951475617"/>
    <n v="865451068887800"/>
    <n v="865451068887818"/>
    <m/>
    <m/>
    <m/>
    <s v="CC-42-10-C8-38-48"/>
    <x v="1"/>
    <x v="1"/>
    <x v="0"/>
    <s v="Movil"/>
    <m/>
    <m/>
    <x v="2"/>
    <m/>
    <x v="2"/>
    <m/>
    <x v="2"/>
    <m/>
    <x v="1"/>
    <m/>
    <m/>
    <x v="0"/>
    <x v="0"/>
    <s v="Housekeeping"/>
    <s v="Housekeeping"/>
    <x v="93"/>
    <x v="71"/>
    <x v="23"/>
    <x v="3"/>
    <s v="Para Housekeeping"/>
  </r>
  <r>
    <n v="174"/>
    <m/>
    <m/>
    <m/>
    <m/>
    <x v="3"/>
    <x v="0"/>
    <x v="11"/>
    <s v="Redmi 12C"/>
    <x v="166"/>
    <m/>
    <s v="Movistar"/>
    <n v="951467104"/>
    <n v="865451068730802"/>
    <n v="865451068730810"/>
    <m/>
    <m/>
    <m/>
    <s v="CC-42-10-C7-FA-F4"/>
    <x v="1"/>
    <x v="1"/>
    <x v="0"/>
    <s v="Movil"/>
    <m/>
    <m/>
    <x v="2"/>
    <m/>
    <x v="2"/>
    <m/>
    <x v="2"/>
    <m/>
    <x v="1"/>
    <m/>
    <m/>
    <x v="0"/>
    <x v="0"/>
    <s v="Housekeeping"/>
    <s v="Housekeeping"/>
    <x v="93"/>
    <x v="71"/>
    <x v="23"/>
    <x v="3"/>
    <s v="Para Housekeeping"/>
  </r>
  <r>
    <n v="175"/>
    <m/>
    <m/>
    <m/>
    <m/>
    <x v="3"/>
    <x v="0"/>
    <x v="11"/>
    <s v="Redmi 13C"/>
    <x v="167"/>
    <m/>
    <s v="Movistar"/>
    <m/>
    <n v="862805074027367"/>
    <n v="862805074027375"/>
    <m/>
    <m/>
    <m/>
    <m/>
    <x v="1"/>
    <x v="1"/>
    <x v="0"/>
    <s v="Movil"/>
    <m/>
    <m/>
    <x v="2"/>
    <m/>
    <x v="2"/>
    <m/>
    <x v="2"/>
    <m/>
    <x v="1"/>
    <m/>
    <m/>
    <x v="0"/>
    <x v="4"/>
    <s v="Sistemas"/>
    <n v="0"/>
    <x v="2"/>
    <x v="2"/>
    <x v="0"/>
    <x v="0"/>
    <s v="Ex Mantenimiento Sanitario"/>
  </r>
  <r>
    <n v="176"/>
    <m/>
    <m/>
    <m/>
    <m/>
    <x v="3"/>
    <x v="0"/>
    <x v="1"/>
    <s v="SM-A065M"/>
    <x v="168"/>
    <m/>
    <s v="Movistar"/>
    <n v="981059356"/>
    <n v="353384837598730"/>
    <m/>
    <m/>
    <m/>
    <m/>
    <m/>
    <x v="1"/>
    <x v="1"/>
    <x v="0"/>
    <s v="Movil"/>
    <m/>
    <m/>
    <x v="2"/>
    <m/>
    <x v="2"/>
    <m/>
    <x v="2"/>
    <m/>
    <x v="1"/>
    <m/>
    <m/>
    <x v="0"/>
    <x v="0"/>
    <s v="45809468"/>
    <s v="0000001510"/>
    <x v="28"/>
    <x v="26"/>
    <x v="4"/>
    <x v="4"/>
    <m/>
  </r>
  <r>
    <n v="177"/>
    <m/>
    <m/>
    <m/>
    <m/>
    <x v="3"/>
    <x v="0"/>
    <x v="2"/>
    <s v="ZTE Blade A72s"/>
    <x v="169"/>
    <m/>
    <s v="Movistar"/>
    <n v="951476828"/>
    <n v="866849060089300"/>
    <m/>
    <m/>
    <m/>
    <m/>
    <m/>
    <x v="1"/>
    <x v="1"/>
    <x v="0"/>
    <s v="Movil"/>
    <m/>
    <m/>
    <x v="13"/>
    <m/>
    <x v="10"/>
    <m/>
    <x v="2"/>
    <m/>
    <x v="1"/>
    <m/>
    <m/>
    <x v="0"/>
    <x v="0"/>
    <s v="41108703"/>
    <s v="0000000735"/>
    <x v="94"/>
    <x v="72"/>
    <x v="9"/>
    <x v="7"/>
    <m/>
  </r>
  <r>
    <n v="178"/>
    <m/>
    <m/>
    <m/>
    <m/>
    <x v="4"/>
    <x v="0"/>
    <x v="0"/>
    <s v="Prodesk 600 G1"/>
    <x v="170"/>
    <s v="E1Z55LT#ABM"/>
    <m/>
    <m/>
    <m/>
    <m/>
    <m/>
    <m/>
    <s v="2C-44-FD-10-08-79"/>
    <m/>
    <x v="86"/>
    <x v="1"/>
    <x v="82"/>
    <s v="Intel Core i7"/>
    <s v="4ta Gen."/>
    <s v="Intel Integrado"/>
    <x v="7"/>
    <m/>
    <x v="0"/>
    <m/>
    <x v="0"/>
    <s v="Si"/>
    <x v="0"/>
    <m/>
    <m/>
    <x v="0"/>
    <x v="0"/>
    <s v="76504272"/>
    <s v="0000001709"/>
    <x v="95"/>
    <x v="73"/>
    <x v="3"/>
    <x v="3"/>
    <m/>
  </r>
  <r>
    <n v="179"/>
    <d v="2026-01-08T00:00:00"/>
    <m/>
    <m/>
    <s v="TDE1-00064628"/>
    <x v="3"/>
    <x v="0"/>
    <x v="1"/>
    <s v="SM-A065M"/>
    <x v="171"/>
    <m/>
    <s v="Movistar"/>
    <n v="920450183"/>
    <n v="354685617321187"/>
    <m/>
    <m/>
    <m/>
    <s v="98-FB-27-C4-1A-FC"/>
    <m/>
    <x v="1"/>
    <x v="1"/>
    <x v="0"/>
    <s v="Movil"/>
    <m/>
    <m/>
    <x v="2"/>
    <m/>
    <x v="2"/>
    <m/>
    <x v="2"/>
    <m/>
    <x v="1"/>
    <m/>
    <m/>
    <x v="0"/>
    <x v="0"/>
    <s v="07631677"/>
    <s v="0000000462"/>
    <x v="78"/>
    <x v="61"/>
    <x v="6"/>
    <x v="1"/>
    <m/>
  </r>
  <r>
    <n v="180"/>
    <d v="2026-01-29T00:00:00"/>
    <m/>
    <m/>
    <s v="TDE1-00065775"/>
    <x v="3"/>
    <x v="0"/>
    <x v="1"/>
    <s v="SM-A065M"/>
    <x v="172"/>
    <m/>
    <s v="Movistar"/>
    <n v="998302853"/>
    <n v="354685617982269"/>
    <m/>
    <m/>
    <m/>
    <s v="CA-44-12-42-FF-59"/>
    <m/>
    <x v="1"/>
    <x v="1"/>
    <x v="0"/>
    <s v="Movil"/>
    <m/>
    <m/>
    <x v="2"/>
    <m/>
    <x v="2"/>
    <m/>
    <x v="2"/>
    <m/>
    <x v="1"/>
    <m/>
    <m/>
    <x v="0"/>
    <x v="0"/>
    <s v="Gerente de Turno"/>
    <n v="0"/>
    <x v="96"/>
    <x v="36"/>
    <x v="3"/>
    <x v="3"/>
    <m/>
  </r>
  <r>
    <n v="181"/>
    <d v="2026-01-29T00:00:00"/>
    <m/>
    <m/>
    <s v="TDE1-00065775"/>
    <x v="3"/>
    <x v="0"/>
    <x v="1"/>
    <s v="SM-A065M"/>
    <x v="173"/>
    <m/>
    <s v="Movistar"/>
    <m/>
    <n v="354685617321229"/>
    <m/>
    <m/>
    <m/>
    <m/>
    <m/>
    <x v="1"/>
    <x v="1"/>
    <x v="0"/>
    <s v="Movil"/>
    <m/>
    <m/>
    <x v="2"/>
    <m/>
    <x v="2"/>
    <m/>
    <x v="2"/>
    <m/>
    <x v="1"/>
    <m/>
    <m/>
    <x v="0"/>
    <x v="0"/>
    <s v="02856974"/>
    <s v="0000001501"/>
    <x v="15"/>
    <x v="14"/>
    <x v="0"/>
    <x v="0"/>
    <s v="Custodia por Hector Yamunaque"/>
  </r>
  <r>
    <n v="182"/>
    <d v="2026-01-29T00:00:00"/>
    <m/>
    <m/>
    <s v="TDE1-00065775"/>
    <x v="3"/>
    <x v="0"/>
    <x v="1"/>
    <s v="SM-A065M"/>
    <x v="174"/>
    <m/>
    <s v="Movistar"/>
    <m/>
    <n v="354685617321211"/>
    <m/>
    <m/>
    <m/>
    <m/>
    <m/>
    <x v="1"/>
    <x v="1"/>
    <x v="0"/>
    <s v="Movil"/>
    <m/>
    <m/>
    <x v="2"/>
    <m/>
    <x v="2"/>
    <m/>
    <x v="2"/>
    <m/>
    <x v="1"/>
    <m/>
    <m/>
    <x v="0"/>
    <x v="2"/>
    <s v="Puesto de Control"/>
    <e v="#N/A"/>
    <x v="13"/>
    <x v="12"/>
    <x v="8"/>
    <x v="6"/>
    <s v="Microfono defectuoso. Ex Supervisores"/>
  </r>
  <r>
    <n v="183"/>
    <d v="2026-01-29T00:00:00"/>
    <m/>
    <m/>
    <s v="TDE1-00065775"/>
    <x v="3"/>
    <x v="0"/>
    <x v="1"/>
    <s v="SM-A065M"/>
    <x v="175"/>
    <m/>
    <s v="Movistar"/>
    <n v="998306054"/>
    <n v="354715604104088"/>
    <m/>
    <m/>
    <m/>
    <m/>
    <m/>
    <x v="1"/>
    <x v="1"/>
    <x v="0"/>
    <s v="Movil"/>
    <m/>
    <m/>
    <x v="2"/>
    <m/>
    <x v="2"/>
    <m/>
    <x v="2"/>
    <m/>
    <x v="1"/>
    <m/>
    <m/>
    <x v="0"/>
    <x v="0"/>
    <s v="46960867"/>
    <s v="0000001462"/>
    <x v="40"/>
    <x v="34"/>
    <x v="20"/>
    <x v="1"/>
    <s v="Equipo nuevo - Ex Grisel Garcia por asignar "/>
  </r>
  <r>
    <n v="184"/>
    <d v="2026-01-29T00:00:00"/>
    <m/>
    <m/>
    <s v="TDE1-00065775"/>
    <x v="3"/>
    <x v="0"/>
    <x v="1"/>
    <s v="SM-A065M"/>
    <x v="176"/>
    <m/>
    <s v="Movistar"/>
    <n v="965644296"/>
    <n v="354715602783594"/>
    <m/>
    <m/>
    <m/>
    <m/>
    <m/>
    <x v="1"/>
    <x v="1"/>
    <x v="0"/>
    <s v="Movil"/>
    <m/>
    <m/>
    <x v="2"/>
    <m/>
    <x v="2"/>
    <s v="6.75&quot;"/>
    <x v="2"/>
    <m/>
    <x v="1"/>
    <m/>
    <m/>
    <x v="0"/>
    <x v="0"/>
    <s v="47840820"/>
    <s v="0000001708"/>
    <x v="27"/>
    <x v="25"/>
    <x v="14"/>
    <x v="4"/>
    <s v="Equipo nuevo en caja"/>
  </r>
  <r>
    <n v="185"/>
    <d v="2026-01-29T00:00:00"/>
    <m/>
    <m/>
    <s v="TDE1-00065775"/>
    <x v="3"/>
    <x v="0"/>
    <x v="1"/>
    <s v="SM-A065M"/>
    <x v="177"/>
    <m/>
    <s v="Movistar"/>
    <n v="939279594"/>
    <n v="354685617961966"/>
    <m/>
    <m/>
    <m/>
    <m/>
    <m/>
    <x v="1"/>
    <x v="1"/>
    <x v="0"/>
    <s v="Movil"/>
    <m/>
    <m/>
    <x v="2"/>
    <m/>
    <x v="2"/>
    <m/>
    <x v="2"/>
    <m/>
    <x v="1"/>
    <m/>
    <m/>
    <x v="0"/>
    <x v="0"/>
    <s v="10590738"/>
    <n v="0"/>
    <x v="3"/>
    <x v="3"/>
    <x v="2"/>
    <x v="2"/>
    <m/>
  </r>
  <r>
    <n v="186"/>
    <d v="2026-01-29T00:00:00"/>
    <m/>
    <m/>
    <s v="TDE1-00065775"/>
    <x v="3"/>
    <x v="0"/>
    <x v="1"/>
    <s v="SM-A065M"/>
    <x v="178"/>
    <m/>
    <s v="Movistar"/>
    <m/>
    <n v="354715604101241"/>
    <m/>
    <m/>
    <m/>
    <m/>
    <m/>
    <x v="1"/>
    <x v="1"/>
    <x v="0"/>
    <s v="Movil"/>
    <m/>
    <m/>
    <x v="2"/>
    <m/>
    <x v="2"/>
    <m/>
    <x v="2"/>
    <m/>
    <x v="1"/>
    <m/>
    <m/>
    <x v="0"/>
    <x v="2"/>
    <s v="Puesto de Control"/>
    <e v="#N/A"/>
    <x v="13"/>
    <x v="12"/>
    <x v="8"/>
    <x v="6"/>
    <s v="Equipo no le escuchan cuando habla"/>
  </r>
  <r>
    <n v="187"/>
    <m/>
    <m/>
    <m/>
    <m/>
    <x v="3"/>
    <x v="0"/>
    <x v="11"/>
    <s v="Redmi 12C"/>
    <x v="179"/>
    <m/>
    <s v="Movistar"/>
    <n v="951954496"/>
    <n v="865451068744662"/>
    <n v="865451068744670"/>
    <m/>
    <m/>
    <m/>
    <m/>
    <x v="1"/>
    <x v="1"/>
    <x v="0"/>
    <s v="Movil"/>
    <m/>
    <m/>
    <x v="2"/>
    <m/>
    <x v="2"/>
    <m/>
    <x v="2"/>
    <m/>
    <x v="1"/>
    <m/>
    <m/>
    <x v="0"/>
    <x v="4"/>
    <s v="09692690"/>
    <s v="0000000269"/>
    <x v="12"/>
    <x v="11"/>
    <x v="7"/>
    <x v="1"/>
    <s v="No carga el celular"/>
  </r>
  <r>
    <n v="188"/>
    <d v="2026-01-30T00:00:00"/>
    <m/>
    <m/>
    <s v="TDE1-00065893"/>
    <x v="3"/>
    <x v="0"/>
    <x v="1"/>
    <s v="SM-A075M"/>
    <x v="180"/>
    <m/>
    <s v="Movistar"/>
    <n v="998308168"/>
    <n v="351755486069192"/>
    <m/>
    <m/>
    <m/>
    <m/>
    <m/>
    <x v="1"/>
    <x v="1"/>
    <x v="0"/>
    <s v="Movil"/>
    <m/>
    <m/>
    <x v="2"/>
    <m/>
    <x v="2"/>
    <m/>
    <x v="2"/>
    <m/>
    <x v="1"/>
    <m/>
    <m/>
    <x v="0"/>
    <x v="0"/>
    <s v="41994040"/>
    <s v="0000001121"/>
    <x v="31"/>
    <x v="29"/>
    <x v="4"/>
    <x v="4"/>
    <m/>
  </r>
  <r>
    <n v="189"/>
    <d v="2026-01-30T00:00:00"/>
    <m/>
    <m/>
    <s v="TDE1-00065893"/>
    <x v="3"/>
    <x v="0"/>
    <x v="1"/>
    <s v="SM-A075M"/>
    <x v="181"/>
    <m/>
    <s v="Movistar"/>
    <n v="951467930"/>
    <n v="351755486056314"/>
    <m/>
    <m/>
    <m/>
    <m/>
    <m/>
    <x v="1"/>
    <x v="1"/>
    <x v="0"/>
    <s v="Movil"/>
    <m/>
    <m/>
    <x v="2"/>
    <m/>
    <x v="2"/>
    <m/>
    <x v="2"/>
    <m/>
    <x v="1"/>
    <m/>
    <m/>
    <x v="0"/>
    <x v="0"/>
    <s v="72504034"/>
    <s v="0000001717"/>
    <x v="73"/>
    <x v="51"/>
    <x v="4"/>
    <x v="4"/>
    <m/>
  </r>
  <r>
    <n v="190"/>
    <d v="2026-01-30T00:00:00"/>
    <m/>
    <m/>
    <s v="TDE1-00065893"/>
    <x v="3"/>
    <x v="0"/>
    <x v="1"/>
    <s v="SM-A075M"/>
    <x v="182"/>
    <m/>
    <s v="Movistar"/>
    <m/>
    <n v="351755486069523"/>
    <m/>
    <m/>
    <m/>
    <m/>
    <m/>
    <x v="1"/>
    <x v="1"/>
    <x v="0"/>
    <s v="Movil"/>
    <m/>
    <m/>
    <x v="2"/>
    <m/>
    <x v="2"/>
    <m/>
    <x v="2"/>
    <m/>
    <x v="1"/>
    <m/>
    <m/>
    <x v="0"/>
    <x v="1"/>
    <s v="Sistemas"/>
    <n v="0"/>
    <x v="2"/>
    <x v="2"/>
    <x v="0"/>
    <x v="0"/>
    <m/>
  </r>
  <r>
    <n v="191"/>
    <d v="2026-01-30T00:00:00"/>
    <m/>
    <m/>
    <s v="TDE1-00065893"/>
    <x v="3"/>
    <x v="0"/>
    <x v="1"/>
    <s v="SM-A075M"/>
    <x v="183"/>
    <m/>
    <s v="Movistar"/>
    <n v="971445118"/>
    <n v="351755486069606"/>
    <m/>
    <m/>
    <m/>
    <m/>
    <m/>
    <x v="1"/>
    <x v="1"/>
    <x v="0"/>
    <s v="Movil"/>
    <m/>
    <m/>
    <x v="2"/>
    <m/>
    <x v="2"/>
    <m/>
    <x v="2"/>
    <m/>
    <x v="1"/>
    <m/>
    <m/>
    <x v="0"/>
    <x v="0"/>
    <s v="40263172"/>
    <s v="0000000868"/>
    <x v="20"/>
    <x v="18"/>
    <x v="10"/>
    <x v="4"/>
    <m/>
  </r>
  <r>
    <n v="192"/>
    <d v="2026-01-30T00:00:00"/>
    <m/>
    <m/>
    <s v="TDE1-00065893"/>
    <x v="3"/>
    <x v="0"/>
    <x v="1"/>
    <s v="SM-A075M"/>
    <x v="184"/>
    <m/>
    <s v="Movistar"/>
    <n v="951508202"/>
    <n v="351755486069283"/>
    <m/>
    <m/>
    <m/>
    <m/>
    <m/>
    <x v="1"/>
    <x v="1"/>
    <x v="0"/>
    <s v="Movil"/>
    <m/>
    <m/>
    <x v="2"/>
    <m/>
    <x v="2"/>
    <m/>
    <x v="2"/>
    <m/>
    <x v="1"/>
    <m/>
    <m/>
    <x v="0"/>
    <x v="0"/>
    <s v="25830800"/>
    <s v="0000000736"/>
    <x v="71"/>
    <x v="26"/>
    <x v="4"/>
    <x v="4"/>
    <s v="Nuevo equipo"/>
  </r>
  <r>
    <n v="193"/>
    <d v="2026-01-30T00:00:00"/>
    <m/>
    <m/>
    <s v="TDE1-00065893"/>
    <x v="3"/>
    <x v="0"/>
    <x v="1"/>
    <s v="SM-A075M"/>
    <x v="185"/>
    <m/>
    <s v="Movistar"/>
    <n v="998308408"/>
    <n v="351755486057940"/>
    <m/>
    <m/>
    <m/>
    <m/>
    <m/>
    <x v="1"/>
    <x v="1"/>
    <x v="0"/>
    <s v="Movil"/>
    <m/>
    <m/>
    <x v="2"/>
    <m/>
    <x v="2"/>
    <m/>
    <x v="2"/>
    <m/>
    <x v="1"/>
    <m/>
    <m/>
    <x v="0"/>
    <x v="0"/>
    <n v="12345678"/>
    <n v="0"/>
    <x v="97"/>
    <x v="74"/>
    <x v="4"/>
    <x v="4"/>
    <s v="Custodia por Hector Yamunaque"/>
  </r>
  <r>
    <n v="194"/>
    <d v="2026-01-30T00:00:00"/>
    <m/>
    <m/>
    <s v="TDE1-00065893"/>
    <x v="3"/>
    <x v="0"/>
    <x v="1"/>
    <s v="SM-A075M"/>
    <x v="186"/>
    <m/>
    <s v="Movistar"/>
    <n v="968075713"/>
    <n v="351755486054590"/>
    <m/>
    <m/>
    <m/>
    <m/>
    <m/>
    <x v="1"/>
    <x v="1"/>
    <x v="0"/>
    <s v="Movil"/>
    <m/>
    <m/>
    <x v="2"/>
    <m/>
    <x v="2"/>
    <m/>
    <x v="2"/>
    <m/>
    <x v="1"/>
    <m/>
    <m/>
    <x v="0"/>
    <x v="0"/>
    <s v="02856974"/>
    <s v="0000001501"/>
    <x v="15"/>
    <x v="14"/>
    <x v="0"/>
    <x v="0"/>
    <m/>
  </r>
  <r>
    <n v="195"/>
    <d v="2026-01-30T00:00:00"/>
    <m/>
    <m/>
    <s v="TDE1-00065893"/>
    <x v="3"/>
    <x v="0"/>
    <x v="1"/>
    <s v="SM-A075M"/>
    <x v="187"/>
    <m/>
    <s v="Movistar"/>
    <n v="998307721"/>
    <n v="351755486062841"/>
    <m/>
    <m/>
    <m/>
    <m/>
    <m/>
    <x v="1"/>
    <x v="1"/>
    <x v="0"/>
    <s v="Movil"/>
    <m/>
    <m/>
    <x v="2"/>
    <m/>
    <x v="2"/>
    <m/>
    <x v="2"/>
    <m/>
    <x v="1"/>
    <m/>
    <m/>
    <x v="0"/>
    <x v="0"/>
    <s v="Supervisor CyM"/>
    <n v="0"/>
    <x v="98"/>
    <x v="8"/>
    <x v="5"/>
    <x v="5"/>
    <s v="Alejandro Mucha - Joaquin Acha - Edilbrando Hernandez - Nilton"/>
  </r>
  <r>
    <n v="196"/>
    <d v="2026-01-30T00:00:00"/>
    <m/>
    <m/>
    <s v="TDE1-00065893"/>
    <x v="3"/>
    <x v="0"/>
    <x v="1"/>
    <s v="SM-A075M"/>
    <x v="188"/>
    <m/>
    <s v="Movistar"/>
    <n v="951498168"/>
    <n v="351755486069580"/>
    <m/>
    <m/>
    <m/>
    <m/>
    <m/>
    <x v="1"/>
    <x v="1"/>
    <x v="0"/>
    <s v="Movil"/>
    <m/>
    <m/>
    <x v="2"/>
    <m/>
    <x v="2"/>
    <m/>
    <x v="2"/>
    <m/>
    <x v="1"/>
    <m/>
    <m/>
    <x v="0"/>
    <x v="0"/>
    <s v="41302115"/>
    <s v="0000001663"/>
    <x v="48"/>
    <x v="42"/>
    <x v="23"/>
    <x v="3"/>
    <m/>
  </r>
  <r>
    <n v="197"/>
    <d v="2026-01-30T00:00:00"/>
    <m/>
    <m/>
    <s v="TDE1-00065893"/>
    <x v="3"/>
    <x v="0"/>
    <x v="1"/>
    <s v="SM-A075M"/>
    <x v="189"/>
    <m/>
    <s v="Movistar"/>
    <n v="998308422"/>
    <n v="352859169459479"/>
    <m/>
    <m/>
    <m/>
    <m/>
    <m/>
    <x v="1"/>
    <x v="1"/>
    <x v="0"/>
    <s v="Movil"/>
    <m/>
    <m/>
    <x v="2"/>
    <m/>
    <x v="2"/>
    <m/>
    <x v="2"/>
    <m/>
    <x v="1"/>
    <m/>
    <m/>
    <x v="0"/>
    <x v="0"/>
    <s v="15356442"/>
    <s v="0000000844"/>
    <x v="58"/>
    <x v="50"/>
    <x v="5"/>
    <x v="5"/>
    <m/>
  </r>
  <r>
    <n v="198"/>
    <d v="2026-01-30T00:00:00"/>
    <m/>
    <m/>
    <s v="TDE1-00065893"/>
    <x v="3"/>
    <x v="0"/>
    <x v="1"/>
    <s v="SM-A075M"/>
    <x v="190"/>
    <m/>
    <s v="Movistar"/>
    <n v="938227149"/>
    <n v="351755486068103"/>
    <m/>
    <m/>
    <m/>
    <m/>
    <m/>
    <x v="1"/>
    <x v="1"/>
    <x v="0"/>
    <s v="Movil"/>
    <m/>
    <m/>
    <x v="2"/>
    <m/>
    <x v="2"/>
    <m/>
    <x v="2"/>
    <m/>
    <x v="1"/>
    <m/>
    <m/>
    <x v="0"/>
    <x v="0"/>
    <s v="44247838"/>
    <s v="0000001516"/>
    <x v="29"/>
    <x v="27"/>
    <x v="10"/>
    <x v="4"/>
    <m/>
  </r>
  <r>
    <n v="199"/>
    <d v="2026-01-30T00:00:00"/>
    <m/>
    <m/>
    <s v="TDE1-00065893"/>
    <x v="3"/>
    <x v="0"/>
    <x v="1"/>
    <s v="SM-A075M"/>
    <x v="191"/>
    <m/>
    <s v="Movistar"/>
    <n v="937695632"/>
    <n v="351755486069614"/>
    <m/>
    <m/>
    <m/>
    <m/>
    <m/>
    <x v="1"/>
    <x v="1"/>
    <x v="0"/>
    <s v="Movil"/>
    <m/>
    <m/>
    <x v="2"/>
    <m/>
    <x v="2"/>
    <m/>
    <x v="2"/>
    <m/>
    <x v="1"/>
    <m/>
    <m/>
    <x v="0"/>
    <x v="0"/>
    <s v="75521197"/>
    <s v="0000001580"/>
    <x v="16"/>
    <x v="15"/>
    <x v="6"/>
    <x v="1"/>
    <m/>
  </r>
  <r>
    <n v="200"/>
    <d v="2026-01-30T00:00:00"/>
    <m/>
    <m/>
    <s v="TDE1-00065893"/>
    <x v="3"/>
    <x v="0"/>
    <x v="1"/>
    <s v="SM-A075M"/>
    <x v="192"/>
    <m/>
    <s v="Movistar"/>
    <n v="951501442"/>
    <n v="351755486069119"/>
    <m/>
    <m/>
    <m/>
    <m/>
    <m/>
    <x v="1"/>
    <x v="1"/>
    <x v="0"/>
    <s v="Movil"/>
    <m/>
    <m/>
    <x v="2"/>
    <m/>
    <x v="2"/>
    <m/>
    <x v="2"/>
    <m/>
    <x v="1"/>
    <m/>
    <m/>
    <x v="0"/>
    <x v="0"/>
    <s v="Housekeeping"/>
    <s v="Housekeeping"/>
    <x v="93"/>
    <x v="71"/>
    <x v="23"/>
    <x v="3"/>
    <m/>
  </r>
  <r>
    <n v="201"/>
    <d v="2026-01-30T00:00:00"/>
    <m/>
    <m/>
    <s v="TDE1-00065893"/>
    <x v="3"/>
    <x v="0"/>
    <x v="1"/>
    <s v="SM-A075M"/>
    <x v="193"/>
    <m/>
    <s v="Movistar"/>
    <n v="979129791"/>
    <n v="351755486064268"/>
    <m/>
    <m/>
    <m/>
    <m/>
    <m/>
    <x v="1"/>
    <x v="1"/>
    <x v="0"/>
    <s v="Movil"/>
    <m/>
    <m/>
    <x v="2"/>
    <m/>
    <x v="2"/>
    <m/>
    <x v="2"/>
    <m/>
    <x v="1"/>
    <m/>
    <m/>
    <x v="0"/>
    <x v="0"/>
    <s v="45818643"/>
    <s v="0000001110"/>
    <x v="60"/>
    <x v="51"/>
    <x v="4"/>
    <x v="4"/>
    <m/>
  </r>
  <r>
    <n v="202"/>
    <d v="2026-02-03T00:00:00"/>
    <m/>
    <m/>
    <s v="TDE1-00066042"/>
    <x v="3"/>
    <x v="0"/>
    <x v="1"/>
    <s v="SM-A075M"/>
    <x v="194"/>
    <m/>
    <s v="Movistar"/>
    <n v="951472305"/>
    <n v="351755486110103"/>
    <m/>
    <m/>
    <m/>
    <m/>
    <m/>
    <x v="1"/>
    <x v="1"/>
    <x v="0"/>
    <s v="Movil"/>
    <m/>
    <m/>
    <x v="2"/>
    <m/>
    <x v="2"/>
    <m/>
    <x v="2"/>
    <m/>
    <x v="1"/>
    <m/>
    <m/>
    <x v="0"/>
    <x v="0"/>
    <s v="74092275"/>
    <s v="0000001714"/>
    <x v="67"/>
    <x v="51"/>
    <x v="4"/>
    <x v="4"/>
    <m/>
  </r>
  <r>
    <n v="203"/>
    <d v="2026-02-03T00:00:00"/>
    <m/>
    <m/>
    <s v="TDE1-00066042"/>
    <x v="3"/>
    <x v="0"/>
    <x v="1"/>
    <s v="SM-A075M"/>
    <x v="195"/>
    <m/>
    <s v="Movistar"/>
    <n v="948503559"/>
    <n v="351755486112281"/>
    <m/>
    <m/>
    <m/>
    <m/>
    <m/>
    <x v="1"/>
    <x v="1"/>
    <x v="0"/>
    <s v="Movil"/>
    <m/>
    <m/>
    <x v="2"/>
    <m/>
    <x v="2"/>
    <m/>
    <x v="2"/>
    <m/>
    <x v="1"/>
    <m/>
    <m/>
    <x v="0"/>
    <x v="0"/>
    <s v="46421369"/>
    <s v="0000001207"/>
    <x v="59"/>
    <x v="16"/>
    <x v="4"/>
    <x v="4"/>
    <m/>
  </r>
  <r>
    <n v="204"/>
    <d v="2026-02-05T00:00:00"/>
    <m/>
    <m/>
    <s v="TDE1-00066155"/>
    <x v="3"/>
    <x v="0"/>
    <x v="1"/>
    <s v="SM-A075M"/>
    <x v="196"/>
    <m/>
    <s v="Movistar"/>
    <n v="948045093"/>
    <n v="351755486659091"/>
    <m/>
    <m/>
    <m/>
    <m/>
    <m/>
    <x v="1"/>
    <x v="1"/>
    <x v="0"/>
    <s v="Movil"/>
    <m/>
    <m/>
    <x v="2"/>
    <m/>
    <x v="2"/>
    <m/>
    <x v="2"/>
    <m/>
    <x v="1"/>
    <m/>
    <m/>
    <x v="0"/>
    <x v="0"/>
    <s v="74767236"/>
    <s v="0000001760"/>
    <x v="24"/>
    <x v="22"/>
    <x v="12"/>
    <x v="8"/>
    <m/>
  </r>
  <r>
    <n v="205"/>
    <d v="2026-02-05T00:00:00"/>
    <m/>
    <m/>
    <s v="TDE1-00066155"/>
    <x v="3"/>
    <x v="0"/>
    <x v="1"/>
    <s v="SM-A075M"/>
    <x v="197"/>
    <m/>
    <s v="Movistar"/>
    <n v="968431778"/>
    <n v="351755486659414"/>
    <m/>
    <m/>
    <m/>
    <m/>
    <m/>
    <x v="1"/>
    <x v="1"/>
    <x v="0"/>
    <s v="Movil"/>
    <m/>
    <m/>
    <x v="2"/>
    <m/>
    <x v="2"/>
    <m/>
    <x v="2"/>
    <m/>
    <x v="1"/>
    <m/>
    <m/>
    <x v="0"/>
    <x v="0"/>
    <s v="47156230"/>
    <s v="0000001236"/>
    <x v="23"/>
    <x v="21"/>
    <x v="11"/>
    <x v="8"/>
    <m/>
  </r>
  <r>
    <n v="206"/>
    <m/>
    <m/>
    <m/>
    <m/>
    <x v="3"/>
    <x v="0"/>
    <x v="11"/>
    <s v="Redmi 12C"/>
    <x v="198"/>
    <m/>
    <s v="Movistar"/>
    <n v="951954496"/>
    <n v="865451068883767"/>
    <n v="865451068883775"/>
    <m/>
    <m/>
    <m/>
    <m/>
    <x v="1"/>
    <x v="1"/>
    <x v="0"/>
    <s v="Movil"/>
    <m/>
    <m/>
    <x v="2"/>
    <m/>
    <x v="2"/>
    <m/>
    <x v="2"/>
    <m/>
    <x v="1"/>
    <m/>
    <m/>
    <x v="0"/>
    <x v="0"/>
    <s v="09692690"/>
    <s v="0000000269"/>
    <x v="12"/>
    <x v="11"/>
    <x v="7"/>
    <x v="1"/>
    <s v="Ex equipo de Diana Quispilaya - Eventos"/>
  </r>
  <r>
    <n v="207"/>
    <d v="2026-02-17T00:00:00"/>
    <m/>
    <m/>
    <m/>
    <x v="8"/>
    <x v="1"/>
    <x v="12"/>
    <s v="TS-433"/>
    <x v="199"/>
    <m/>
    <m/>
    <m/>
    <m/>
    <m/>
    <m/>
    <m/>
    <s v="24-5E-BE-95-94-F6"/>
    <s v="24-5E-BE-95-94-F7"/>
    <x v="105"/>
    <x v="82"/>
    <x v="0"/>
    <s v="ARM"/>
    <m/>
    <m/>
    <x v="2"/>
    <m/>
    <x v="11"/>
    <m/>
    <x v="6"/>
    <m/>
    <x v="1"/>
    <m/>
    <m/>
    <x v="0"/>
    <x v="0"/>
    <s v="Sistemas"/>
    <n v="0"/>
    <x v="2"/>
    <x v="2"/>
    <x v="0"/>
    <x v="0"/>
    <s v="NAS QNAP"/>
  </r>
  <r>
    <n v="208"/>
    <m/>
    <m/>
    <m/>
    <m/>
    <x v="3"/>
    <x v="0"/>
    <x v="13"/>
    <s v="GFY-LX3"/>
    <x v="200"/>
    <m/>
    <s v="Movistar"/>
    <n v="951485167"/>
    <n v="861578070747160"/>
    <n v="861578071147162"/>
    <m/>
    <m/>
    <m/>
    <m/>
    <x v="1"/>
    <x v="1"/>
    <x v="0"/>
    <s v="Movil"/>
    <m/>
    <m/>
    <x v="2"/>
    <m/>
    <x v="2"/>
    <m/>
    <x v="2"/>
    <m/>
    <x v="1"/>
    <m/>
    <m/>
    <x v="0"/>
    <x v="0"/>
    <s v="43268860"/>
    <s v="0000001681"/>
    <x v="99"/>
    <x v="75"/>
    <x v="9"/>
    <x v="7"/>
    <s v="Ex equipo de Michelle Won - Mantenimiento - con cable"/>
  </r>
  <r>
    <n v="209"/>
    <m/>
    <m/>
    <m/>
    <m/>
    <x v="3"/>
    <x v="0"/>
    <x v="13"/>
    <s v="GFY-LX3"/>
    <x v="201"/>
    <m/>
    <s v="Claro"/>
    <n v="981640078"/>
    <n v="861578070734465"/>
    <n v="861578071134467"/>
    <m/>
    <m/>
    <m/>
    <m/>
    <x v="1"/>
    <x v="1"/>
    <x v="0"/>
    <s v="Movil"/>
    <m/>
    <m/>
    <x v="2"/>
    <m/>
    <x v="2"/>
    <m/>
    <x v="2"/>
    <m/>
    <x v="1"/>
    <m/>
    <m/>
    <x v="0"/>
    <x v="0"/>
    <s v="06111494"/>
    <s v="0000000086"/>
    <x v="34"/>
    <x v="30"/>
    <x v="16"/>
    <x v="2"/>
    <s v="Ex equipo de Supervisor de CyM - Línea personal del usuario"/>
  </r>
  <r>
    <n v="210"/>
    <m/>
    <m/>
    <m/>
    <m/>
    <x v="3"/>
    <x v="0"/>
    <x v="11"/>
    <s v="Redmi 12C"/>
    <x v="202"/>
    <m/>
    <s v="Movistar"/>
    <n v="920450123"/>
    <n v="862480064845804"/>
    <n v="862480064845812"/>
    <m/>
    <m/>
    <m/>
    <m/>
    <x v="1"/>
    <x v="1"/>
    <x v="0"/>
    <s v="Movil"/>
    <m/>
    <m/>
    <x v="2"/>
    <m/>
    <x v="2"/>
    <m/>
    <x v="2"/>
    <m/>
    <x v="1"/>
    <m/>
    <m/>
    <x v="0"/>
    <x v="0"/>
    <s v="75438114"/>
    <s v="0000P00761"/>
    <x v="19"/>
    <x v="17"/>
    <x v="9"/>
    <x v="7"/>
    <s v="Ex equipo celular de AyB - Sheyla"/>
  </r>
  <r>
    <n v="211"/>
    <m/>
    <m/>
    <m/>
    <m/>
    <x v="3"/>
    <x v="0"/>
    <x v="11"/>
    <s v="Redmi 12C"/>
    <x v="203"/>
    <m/>
    <s v="Movistar"/>
    <n v="951488107"/>
    <n v="865451068729481"/>
    <n v="865451068729499"/>
    <m/>
    <m/>
    <m/>
    <m/>
    <x v="1"/>
    <x v="1"/>
    <x v="0"/>
    <s v="Movil"/>
    <m/>
    <m/>
    <x v="2"/>
    <m/>
    <x v="2"/>
    <m/>
    <x v="2"/>
    <m/>
    <x v="1"/>
    <m/>
    <m/>
    <x v="0"/>
    <x v="0"/>
    <s v="Lavandería"/>
    <s v="Lavandería"/>
    <x v="100"/>
    <x v="76"/>
    <x v="26"/>
    <x v="3"/>
    <s v="Ex equipo de Edith Llacsahuanga"/>
  </r>
  <r>
    <n v="212"/>
    <m/>
    <m/>
    <m/>
    <m/>
    <x v="3"/>
    <x v="0"/>
    <x v="1"/>
    <s v="SM-A065M"/>
    <x v="204"/>
    <m/>
    <s v="Movistar"/>
    <n v="965999258"/>
    <n v="353384837598318"/>
    <m/>
    <m/>
    <m/>
    <m/>
    <m/>
    <x v="1"/>
    <x v="1"/>
    <x v="0"/>
    <s v="Movil"/>
    <m/>
    <m/>
    <x v="2"/>
    <m/>
    <x v="2"/>
    <m/>
    <x v="2"/>
    <m/>
    <x v="1"/>
    <m/>
    <m/>
    <x v="0"/>
    <x v="0"/>
    <s v="75173008"/>
    <s v="0000001577"/>
    <x v="6"/>
    <x v="6"/>
    <x v="4"/>
    <x v="4"/>
    <s v="Ex equipo de Lizbeth Lozada"/>
  </r>
  <r>
    <n v="213"/>
    <m/>
    <m/>
    <m/>
    <m/>
    <x v="3"/>
    <x v="0"/>
    <x v="11"/>
    <s v="Redmi 13C"/>
    <x v="205"/>
    <m/>
    <s v="Movistar"/>
    <n v="998307463"/>
    <n v="862805074036004"/>
    <n v="862805074036012"/>
    <m/>
    <m/>
    <m/>
    <m/>
    <x v="1"/>
    <x v="1"/>
    <x v="0"/>
    <s v="Movil"/>
    <m/>
    <m/>
    <x v="2"/>
    <m/>
    <x v="2"/>
    <m/>
    <x v="2"/>
    <m/>
    <x v="1"/>
    <m/>
    <m/>
    <x v="0"/>
    <x v="0"/>
    <s v="Room Service"/>
    <n v="0"/>
    <x v="101"/>
    <x v="35"/>
    <x v="20"/>
    <x v="1"/>
    <s v="Ex Hanna Ramos - AyB"/>
  </r>
  <r>
    <n v="214"/>
    <m/>
    <m/>
    <m/>
    <m/>
    <x v="3"/>
    <x v="0"/>
    <x v="2"/>
    <s v="ZTE A7050"/>
    <x v="206"/>
    <m/>
    <s v="Movistar"/>
    <n v="951507986"/>
    <n v="866849060091884"/>
    <m/>
    <m/>
    <m/>
    <m/>
    <m/>
    <x v="1"/>
    <x v="1"/>
    <x v="0"/>
    <s v="Movil"/>
    <m/>
    <m/>
    <x v="13"/>
    <m/>
    <x v="10"/>
    <m/>
    <x v="2"/>
    <m/>
    <x v="1"/>
    <m/>
    <m/>
    <x v="0"/>
    <x v="0"/>
    <s v="15641243"/>
    <s v="0000001648"/>
    <x v="102"/>
    <x v="77"/>
    <x v="9"/>
    <x v="7"/>
    <s v="Ex Tania Roque - Reservas"/>
  </r>
  <r>
    <n v="215"/>
    <m/>
    <m/>
    <m/>
    <m/>
    <x v="3"/>
    <x v="0"/>
    <x v="1"/>
    <s v="SM-A065M"/>
    <x v="207"/>
    <m/>
    <s v="Movistar"/>
    <n v="939732352"/>
    <n v="353384837594689"/>
    <m/>
    <m/>
    <m/>
    <m/>
    <m/>
    <x v="1"/>
    <x v="1"/>
    <x v="0"/>
    <s v="Movil"/>
    <m/>
    <m/>
    <x v="2"/>
    <m/>
    <x v="2"/>
    <m/>
    <x v="2"/>
    <m/>
    <x v="1"/>
    <m/>
    <m/>
    <x v="0"/>
    <x v="0"/>
    <s v="44588268"/>
    <s v="0000001511"/>
    <x v="103"/>
    <x v="78"/>
    <x v="34"/>
    <x v="8"/>
    <s v="Ex Karina Peching - Reservas"/>
  </r>
  <r>
    <n v="216"/>
    <m/>
    <m/>
    <m/>
    <m/>
    <x v="3"/>
    <x v="0"/>
    <x v="1"/>
    <s v="SM-A065M"/>
    <x v="208"/>
    <m/>
    <s v="Movistar"/>
    <n v="998307528"/>
    <n v="353384835439390"/>
    <m/>
    <m/>
    <m/>
    <m/>
    <m/>
    <x v="1"/>
    <x v="1"/>
    <x v="0"/>
    <s v="Movil"/>
    <m/>
    <m/>
    <x v="2"/>
    <m/>
    <x v="2"/>
    <m/>
    <x v="2"/>
    <m/>
    <x v="1"/>
    <m/>
    <m/>
    <x v="0"/>
    <x v="0"/>
    <s v="43007664"/>
    <s v="0000001557"/>
    <x v="63"/>
    <x v="53"/>
    <x v="25"/>
    <x v="10"/>
    <s v="Ex Carlo Mario - Eventos"/>
  </r>
  <r>
    <n v="217"/>
    <m/>
    <m/>
    <m/>
    <m/>
    <x v="3"/>
    <x v="0"/>
    <x v="11"/>
    <s v="Redmi 12C"/>
    <x v="209"/>
    <m/>
    <s v="Movistar"/>
    <n v="974171056"/>
    <n v="865451068740967"/>
    <n v="865451068740975"/>
    <m/>
    <m/>
    <m/>
    <m/>
    <x v="1"/>
    <x v="1"/>
    <x v="0"/>
    <s v="Movil"/>
    <m/>
    <m/>
    <x v="2"/>
    <m/>
    <x v="2"/>
    <m/>
    <x v="2"/>
    <m/>
    <x v="1"/>
    <m/>
    <m/>
    <x v="0"/>
    <x v="0"/>
    <s v="76204111"/>
    <s v="0000001670"/>
    <x v="51"/>
    <x v="44"/>
    <x v="25"/>
    <x v="10"/>
    <m/>
  </r>
  <r>
    <n v="218"/>
    <m/>
    <m/>
    <m/>
    <m/>
    <x v="3"/>
    <x v="0"/>
    <x v="11"/>
    <s v="Redmi 12C"/>
    <x v="210"/>
    <m/>
    <s v="Movistar"/>
    <n v="951514974"/>
    <n v="865451068876548"/>
    <n v="865451068876555"/>
    <m/>
    <m/>
    <m/>
    <m/>
    <x v="1"/>
    <x v="1"/>
    <x v="0"/>
    <s v="Movil"/>
    <m/>
    <m/>
    <x v="2"/>
    <m/>
    <x v="2"/>
    <m/>
    <x v="2"/>
    <m/>
    <x v="1"/>
    <m/>
    <m/>
    <x v="0"/>
    <x v="0"/>
    <s v="Limpieza Publica"/>
    <n v="0"/>
    <x v="104"/>
    <x v="79"/>
    <x v="24"/>
    <x v="3"/>
    <s v="Ex Karin Carbajal - Enfermeria"/>
  </r>
  <r>
    <n v="219"/>
    <m/>
    <m/>
    <m/>
    <m/>
    <x v="3"/>
    <x v="0"/>
    <x v="11"/>
    <s v="Redmi 12C"/>
    <x v="211"/>
    <m/>
    <s v="Movistar"/>
    <n v="951500713"/>
    <n v="865451068714426"/>
    <n v="865451068714434"/>
    <m/>
    <m/>
    <m/>
    <m/>
    <x v="1"/>
    <x v="1"/>
    <x v="0"/>
    <s v="Movil"/>
    <m/>
    <m/>
    <x v="2"/>
    <m/>
    <x v="2"/>
    <m/>
    <x v="2"/>
    <m/>
    <x v="1"/>
    <m/>
    <m/>
    <x v="0"/>
    <x v="0"/>
    <s v="47119576"/>
    <s v="0000001775"/>
    <x v="69"/>
    <x v="16"/>
    <x v="4"/>
    <x v="4"/>
    <m/>
  </r>
  <r>
    <n v="220"/>
    <m/>
    <m/>
    <m/>
    <m/>
    <x v="4"/>
    <x v="0"/>
    <x v="4"/>
    <s v="Thinkcentre M70Q"/>
    <x v="212"/>
    <m/>
    <m/>
    <m/>
    <m/>
    <m/>
    <m/>
    <m/>
    <m/>
    <m/>
    <x v="1"/>
    <x v="83"/>
    <x v="83"/>
    <s v="Intel Core i7"/>
    <m/>
    <m/>
    <x v="12"/>
    <m/>
    <x v="4"/>
    <m/>
    <x v="0"/>
    <s v="No"/>
    <x v="2"/>
    <m/>
    <m/>
    <x v="0"/>
    <x v="0"/>
    <s v="Capacitación"/>
    <n v="0"/>
    <x v="2"/>
    <x v="2"/>
    <x v="0"/>
    <x v="0"/>
    <m/>
  </r>
  <r>
    <n v="221"/>
    <m/>
    <m/>
    <m/>
    <m/>
    <x v="4"/>
    <x v="0"/>
    <x v="0"/>
    <s v="HP 260 G2 DM"/>
    <x v="213"/>
    <m/>
    <m/>
    <m/>
    <m/>
    <m/>
    <m/>
    <m/>
    <m/>
    <m/>
    <x v="1"/>
    <x v="1"/>
    <x v="84"/>
    <s v="Intel Core i3 "/>
    <m/>
    <m/>
    <x v="11"/>
    <m/>
    <x v="7"/>
    <m/>
    <x v="0"/>
    <s v="No"/>
    <x v="2"/>
    <m/>
    <m/>
    <x v="0"/>
    <x v="0"/>
    <n v="73178717"/>
    <s v="0000001605"/>
    <x v="105"/>
    <x v="80"/>
    <x v="12"/>
    <x v="8"/>
    <m/>
  </r>
  <r>
    <n v="222"/>
    <m/>
    <m/>
    <m/>
    <m/>
    <x v="4"/>
    <x v="0"/>
    <x v="4"/>
    <s v="Thinkcentre M70Q"/>
    <x v="214"/>
    <m/>
    <m/>
    <m/>
    <m/>
    <m/>
    <m/>
    <m/>
    <m/>
    <m/>
    <x v="1"/>
    <x v="84"/>
    <x v="85"/>
    <s v="Intel Core i7"/>
    <m/>
    <m/>
    <x v="12"/>
    <m/>
    <x v="4"/>
    <m/>
    <x v="0"/>
    <s v="No"/>
    <x v="2"/>
    <m/>
    <m/>
    <x v="0"/>
    <x v="0"/>
    <s v="Capacitación"/>
    <n v="0"/>
    <x v="2"/>
    <x v="2"/>
    <x v="0"/>
    <x v="0"/>
    <m/>
  </r>
  <r>
    <n v="223"/>
    <m/>
    <m/>
    <m/>
    <m/>
    <x v="7"/>
    <x v="0"/>
    <x v="10"/>
    <s v="Workstation 8"/>
    <x v="215"/>
    <s v="8224919"/>
    <m/>
    <m/>
    <m/>
    <m/>
    <m/>
    <m/>
    <m/>
    <m/>
    <x v="106"/>
    <x v="1"/>
    <x v="0"/>
    <s v="Intel Celeron"/>
    <m/>
    <s v="Intel Integrado"/>
    <x v="11"/>
    <m/>
    <x v="7"/>
    <m/>
    <x v="7"/>
    <s v="No"/>
    <x v="1"/>
    <m/>
    <m/>
    <x v="0"/>
    <x v="0"/>
    <s v="Caja La Fondue"/>
    <n v="0"/>
    <x v="106"/>
    <x v="81"/>
    <x v="32"/>
    <x v="1"/>
    <s v="Caja La Fondue"/>
  </r>
  <r>
    <n v="224"/>
    <m/>
    <m/>
    <m/>
    <m/>
    <x v="7"/>
    <x v="0"/>
    <x v="10"/>
    <s v="Workstation 8"/>
    <x v="216"/>
    <s v="8224919"/>
    <m/>
    <m/>
    <m/>
    <m/>
    <m/>
    <m/>
    <m/>
    <m/>
    <x v="107"/>
    <x v="1"/>
    <x v="0"/>
    <s v="Intel Celeron"/>
    <m/>
    <s v="Intel Integrado"/>
    <x v="11"/>
    <m/>
    <x v="7"/>
    <m/>
    <x v="7"/>
    <s v="No"/>
    <x v="1"/>
    <m/>
    <m/>
    <x v="0"/>
    <x v="0"/>
    <s v="Caja Le Café"/>
    <n v="0"/>
    <x v="107"/>
    <x v="82"/>
    <x v="35"/>
    <x v="1"/>
    <s v="Caja Le Café"/>
  </r>
  <r>
    <n v="225"/>
    <m/>
    <m/>
    <m/>
    <m/>
    <x v="7"/>
    <x v="0"/>
    <x v="10"/>
    <s v="Workstation 8"/>
    <x v="217"/>
    <s v="8224919"/>
    <m/>
    <m/>
    <m/>
    <m/>
    <m/>
    <m/>
    <m/>
    <m/>
    <x v="108"/>
    <x v="1"/>
    <x v="0"/>
    <s v="Intel Celeron"/>
    <m/>
    <s v="Intel Integrado"/>
    <x v="11"/>
    <m/>
    <x v="7"/>
    <m/>
    <x v="7"/>
    <s v="No"/>
    <x v="1"/>
    <m/>
    <m/>
    <x v="0"/>
    <x v="0"/>
    <s v="Caja Room Service"/>
    <n v="0"/>
    <x v="108"/>
    <x v="83"/>
    <x v="20"/>
    <x v="1"/>
    <s v="Caja Room Service"/>
  </r>
  <r>
    <n v="226"/>
    <m/>
    <m/>
    <m/>
    <m/>
    <x v="7"/>
    <x v="0"/>
    <x v="10"/>
    <s v="Workstation 8"/>
    <x v="218"/>
    <s v="8224919"/>
    <m/>
    <m/>
    <m/>
    <m/>
    <m/>
    <m/>
    <m/>
    <m/>
    <x v="109"/>
    <x v="1"/>
    <x v="0"/>
    <s v="Intel Celeron"/>
    <m/>
    <s v="Intel Integrado"/>
    <x v="11"/>
    <m/>
    <x v="7"/>
    <m/>
    <x v="7"/>
    <s v="No"/>
    <x v="1"/>
    <m/>
    <m/>
    <x v="0"/>
    <x v="0"/>
    <s v="Banquetes"/>
    <n v="0"/>
    <x v="109"/>
    <x v="84"/>
    <x v="1"/>
    <x v="1"/>
    <s v="Banquetes"/>
  </r>
  <r>
    <n v="227"/>
    <m/>
    <m/>
    <m/>
    <m/>
    <x v="7"/>
    <x v="0"/>
    <x v="10"/>
    <s v="Workstation 8"/>
    <x v="219"/>
    <s v="8224919"/>
    <m/>
    <m/>
    <m/>
    <m/>
    <m/>
    <m/>
    <m/>
    <m/>
    <x v="1"/>
    <x v="1"/>
    <x v="0"/>
    <s v="Intel Celeron"/>
    <m/>
    <s v="Intel Integrado"/>
    <x v="11"/>
    <m/>
    <x v="7"/>
    <m/>
    <x v="7"/>
    <s v="No"/>
    <x v="1"/>
    <m/>
    <m/>
    <x v="0"/>
    <x v="1"/>
    <s v="Sistemas"/>
    <n v="0"/>
    <x v="2"/>
    <x v="2"/>
    <x v="0"/>
    <x v="0"/>
    <s v="Custodia Sistemas"/>
  </r>
  <r>
    <n v="228"/>
    <m/>
    <m/>
    <m/>
    <m/>
    <x v="7"/>
    <x v="0"/>
    <x v="10"/>
    <s v="Workstation 8"/>
    <x v="220"/>
    <s v="8224919"/>
    <m/>
    <m/>
    <m/>
    <m/>
    <m/>
    <m/>
    <m/>
    <m/>
    <x v="110"/>
    <x v="1"/>
    <x v="0"/>
    <s v="Intel Celeron"/>
    <m/>
    <s v="Intel Integrado"/>
    <x v="11"/>
    <m/>
    <x v="7"/>
    <m/>
    <x v="7"/>
    <s v="No"/>
    <x v="1"/>
    <m/>
    <m/>
    <x v="0"/>
    <x v="0"/>
    <s v="Caja Lobby Bar"/>
    <n v="0"/>
    <x v="110"/>
    <x v="85"/>
    <x v="36"/>
    <x v="1"/>
    <s v="Caja Lobby Bar"/>
  </r>
  <r>
    <n v="229"/>
    <m/>
    <m/>
    <m/>
    <m/>
    <x v="7"/>
    <x v="0"/>
    <x v="10"/>
    <s v="Workstation 8"/>
    <x v="221"/>
    <s v="8224919"/>
    <m/>
    <m/>
    <m/>
    <m/>
    <m/>
    <m/>
    <m/>
    <m/>
    <x v="111"/>
    <x v="1"/>
    <x v="0"/>
    <s v="Intel Celeron"/>
    <m/>
    <s v="Intel Integrado"/>
    <x v="11"/>
    <m/>
    <x v="7"/>
    <m/>
    <x v="7"/>
    <s v="No"/>
    <x v="1"/>
    <m/>
    <m/>
    <x v="0"/>
    <x v="0"/>
    <s v="Caja La Locanda"/>
    <n v="0"/>
    <x v="111"/>
    <x v="86"/>
    <x v="37"/>
    <x v="1"/>
    <s v="Caja La Locanda"/>
  </r>
  <r>
    <n v="230"/>
    <m/>
    <m/>
    <m/>
    <m/>
    <x v="7"/>
    <x v="0"/>
    <x v="10"/>
    <s v="Workstation 8"/>
    <x v="222"/>
    <s v="8224919"/>
    <m/>
    <m/>
    <m/>
    <m/>
    <m/>
    <m/>
    <m/>
    <m/>
    <x v="1"/>
    <x v="1"/>
    <x v="0"/>
    <s v="Intel Celeron"/>
    <m/>
    <s v="Intel Integrado"/>
    <x v="11"/>
    <m/>
    <x v="7"/>
    <m/>
    <x v="7"/>
    <s v="No"/>
    <x v="1"/>
    <m/>
    <m/>
    <x v="0"/>
    <x v="1"/>
    <s v="Sistemas"/>
    <n v="0"/>
    <x v="2"/>
    <x v="2"/>
    <x v="0"/>
    <x v="0"/>
    <s v="Custodis Sistemas"/>
  </r>
  <r>
    <n v="231"/>
    <m/>
    <m/>
    <m/>
    <m/>
    <x v="4"/>
    <x v="1"/>
    <x v="5"/>
    <s v="Optiplex 3020"/>
    <x v="223"/>
    <s v="0WMJ54"/>
    <m/>
    <m/>
    <m/>
    <m/>
    <m/>
    <m/>
    <m/>
    <m/>
    <x v="112"/>
    <x v="1"/>
    <x v="86"/>
    <s v="Intel Core i5"/>
    <s v="4ta Gen."/>
    <s v="Intel Integrado"/>
    <x v="3"/>
    <m/>
    <x v="0"/>
    <m/>
    <x v="0"/>
    <s v="No"/>
    <x v="1"/>
    <m/>
    <m/>
    <x v="0"/>
    <x v="0"/>
    <s v="Sistemas"/>
    <n v="0"/>
    <x v="2"/>
    <x v="2"/>
    <x v="0"/>
    <x v="0"/>
    <s v="Web Interna QR Menus Habitaciones"/>
  </r>
  <r>
    <n v="232"/>
    <m/>
    <m/>
    <m/>
    <m/>
    <x v="3"/>
    <x v="0"/>
    <x v="11"/>
    <s v="Redmi 12C"/>
    <x v="224"/>
    <m/>
    <s v="Movistar"/>
    <n v="951476508"/>
    <n v="861578070738912"/>
    <n v="861578071138914"/>
    <m/>
    <m/>
    <m/>
    <m/>
    <x v="1"/>
    <x v="1"/>
    <x v="0"/>
    <s v="Movil"/>
    <m/>
    <m/>
    <x v="2"/>
    <m/>
    <x v="2"/>
    <m/>
    <x v="2"/>
    <m/>
    <x v="1"/>
    <m/>
    <m/>
    <x v="0"/>
    <x v="0"/>
    <s v="46405695"/>
    <s v="0000001780"/>
    <x v="17"/>
    <x v="16"/>
    <x v="4"/>
    <x v="4"/>
    <s v="Ex equipo Grisel Garcia"/>
  </r>
  <r>
    <n v="233"/>
    <m/>
    <m/>
    <m/>
    <m/>
    <x v="3"/>
    <x v="0"/>
    <x v="1"/>
    <s v="SM-A065M"/>
    <x v="225"/>
    <m/>
    <s v="Movistar"/>
    <n v="998302563"/>
    <n v="353384837596783"/>
    <m/>
    <m/>
    <m/>
    <m/>
    <m/>
    <x v="1"/>
    <x v="1"/>
    <x v="0"/>
    <s v="Movil"/>
    <m/>
    <m/>
    <x v="2"/>
    <m/>
    <x v="2"/>
    <m/>
    <x v="2"/>
    <m/>
    <x v="1"/>
    <m/>
    <m/>
    <x v="0"/>
    <x v="0"/>
    <s v="72039132"/>
    <s v="0000001596"/>
    <x v="112"/>
    <x v="35"/>
    <x v="1"/>
    <x v="1"/>
    <s v="Ex equipo de Mariela Vasquez - Pantalla Ok, Caver Ok"/>
  </r>
  <r>
    <n v="234"/>
    <m/>
    <m/>
    <m/>
    <m/>
    <x v="3"/>
    <x v="0"/>
    <x v="14"/>
    <s v="Iphone 15"/>
    <x v="226"/>
    <m/>
    <s v="Movistar"/>
    <n v="966568745"/>
    <n v="359626455688878"/>
    <n v="359626455714906"/>
    <m/>
    <m/>
    <m/>
    <m/>
    <x v="1"/>
    <x v="1"/>
    <x v="0"/>
    <s v="Movil"/>
    <m/>
    <m/>
    <x v="2"/>
    <m/>
    <x v="2"/>
    <m/>
    <x v="8"/>
    <m/>
    <x v="1"/>
    <m/>
    <m/>
    <x v="0"/>
    <x v="0"/>
    <s v="08738298"/>
    <s v="0000F00011"/>
    <x v="75"/>
    <x v="58"/>
    <x v="13"/>
    <x v="9"/>
    <m/>
  </r>
  <r>
    <n v="235"/>
    <m/>
    <m/>
    <m/>
    <m/>
    <x v="3"/>
    <x v="0"/>
    <x v="1"/>
    <s v="SM-A065M"/>
    <x v="227"/>
    <m/>
    <s v="Movistar"/>
    <n v="951988553"/>
    <n v="353384837598516"/>
    <m/>
    <m/>
    <m/>
    <m/>
    <m/>
    <x v="1"/>
    <x v="1"/>
    <x v="0"/>
    <s v="Movil"/>
    <m/>
    <m/>
    <x v="2"/>
    <m/>
    <x v="2"/>
    <m/>
    <x v="2"/>
    <s v="No"/>
    <x v="1"/>
    <m/>
    <m/>
    <x v="0"/>
    <x v="0"/>
    <s v="75732420"/>
    <s v="0000001463"/>
    <x v="113"/>
    <x v="87"/>
    <x v="1"/>
    <x v="1"/>
    <s v="Ex equipo de Rossi Pachas"/>
  </r>
  <r>
    <n v="236"/>
    <m/>
    <m/>
    <m/>
    <m/>
    <x v="3"/>
    <x v="0"/>
    <x v="13"/>
    <s v="X5b"/>
    <x v="228"/>
    <m/>
    <s v="Movistar"/>
    <n v="939345654"/>
    <n v="861578070735959"/>
    <n v="86157807113595"/>
    <m/>
    <m/>
    <m/>
    <m/>
    <x v="1"/>
    <x v="1"/>
    <x v="0"/>
    <s v="Movil"/>
    <m/>
    <m/>
    <x v="2"/>
    <m/>
    <x v="2"/>
    <m/>
    <x v="2"/>
    <s v="No"/>
    <x v="1"/>
    <m/>
    <m/>
    <x v="0"/>
    <x v="0"/>
    <n v="75315987"/>
    <n v="0"/>
    <x v="114"/>
    <x v="88"/>
    <x v="18"/>
    <x v="8"/>
    <s v="Ex Equipo Room Service"/>
  </r>
  <r>
    <n v="237"/>
    <m/>
    <m/>
    <m/>
    <m/>
    <x v="0"/>
    <x v="0"/>
    <x v="4"/>
    <s v="ThinkBook 16 G8 IRL"/>
    <x v="229"/>
    <m/>
    <m/>
    <m/>
    <m/>
    <m/>
    <m/>
    <m/>
    <m/>
    <m/>
    <x v="1"/>
    <x v="1"/>
    <x v="87"/>
    <s v="Intel Core i7"/>
    <s v="Ultra "/>
    <s v="Intel Integrado"/>
    <x v="4"/>
    <m/>
    <x v="4"/>
    <m/>
    <x v="0"/>
    <s v="Si"/>
    <x v="2"/>
    <m/>
    <m/>
    <x v="0"/>
    <x v="0"/>
    <n v="12345678"/>
    <n v="0"/>
    <x v="97"/>
    <x v="74"/>
    <x v="4"/>
    <x v="4"/>
    <s v="Equipo nuevo"/>
  </r>
  <r>
    <n v="238"/>
    <m/>
    <m/>
    <m/>
    <m/>
    <x v="4"/>
    <x v="0"/>
    <x v="0"/>
    <s v="Z1 G9 Tower"/>
    <x v="230"/>
    <m/>
    <m/>
    <m/>
    <m/>
    <m/>
    <m/>
    <m/>
    <m/>
    <m/>
    <x v="1"/>
    <x v="1"/>
    <x v="88"/>
    <s v="Intel Core i7"/>
    <s v="14va Gen."/>
    <s v="Intel Integrado"/>
    <x v="4"/>
    <m/>
    <x v="4"/>
    <m/>
    <x v="0"/>
    <s v="Si"/>
    <x v="2"/>
    <m/>
    <m/>
    <x v="0"/>
    <x v="0"/>
    <s v="40856376"/>
    <s v="0000000772"/>
    <x v="37"/>
    <x v="31"/>
    <x v="2"/>
    <x v="2"/>
    <m/>
  </r>
  <r>
    <n v="239"/>
    <m/>
    <m/>
    <m/>
    <m/>
    <x v="8"/>
    <x v="1"/>
    <x v="15"/>
    <s v="RS1221RP+"/>
    <x v="231"/>
    <s v="90-R1221RU31"/>
    <m/>
    <m/>
    <m/>
    <m/>
    <m/>
    <m/>
    <m/>
    <m/>
    <x v="113"/>
    <x v="1"/>
    <x v="0"/>
    <m/>
    <m/>
    <m/>
    <x v="2"/>
    <m/>
    <x v="12"/>
    <m/>
    <x v="1"/>
    <m/>
    <x v="1"/>
    <m/>
    <m/>
    <x v="0"/>
    <x v="0"/>
    <s v="Sistemas"/>
    <n v="0"/>
    <x v="2"/>
    <x v="2"/>
    <x v="0"/>
    <x v="0"/>
    <s v="NAS SYNOLOGY"/>
  </r>
  <r>
    <n v="240"/>
    <m/>
    <m/>
    <m/>
    <m/>
    <x v="3"/>
    <x v="0"/>
    <x v="11"/>
    <s v="Redmi 12C"/>
    <x v="232"/>
    <m/>
    <s v="Movistar"/>
    <n v="951489642"/>
    <n v="865451068889889"/>
    <n v="865451068889897"/>
    <m/>
    <m/>
    <m/>
    <m/>
    <x v="1"/>
    <x v="1"/>
    <x v="0"/>
    <m/>
    <m/>
    <m/>
    <x v="2"/>
    <m/>
    <x v="2"/>
    <m/>
    <x v="2"/>
    <s v="No"/>
    <x v="1"/>
    <m/>
    <m/>
    <x v="0"/>
    <x v="0"/>
    <s v="09649733"/>
    <s v="0000000037"/>
    <x v="26"/>
    <x v="24"/>
    <x v="13"/>
    <x v="9"/>
    <s v="Ex equipo de HK"/>
  </r>
  <r>
    <n v="241"/>
    <m/>
    <m/>
    <m/>
    <m/>
    <x v="3"/>
    <x v="0"/>
    <x v="11"/>
    <s v="Redmi 12C"/>
    <x v="233"/>
    <m/>
    <s v="Movistar"/>
    <n v="951460326"/>
    <n v="862448066334804"/>
    <n v="862448066334812"/>
    <m/>
    <m/>
    <m/>
    <m/>
    <x v="1"/>
    <x v="1"/>
    <x v="0"/>
    <m/>
    <m/>
    <m/>
    <x v="2"/>
    <m/>
    <x v="2"/>
    <m/>
    <x v="2"/>
    <s v="No"/>
    <x v="1"/>
    <m/>
    <m/>
    <x v="0"/>
    <x v="0"/>
    <s v="46411356"/>
    <s v="0000001406"/>
    <x v="115"/>
    <x v="45"/>
    <x v="27"/>
    <x v="2"/>
    <m/>
  </r>
  <r>
    <n v="242"/>
    <m/>
    <m/>
    <m/>
    <m/>
    <x v="4"/>
    <x v="1"/>
    <x v="5"/>
    <s v="Optiplex 3020"/>
    <x v="234"/>
    <s v="0WMJ54"/>
    <m/>
    <m/>
    <m/>
    <m/>
    <m/>
    <m/>
    <s v="B0-83-FE-5E-FF-7A"/>
    <m/>
    <x v="114"/>
    <x v="1"/>
    <x v="89"/>
    <s v="Intel Core i5"/>
    <s v="4ta Gen."/>
    <s v="Intel Integrado"/>
    <x v="3"/>
    <m/>
    <x v="3"/>
    <m/>
    <x v="3"/>
    <s v="No"/>
    <x v="1"/>
    <m/>
    <m/>
    <x v="0"/>
    <x v="0"/>
    <s v="Sistemas"/>
    <n v="0"/>
    <x v="2"/>
    <x v="2"/>
    <x v="0"/>
    <x v="0"/>
    <s v="Servidor VingCard"/>
  </r>
  <r>
    <n v="243"/>
    <m/>
    <m/>
    <m/>
    <m/>
    <x v="8"/>
    <x v="1"/>
    <x v="0"/>
    <s v="ProLiant ML350p Gen 8"/>
    <x v="235"/>
    <m/>
    <m/>
    <m/>
    <m/>
    <m/>
    <m/>
    <m/>
    <s v="9C-8E-99-56-75-B6"/>
    <m/>
    <x v="115"/>
    <x v="1"/>
    <x v="90"/>
    <s v="Intel Xeon"/>
    <s v="2da Gen."/>
    <s v="Intel Integrado"/>
    <x v="7"/>
    <m/>
    <x v="13"/>
    <m/>
    <x v="9"/>
    <s v="No"/>
    <x v="1"/>
    <m/>
    <m/>
    <x v="0"/>
    <x v="0"/>
    <s v="Sistemas"/>
    <n v="0"/>
    <x v="2"/>
    <x v="2"/>
    <x v="0"/>
    <x v="0"/>
    <s v="DC/AC Secundario - File Server - WSUS"/>
  </r>
  <r>
    <n v="244"/>
    <m/>
    <m/>
    <m/>
    <m/>
    <x v="8"/>
    <x v="1"/>
    <x v="0"/>
    <s v="ProLiant ML350p Gen 8"/>
    <x v="236"/>
    <m/>
    <m/>
    <m/>
    <m/>
    <m/>
    <m/>
    <m/>
    <s v="9C-8E-99-4C-9E-94"/>
    <m/>
    <x v="116"/>
    <x v="1"/>
    <x v="91"/>
    <s v="Intel Xeon"/>
    <s v="2da Gen."/>
    <s v="Intel Integrado"/>
    <x v="7"/>
    <m/>
    <x v="13"/>
    <m/>
    <x v="10"/>
    <s v="No"/>
    <x v="1"/>
    <m/>
    <m/>
    <x v="0"/>
    <x v="0"/>
    <s v="Sistemas"/>
    <n v="0"/>
    <x v="2"/>
    <x v="2"/>
    <x v="0"/>
    <x v="0"/>
    <s v="DC/AC Primario - File Server"/>
  </r>
  <r>
    <n v="245"/>
    <m/>
    <m/>
    <m/>
    <m/>
    <x v="8"/>
    <x v="1"/>
    <x v="0"/>
    <s v="ProLiant DL180 Gen 9"/>
    <x v="237"/>
    <m/>
    <m/>
    <m/>
    <m/>
    <m/>
    <m/>
    <m/>
    <s v="FC-15-B4-94-A5-7A"/>
    <m/>
    <x v="117"/>
    <x v="1"/>
    <x v="92"/>
    <s v="Intel Xeon"/>
    <s v="2da Gen."/>
    <s v="Intel Integrado"/>
    <x v="9"/>
    <m/>
    <x v="13"/>
    <m/>
    <x v="9"/>
    <s v="No"/>
    <x v="1"/>
    <m/>
    <m/>
    <x v="0"/>
    <x v="0"/>
    <s v="Sistemas"/>
    <n v="0"/>
    <x v="2"/>
    <x v="2"/>
    <x v="0"/>
    <x v="0"/>
    <s v="Sistema Zkteco marcadores - BD Adryan "/>
  </r>
  <r>
    <n v="246"/>
    <m/>
    <m/>
    <m/>
    <m/>
    <x v="8"/>
    <x v="1"/>
    <x v="0"/>
    <s v="ProLiant ML310e Gen 8"/>
    <x v="238"/>
    <m/>
    <m/>
    <m/>
    <m/>
    <m/>
    <m/>
    <m/>
    <s v="74-46-A0-FE-C6-50"/>
    <m/>
    <x v="118"/>
    <x v="1"/>
    <x v="93"/>
    <s v="Intel Xeon"/>
    <s v="1era Gen."/>
    <s v="Intel Integrado"/>
    <x v="3"/>
    <m/>
    <x v="13"/>
    <m/>
    <x v="4"/>
    <s v="No"/>
    <x v="1"/>
    <m/>
    <m/>
    <x v="0"/>
    <x v="0"/>
    <s v="Sistemas"/>
    <n v="0"/>
    <x v="2"/>
    <x v="2"/>
    <x v="0"/>
    <x v="0"/>
    <s v="Sistemas GLPI"/>
  </r>
  <r>
    <n v="247"/>
    <m/>
    <m/>
    <m/>
    <m/>
    <x v="8"/>
    <x v="1"/>
    <x v="0"/>
    <s v="ProLiant ML310e Gen 8"/>
    <x v="239"/>
    <m/>
    <m/>
    <m/>
    <m/>
    <m/>
    <m/>
    <m/>
    <s v="9C-8E-99-22-52-0E"/>
    <m/>
    <x v="119"/>
    <x v="1"/>
    <x v="94"/>
    <s v="Intel Atom"/>
    <s v="1era Gen."/>
    <s v="Intel Integrado"/>
    <x v="3"/>
    <m/>
    <x v="13"/>
    <m/>
    <x v="4"/>
    <s v="No"/>
    <x v="1"/>
    <m/>
    <m/>
    <x v="0"/>
    <x v="0"/>
    <s v="Sistemas"/>
    <n v="0"/>
    <x v="2"/>
    <x v="2"/>
    <x v="0"/>
    <x v="0"/>
    <s v="Sistemas GLPI - Swiss Service"/>
  </r>
  <r>
    <n v="248"/>
    <m/>
    <m/>
    <m/>
    <m/>
    <x v="8"/>
    <x v="1"/>
    <x v="0"/>
    <s v="ProLiant DL360 Gen 10"/>
    <x v="240"/>
    <m/>
    <m/>
    <m/>
    <m/>
    <m/>
    <m/>
    <m/>
    <s v="EC-EB-B8-89-25-8C"/>
    <m/>
    <x v="120"/>
    <x v="1"/>
    <x v="95"/>
    <s v="Intel Xeon"/>
    <s v="3era Gen."/>
    <s v="Intel Integrado"/>
    <x v="14"/>
    <m/>
    <x v="13"/>
    <m/>
    <x v="11"/>
    <s v="No"/>
    <x v="1"/>
    <m/>
    <m/>
    <x v="0"/>
    <x v="0"/>
    <s v="Sistemas"/>
    <n v="0"/>
    <x v="2"/>
    <x v="2"/>
    <x v="0"/>
    <x v="0"/>
    <s v="Sistemas ERP SAP Business One"/>
  </r>
  <r>
    <n v="249"/>
    <m/>
    <m/>
    <m/>
    <m/>
    <x v="8"/>
    <x v="1"/>
    <x v="0"/>
    <s v="ProLiant DL180 Gen 9"/>
    <x v="241"/>
    <m/>
    <m/>
    <m/>
    <m/>
    <m/>
    <m/>
    <m/>
    <s v="FC-15-B4-93-CA-B0"/>
    <m/>
    <x v="121"/>
    <x v="1"/>
    <x v="96"/>
    <s v="Intel Xeon"/>
    <s v="2da Gen."/>
    <s v="Intel Integrado"/>
    <x v="9"/>
    <m/>
    <x v="13"/>
    <m/>
    <x v="9"/>
    <s v="No"/>
    <x v="1"/>
    <m/>
    <m/>
    <x v="0"/>
    <x v="0"/>
    <s v="Sistemas"/>
    <n v="0"/>
    <x v="2"/>
    <x v="2"/>
    <x v="0"/>
    <x v="0"/>
    <s v="Adryan Web - Sistema Asistencia"/>
  </r>
  <r>
    <n v="250"/>
    <m/>
    <m/>
    <m/>
    <m/>
    <x v="4"/>
    <x v="1"/>
    <x v="0"/>
    <s v="HP Prodesk 2 SFF GLI"/>
    <x v="242"/>
    <s v="C0DJ1LS"/>
    <m/>
    <m/>
    <m/>
    <m/>
    <m/>
    <m/>
    <s v="48-21-0B-7F-D5-A3"/>
    <m/>
    <x v="122"/>
    <x v="1"/>
    <x v="97"/>
    <s v="Intel Core i7"/>
    <s v="14va Gen."/>
    <s v="Intel Integrado"/>
    <x v="4"/>
    <m/>
    <x v="14"/>
    <m/>
    <x v="0"/>
    <s v="No"/>
    <x v="1"/>
    <m/>
    <m/>
    <x v="0"/>
    <x v="0"/>
    <s v="Sistemas"/>
    <n v="0"/>
    <x v="2"/>
    <x v="2"/>
    <x v="0"/>
    <x v="0"/>
    <s v="Servidor de Interfaces de Opera Cloud"/>
  </r>
  <r>
    <n v="251"/>
    <m/>
    <m/>
    <m/>
    <m/>
    <x v="8"/>
    <x v="1"/>
    <x v="0"/>
    <s v="ProLiant DL380 Gen 12"/>
    <x v="243"/>
    <m/>
    <m/>
    <m/>
    <m/>
    <m/>
    <m/>
    <m/>
    <s v=" 6C-83-75-5F-FE-B5"/>
    <m/>
    <x v="123"/>
    <x v="1"/>
    <x v="98"/>
    <s v="Intel Xeon"/>
    <s v="6ta Gen."/>
    <s v="Intel Integrado"/>
    <x v="15"/>
    <m/>
    <x v="0"/>
    <m/>
    <x v="12"/>
    <s v="No"/>
    <x v="1"/>
    <m/>
    <m/>
    <x v="0"/>
    <x v="0"/>
    <s v="Sistemas"/>
    <n v="0"/>
    <x v="2"/>
    <x v="2"/>
    <x v="0"/>
    <x v="0"/>
    <s v="Nuevo DC / AC / HyperV Center"/>
  </r>
  <r>
    <n v="252"/>
    <m/>
    <m/>
    <m/>
    <m/>
    <x v="8"/>
    <x v="1"/>
    <x v="0"/>
    <s v="ProLiant DL320e Gen 8"/>
    <x v="244"/>
    <m/>
    <m/>
    <m/>
    <m/>
    <m/>
    <m/>
    <m/>
    <m/>
    <m/>
    <x v="1"/>
    <x v="1"/>
    <x v="99"/>
    <s v="Intel Xeon"/>
    <s v="2da Gen."/>
    <s v="Intel Integrado"/>
    <x v="1"/>
    <m/>
    <x v="14"/>
    <m/>
    <x v="10"/>
    <s v="No"/>
    <x v="1"/>
    <m/>
    <m/>
    <x v="0"/>
    <x v="1"/>
    <s v="Sistemas"/>
    <n v="0"/>
    <x v="2"/>
    <x v="2"/>
    <x v="0"/>
    <x v="0"/>
    <s v="Ex Server Interfaces Opera V5 - No se utiliza"/>
  </r>
  <r>
    <n v="253"/>
    <m/>
    <m/>
    <m/>
    <m/>
    <x v="8"/>
    <x v="1"/>
    <x v="0"/>
    <s v="ProLiant DL360 Gen 10"/>
    <x v="245"/>
    <m/>
    <m/>
    <m/>
    <m/>
    <m/>
    <m/>
    <m/>
    <s v="20-67-7C-E2-25-74"/>
    <m/>
    <x v="124"/>
    <x v="1"/>
    <x v="100"/>
    <s v="Intel Xeon"/>
    <s v="4ta Gen."/>
    <s v="Intel Integrado"/>
    <x v="16"/>
    <m/>
    <x v="15"/>
    <m/>
    <x v="9"/>
    <s v="No"/>
    <x v="1"/>
    <m/>
    <m/>
    <x v="0"/>
    <x v="0"/>
    <s v="Sistemas"/>
    <n v="0"/>
    <x v="2"/>
    <x v="2"/>
    <x v="0"/>
    <x v="0"/>
    <s v="Server Opera V5 - Sistema antiguo - Consulta"/>
  </r>
  <r>
    <n v="254"/>
    <m/>
    <m/>
    <m/>
    <m/>
    <x v="8"/>
    <x v="1"/>
    <x v="0"/>
    <s v="ProLiant DL180 Gen 6"/>
    <x v="246"/>
    <m/>
    <m/>
    <m/>
    <m/>
    <m/>
    <m/>
    <m/>
    <s v="44-1E-A1-45-AE-EA"/>
    <m/>
    <x v="125"/>
    <x v="1"/>
    <x v="101"/>
    <s v="Intel Xeon"/>
    <s v="2da Gen."/>
    <s v="Intel Integrado"/>
    <x v="3"/>
    <m/>
    <x v="13"/>
    <m/>
    <x v="10"/>
    <s v="No"/>
    <x v="1"/>
    <m/>
    <m/>
    <x v="0"/>
    <x v="0"/>
    <s v="Sistemas"/>
    <n v="0"/>
    <x v="2"/>
    <x v="2"/>
    <x v="0"/>
    <x v="0"/>
    <s v="Firma de DOC - SAP (GOSOCKET) - No se utiliza"/>
  </r>
  <r>
    <n v="255"/>
    <m/>
    <m/>
    <m/>
    <m/>
    <x v="4"/>
    <x v="1"/>
    <x v="5"/>
    <s v="Optiplex 3020"/>
    <x v="247"/>
    <s v="0WMJ54"/>
    <m/>
    <m/>
    <m/>
    <m/>
    <m/>
    <m/>
    <s v="B0-83-FE-5E-FF-6C"/>
    <m/>
    <x v="126"/>
    <x v="1"/>
    <x v="102"/>
    <s v="Intel Core i5"/>
    <s v="4ta Gen."/>
    <s v="Intel Integrado"/>
    <x v="3"/>
    <m/>
    <x v="3"/>
    <m/>
    <x v="9"/>
    <s v="No"/>
    <x v="1"/>
    <m/>
    <m/>
    <x v="0"/>
    <x v="0"/>
    <s v="Sistemas"/>
    <n v="0"/>
    <x v="2"/>
    <x v="2"/>
    <x v="0"/>
    <x v="0"/>
    <s v="CAPS Simphony"/>
  </r>
  <r>
    <n v="256"/>
    <m/>
    <m/>
    <m/>
    <m/>
    <x v="4"/>
    <x v="1"/>
    <x v="5"/>
    <s v="Optiplex 3020"/>
    <x v="248"/>
    <s v="0WMJ54"/>
    <m/>
    <m/>
    <m/>
    <m/>
    <m/>
    <m/>
    <s v="B0-83-FE-5E-F9-6B"/>
    <m/>
    <x v="127"/>
    <x v="1"/>
    <x v="103"/>
    <s v="Intel Core i5"/>
    <s v="4ta Gen."/>
    <s v="Intel Integrado"/>
    <x v="3"/>
    <m/>
    <x v="3"/>
    <m/>
    <x v="4"/>
    <s v="No"/>
    <x v="1"/>
    <m/>
    <m/>
    <x v="0"/>
    <x v="0"/>
    <s v="Sistemas"/>
    <n v="0"/>
    <x v="2"/>
    <x v="2"/>
    <x v="0"/>
    <x v="0"/>
    <s v="TARTEL - Tarificador - Desincronizado"/>
  </r>
  <r>
    <n v="257"/>
    <m/>
    <m/>
    <m/>
    <m/>
    <x v="8"/>
    <x v="1"/>
    <x v="0"/>
    <s v="ProLiant ML310e Gen 8"/>
    <x v="249"/>
    <m/>
    <m/>
    <m/>
    <m/>
    <m/>
    <m/>
    <m/>
    <s v="9C-B6-54-12-12-04"/>
    <m/>
    <x v="128"/>
    <x v="1"/>
    <x v="104"/>
    <s v="Intel Xeon"/>
    <s v="1era Gen."/>
    <s v="Intel Integrado"/>
    <x v="3"/>
    <m/>
    <x v="13"/>
    <m/>
    <x v="13"/>
    <s v="No"/>
    <x v="1"/>
    <m/>
    <m/>
    <x v="0"/>
    <x v="0"/>
    <s v="Sistemas"/>
    <n v="0"/>
    <x v="2"/>
    <x v="2"/>
    <x v="0"/>
    <x v="0"/>
    <s v="TARIFICADOR - PCSISTEL (POR CONFIGURAR)"/>
  </r>
  <r>
    <n v="258"/>
    <m/>
    <m/>
    <m/>
    <m/>
    <x v="8"/>
    <x v="1"/>
    <x v="0"/>
    <s v="ProLiant DL360p Gen 8"/>
    <x v="250"/>
    <m/>
    <m/>
    <m/>
    <m/>
    <m/>
    <m/>
    <m/>
    <s v="28-80-23-A2-D1-B4"/>
    <m/>
    <x v="129"/>
    <x v="1"/>
    <x v="105"/>
    <s v="Intel Xeon"/>
    <s v="2da Gen."/>
    <s v="Intel Integrado"/>
    <x v="7"/>
    <m/>
    <x v="13"/>
    <m/>
    <x v="9"/>
    <s v="No"/>
    <x v="1"/>
    <m/>
    <m/>
    <x v="0"/>
    <x v="0"/>
    <s v="Sistemas"/>
    <n v="0"/>
    <x v="2"/>
    <x v="2"/>
    <x v="0"/>
    <x v="0"/>
    <s v="Conexión Remota - ORS - Revenue"/>
  </r>
  <r>
    <n v="259"/>
    <m/>
    <m/>
    <m/>
    <m/>
    <x v="3"/>
    <x v="0"/>
    <x v="13"/>
    <s v="Honor X5b"/>
    <x v="251"/>
    <m/>
    <s v="Movistar"/>
    <n v="998304961"/>
    <n v="861578070736817"/>
    <n v="861578071136819"/>
    <m/>
    <m/>
    <m/>
    <m/>
    <x v="1"/>
    <x v="1"/>
    <x v="0"/>
    <s v="Movil"/>
    <m/>
    <m/>
    <x v="2"/>
    <m/>
    <x v="2"/>
    <m/>
    <x v="2"/>
    <s v="No"/>
    <x v="1"/>
    <m/>
    <m/>
    <x v="0"/>
    <x v="0"/>
    <s v="42283222"/>
    <s v="0000001068"/>
    <x v="116"/>
    <x v="1"/>
    <x v="1"/>
    <x v="1"/>
    <m/>
  </r>
  <r>
    <n v="260"/>
    <m/>
    <m/>
    <m/>
    <m/>
    <x v="3"/>
    <x v="0"/>
    <x v="11"/>
    <s v="Redmi 12C"/>
    <x v="252"/>
    <m/>
    <s v="Movistar"/>
    <n v="998301625"/>
    <n v="862480064827026"/>
    <n v="862480064827034"/>
    <m/>
    <m/>
    <m/>
    <m/>
    <x v="1"/>
    <x v="1"/>
    <x v="0"/>
    <s v="Movil"/>
    <m/>
    <m/>
    <x v="2"/>
    <m/>
    <x v="2"/>
    <m/>
    <x v="2"/>
    <s v="No"/>
    <x v="1"/>
    <m/>
    <m/>
    <x v="0"/>
    <x v="0"/>
    <s v="Lobby"/>
    <n v="0"/>
    <x v="117"/>
    <x v="8"/>
    <x v="5"/>
    <x v="5"/>
    <m/>
  </r>
  <r>
    <n v="261"/>
    <m/>
    <m/>
    <m/>
    <m/>
    <x v="3"/>
    <x v="0"/>
    <x v="11"/>
    <s v="Redmi 12C"/>
    <x v="253"/>
    <m/>
    <s v="Movistar"/>
    <n v="951490122"/>
    <n v="862448066333608"/>
    <n v="862448066333616"/>
    <m/>
    <m/>
    <m/>
    <m/>
    <x v="1"/>
    <x v="1"/>
    <x v="0"/>
    <s v="Movil"/>
    <m/>
    <m/>
    <x v="2"/>
    <m/>
    <x v="2"/>
    <m/>
    <x v="2"/>
    <s v="No"/>
    <x v="1"/>
    <m/>
    <m/>
    <x v="0"/>
    <x v="0"/>
    <s v="FOYER"/>
    <n v="0"/>
    <x v="118"/>
    <x v="8"/>
    <x v="5"/>
    <x v="5"/>
    <m/>
  </r>
  <r>
    <n v="262"/>
    <m/>
    <m/>
    <m/>
    <m/>
    <x v="3"/>
    <x v="0"/>
    <x v="11"/>
    <s v="Redmi 12C"/>
    <x v="254"/>
    <m/>
    <s v="Movistar"/>
    <n v="998301155"/>
    <n v="862448066334820"/>
    <n v="862448066334838"/>
    <m/>
    <m/>
    <m/>
    <m/>
    <x v="1"/>
    <x v="1"/>
    <x v="0"/>
    <s v="Movil"/>
    <m/>
    <m/>
    <x v="2"/>
    <m/>
    <x v="2"/>
    <m/>
    <x v="2"/>
    <s v="No"/>
    <x v="1"/>
    <m/>
    <m/>
    <x v="0"/>
    <x v="0"/>
    <s v="09961825"/>
    <s v="0000001576"/>
    <x v="88"/>
    <x v="68"/>
    <x v="31"/>
    <x v="5"/>
    <m/>
  </r>
  <r>
    <n v="263"/>
    <m/>
    <m/>
    <m/>
    <m/>
    <x v="3"/>
    <x v="0"/>
    <x v="1"/>
    <s v="SM-A065M"/>
    <x v="255"/>
    <m/>
    <s v="Movistar"/>
    <n v="998305943"/>
    <n v="356310857653540"/>
    <m/>
    <m/>
    <m/>
    <m/>
    <m/>
    <x v="1"/>
    <x v="1"/>
    <x v="0"/>
    <s v="Movil"/>
    <m/>
    <m/>
    <x v="2"/>
    <m/>
    <x v="2"/>
    <m/>
    <x v="2"/>
    <s v="No"/>
    <x v="1"/>
    <m/>
    <m/>
    <x v="0"/>
    <x v="0"/>
    <s v="60005193"/>
    <s v="0000001441"/>
    <x v="119"/>
    <x v="34"/>
    <x v="32"/>
    <x v="1"/>
    <m/>
  </r>
  <r>
    <n v="264"/>
    <m/>
    <m/>
    <m/>
    <m/>
    <x v="3"/>
    <x v="0"/>
    <x v="13"/>
    <s v="X6a"/>
    <x v="256"/>
    <m/>
    <s v="Movistar"/>
    <n v="983688907"/>
    <n v="866317067923160"/>
    <n v="866317068523167"/>
    <m/>
    <m/>
    <m/>
    <m/>
    <x v="1"/>
    <x v="1"/>
    <x v="0"/>
    <s v="Movil"/>
    <m/>
    <m/>
    <x v="2"/>
    <m/>
    <x v="2"/>
    <m/>
    <x v="2"/>
    <s v="No"/>
    <x v="1"/>
    <m/>
    <m/>
    <x v="0"/>
    <x v="0"/>
    <s v="74404325"/>
    <s v="0000001513"/>
    <x v="120"/>
    <x v="89"/>
    <x v="38"/>
    <x v="8"/>
    <m/>
  </r>
  <r>
    <n v="265"/>
    <m/>
    <m/>
    <m/>
    <m/>
    <x v="3"/>
    <x v="0"/>
    <x v="2"/>
    <s v="ZTE Blade A72s"/>
    <x v="257"/>
    <m/>
    <s v="Movistar"/>
    <n v="998307752"/>
    <n v="866849060089375"/>
    <m/>
    <m/>
    <m/>
    <m/>
    <m/>
    <x v="1"/>
    <x v="1"/>
    <x v="0"/>
    <s v="Movil"/>
    <m/>
    <m/>
    <x v="13"/>
    <m/>
    <x v="10"/>
    <m/>
    <x v="2"/>
    <s v="No"/>
    <x v="1"/>
    <m/>
    <m/>
    <x v="0"/>
    <x v="0"/>
    <s v="Puerta 5"/>
    <s v="Puerta 5"/>
    <x v="49"/>
    <x v="8"/>
    <x v="5"/>
    <x v="5"/>
    <m/>
  </r>
  <r>
    <n v="266"/>
    <m/>
    <m/>
    <m/>
    <m/>
    <x v="3"/>
    <x v="0"/>
    <x v="1"/>
    <s v="SM-A065M"/>
    <x v="258"/>
    <m/>
    <s v="Movistar"/>
    <n v="938919165"/>
    <n v="353384837598714"/>
    <m/>
    <m/>
    <m/>
    <m/>
    <m/>
    <x v="1"/>
    <x v="1"/>
    <x v="0"/>
    <s v="Movil"/>
    <m/>
    <m/>
    <x v="2"/>
    <m/>
    <x v="2"/>
    <m/>
    <x v="2"/>
    <s v="No"/>
    <x v="1"/>
    <m/>
    <m/>
    <x v="0"/>
    <x v="0"/>
    <s v="46815301"/>
    <s v="0000001791"/>
    <x v="14"/>
    <x v="13"/>
    <x v="9"/>
    <x v="7"/>
    <m/>
  </r>
  <r>
    <n v="267"/>
    <m/>
    <m/>
    <m/>
    <m/>
    <x v="3"/>
    <x v="0"/>
    <x v="1"/>
    <s v="SM-A075M"/>
    <x v="259"/>
    <m/>
    <s v="Movistar"/>
    <n v="938919323"/>
    <n v="356253244392473"/>
    <m/>
    <m/>
    <m/>
    <m/>
    <m/>
    <x v="1"/>
    <x v="1"/>
    <x v="0"/>
    <s v="Movil"/>
    <m/>
    <m/>
    <x v="2"/>
    <m/>
    <x v="2"/>
    <m/>
    <x v="2"/>
    <s v="No"/>
    <x v="1"/>
    <m/>
    <m/>
    <x v="0"/>
    <x v="0"/>
    <s v="44826856"/>
    <n v="0"/>
    <x v="36"/>
    <x v="16"/>
    <x v="4"/>
    <x v="4"/>
    <m/>
  </r>
  <r>
    <n v="268"/>
    <m/>
    <m/>
    <m/>
    <m/>
    <x v="3"/>
    <x v="0"/>
    <x v="1"/>
    <s v="SM-A045M"/>
    <x v="260"/>
    <m/>
    <s v="Movistar"/>
    <n v="998301952"/>
    <n v="353883565165901"/>
    <m/>
    <m/>
    <m/>
    <m/>
    <m/>
    <x v="1"/>
    <x v="1"/>
    <x v="0"/>
    <s v="Movil"/>
    <m/>
    <m/>
    <x v="2"/>
    <m/>
    <x v="10"/>
    <m/>
    <x v="2"/>
    <s v="No"/>
    <x v="1"/>
    <m/>
    <m/>
    <x v="0"/>
    <x v="0"/>
    <s v="CyM"/>
    <n v="0"/>
    <x v="8"/>
    <x v="8"/>
    <x v="5"/>
    <x v="5"/>
    <m/>
  </r>
  <r>
    <n v="26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27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27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27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27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27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27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27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27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27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27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28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28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28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28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28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28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28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28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28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28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29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29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29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29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29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29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29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29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29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29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0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0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0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0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0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0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0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0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0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0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1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1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1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1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1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1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1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1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1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1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2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2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2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2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2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2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2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2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2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2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3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3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3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3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3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3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3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3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3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3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4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4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4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4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4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4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4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4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4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4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5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5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5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5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5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5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5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5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5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5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6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6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6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6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6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6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6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6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6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6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7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7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7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7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7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7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7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7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7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7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8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8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8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8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8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8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8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8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8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8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9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9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9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9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9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9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9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9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9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39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0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0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0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0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0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0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0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0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0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0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1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1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1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1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1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1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1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1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1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1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2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2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2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2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2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2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2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2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2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2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3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3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3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3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3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3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3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3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3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3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4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4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4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4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4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4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4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4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4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4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5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5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5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5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5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5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5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5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5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5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6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6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6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6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6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6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6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6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6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6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7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7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7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7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7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7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7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7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7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7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8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8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8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8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8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8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8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8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8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8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9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9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9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9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9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9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9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9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9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49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0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0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0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0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0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0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0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0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0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0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1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1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1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1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1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1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1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1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1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1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2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2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2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2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2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2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2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2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2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2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3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3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3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3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3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3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3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3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3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3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4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4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4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4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4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4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4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4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4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4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5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5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5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5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5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5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5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5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5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5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6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6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6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6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6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6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6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6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6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6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7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7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7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7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7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7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7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7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7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7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8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8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8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8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8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8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8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8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8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8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9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9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9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9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9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9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9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9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9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59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0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0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0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0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0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0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0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0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0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0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1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1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1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1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1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1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1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1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1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1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2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2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2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2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2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2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2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2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2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2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3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3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3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3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3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3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3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3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3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3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4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4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4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4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4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4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4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4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4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4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5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5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5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5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5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5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5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5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5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5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6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6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6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6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6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6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6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6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6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6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7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7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7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7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7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7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7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7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7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7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8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8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8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8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8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8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8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8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8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8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9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91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92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93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94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95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96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97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98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699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n v="700"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e v="#N/A"/>
    <x v="13"/>
    <x v="12"/>
    <x v="8"/>
    <x v="6"/>
    <m/>
  </r>
  <r>
    <m/>
    <m/>
    <m/>
    <m/>
    <m/>
    <x v="9"/>
    <x v="2"/>
    <x v="16"/>
    <m/>
    <x v="51"/>
    <m/>
    <m/>
    <m/>
    <m/>
    <m/>
    <m/>
    <m/>
    <m/>
    <m/>
    <x v="1"/>
    <x v="1"/>
    <x v="0"/>
    <m/>
    <m/>
    <m/>
    <x v="1"/>
    <m/>
    <x v="1"/>
    <m/>
    <x v="1"/>
    <m/>
    <x v="1"/>
    <m/>
    <m/>
    <x v="2"/>
    <x v="5"/>
    <m/>
    <m/>
    <x v="121"/>
    <x v="90"/>
    <x v="39"/>
    <x v="1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n v="1"/>
    <m/>
    <m/>
    <m/>
    <m/>
    <x v="0"/>
    <x v="0"/>
    <x v="0"/>
    <x v="0"/>
    <x v="0"/>
    <x v="0"/>
    <x v="0"/>
    <x v="0"/>
    <x v="0"/>
    <m/>
    <m/>
    <m/>
    <x v="0"/>
    <s v="D0-C5-D3-21-1D-29"/>
    <x v="0"/>
    <x v="0"/>
    <x v="0"/>
    <x v="0"/>
    <x v="0"/>
    <x v="0"/>
    <x v="0"/>
    <m/>
    <x v="0"/>
    <x v="0"/>
    <x v="0"/>
    <x v="0"/>
    <x v="0"/>
    <d v="2023-01-01T00:00:00"/>
    <m/>
    <x v="0"/>
    <x v="0"/>
    <n v="43488382"/>
    <s v="0000001736"/>
    <x v="0"/>
    <x v="0"/>
    <x v="0"/>
    <x v="0"/>
    <x v="0"/>
  </r>
  <r>
    <n v="2"/>
    <m/>
    <m/>
    <m/>
    <m/>
    <x v="1"/>
    <x v="0"/>
    <x v="1"/>
    <x v="1"/>
    <x v="1"/>
    <x v="1"/>
    <x v="0"/>
    <x v="0"/>
    <x v="0"/>
    <m/>
    <m/>
    <m/>
    <x v="1"/>
    <m/>
    <x v="1"/>
    <x v="1"/>
    <x v="0"/>
    <x v="1"/>
    <x v="1"/>
    <x v="1"/>
    <x v="1"/>
    <m/>
    <x v="1"/>
    <x v="1"/>
    <x v="1"/>
    <x v="1"/>
    <x v="1"/>
    <m/>
    <m/>
    <x v="0"/>
    <x v="0"/>
    <n v="43488382"/>
    <s v="0000001736"/>
    <x v="0"/>
    <x v="0"/>
    <x v="0"/>
    <x v="0"/>
    <x v="0"/>
  </r>
  <r>
    <n v="3"/>
    <m/>
    <m/>
    <m/>
    <m/>
    <x v="2"/>
    <x v="0"/>
    <x v="1"/>
    <x v="2"/>
    <x v="2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0"/>
    <x v="0"/>
    <n v="43488382"/>
    <s v="0000001736"/>
    <x v="0"/>
    <x v="0"/>
    <x v="0"/>
    <x v="0"/>
    <x v="0"/>
  </r>
  <r>
    <n v="4"/>
    <m/>
    <m/>
    <m/>
    <m/>
    <x v="3"/>
    <x v="0"/>
    <x v="2"/>
    <x v="3"/>
    <x v="3"/>
    <x v="1"/>
    <x v="1"/>
    <x v="1"/>
    <x v="1"/>
    <m/>
    <m/>
    <m/>
    <x v="1"/>
    <s v="54-1F-8D-A0-17-C3"/>
    <x v="1"/>
    <x v="1"/>
    <x v="0"/>
    <x v="2"/>
    <x v="1"/>
    <x v="1"/>
    <x v="2"/>
    <m/>
    <x v="2"/>
    <x v="3"/>
    <x v="2"/>
    <x v="1"/>
    <x v="1"/>
    <m/>
    <m/>
    <x v="0"/>
    <x v="0"/>
    <s v="10158051"/>
    <s v="0000000874"/>
    <x v="1"/>
    <x v="1"/>
    <x v="1"/>
    <x v="1"/>
    <x v="0"/>
  </r>
  <r>
    <n v="5"/>
    <m/>
    <m/>
    <m/>
    <m/>
    <x v="0"/>
    <x v="0"/>
    <x v="3"/>
    <x v="4"/>
    <x v="4"/>
    <x v="2"/>
    <x v="0"/>
    <x v="0"/>
    <x v="0"/>
    <m/>
    <m/>
    <m/>
    <x v="2"/>
    <s v="B4-B6-76-FB-46-4F"/>
    <x v="1"/>
    <x v="1"/>
    <x v="0"/>
    <x v="3"/>
    <x v="2"/>
    <x v="2"/>
    <x v="3"/>
    <m/>
    <x v="3"/>
    <x v="4"/>
    <x v="0"/>
    <x v="0"/>
    <x v="1"/>
    <m/>
    <m/>
    <x v="0"/>
    <x v="1"/>
    <s v="Sistemas"/>
    <n v="0"/>
    <x v="2"/>
    <x v="2"/>
    <x v="0"/>
    <x v="0"/>
    <x v="1"/>
  </r>
  <r>
    <n v="6"/>
    <m/>
    <m/>
    <m/>
    <m/>
    <x v="4"/>
    <x v="0"/>
    <x v="4"/>
    <x v="5"/>
    <x v="5"/>
    <x v="3"/>
    <x v="0"/>
    <x v="0"/>
    <x v="0"/>
    <m/>
    <m/>
    <m/>
    <x v="1"/>
    <m/>
    <x v="2"/>
    <x v="1"/>
    <x v="1"/>
    <x v="0"/>
    <x v="3"/>
    <x v="2"/>
    <x v="4"/>
    <m/>
    <x v="0"/>
    <x v="2"/>
    <x v="0"/>
    <x v="2"/>
    <x v="2"/>
    <m/>
    <m/>
    <x v="0"/>
    <x v="0"/>
    <s v="10590738"/>
    <n v="0"/>
    <x v="3"/>
    <x v="3"/>
    <x v="2"/>
    <x v="2"/>
    <x v="0"/>
  </r>
  <r>
    <n v="7"/>
    <m/>
    <m/>
    <m/>
    <m/>
    <x v="4"/>
    <x v="0"/>
    <x v="4"/>
    <x v="5"/>
    <x v="6"/>
    <x v="3"/>
    <x v="0"/>
    <x v="0"/>
    <x v="0"/>
    <m/>
    <m/>
    <m/>
    <x v="3"/>
    <s v="E4-1F-D5-E8-9F-CC"/>
    <x v="3"/>
    <x v="1"/>
    <x v="2"/>
    <x v="0"/>
    <x v="3"/>
    <x v="2"/>
    <x v="5"/>
    <m/>
    <x v="4"/>
    <x v="2"/>
    <x v="0"/>
    <x v="2"/>
    <x v="0"/>
    <m/>
    <m/>
    <x v="0"/>
    <x v="0"/>
    <s v="Front Desk 2"/>
    <s v="Front Desk"/>
    <x v="4"/>
    <x v="4"/>
    <x v="3"/>
    <x v="3"/>
    <x v="2"/>
  </r>
  <r>
    <n v="8"/>
    <m/>
    <m/>
    <m/>
    <m/>
    <x v="4"/>
    <x v="0"/>
    <x v="5"/>
    <x v="6"/>
    <x v="7"/>
    <x v="4"/>
    <x v="0"/>
    <x v="0"/>
    <x v="0"/>
    <m/>
    <m/>
    <m/>
    <x v="1"/>
    <m/>
    <x v="4"/>
    <x v="1"/>
    <x v="3"/>
    <x v="3"/>
    <x v="4"/>
    <x v="2"/>
    <x v="6"/>
    <m/>
    <x v="0"/>
    <x v="2"/>
    <x v="0"/>
    <x v="2"/>
    <x v="0"/>
    <d v="2014-10-14T00:00:00"/>
    <m/>
    <x v="0"/>
    <x v="0"/>
    <s v="74129212"/>
    <s v="0000P00764"/>
    <x v="5"/>
    <x v="5"/>
    <x v="4"/>
    <x v="4"/>
    <x v="3"/>
  </r>
  <r>
    <n v="9"/>
    <m/>
    <m/>
    <m/>
    <m/>
    <x v="4"/>
    <x v="0"/>
    <x v="5"/>
    <x v="6"/>
    <x v="8"/>
    <x v="4"/>
    <x v="0"/>
    <x v="0"/>
    <x v="0"/>
    <m/>
    <m/>
    <m/>
    <x v="1"/>
    <m/>
    <x v="5"/>
    <x v="1"/>
    <x v="4"/>
    <x v="3"/>
    <x v="4"/>
    <x v="2"/>
    <x v="3"/>
    <m/>
    <x v="0"/>
    <x v="2"/>
    <x v="0"/>
    <x v="2"/>
    <x v="0"/>
    <d v="2014-10-11T00:00:00"/>
    <m/>
    <x v="0"/>
    <x v="0"/>
    <s v="75173008"/>
    <s v="0000001577"/>
    <x v="6"/>
    <x v="6"/>
    <x v="4"/>
    <x v="4"/>
    <x v="0"/>
  </r>
  <r>
    <n v="10"/>
    <m/>
    <m/>
    <m/>
    <m/>
    <x v="4"/>
    <x v="0"/>
    <x v="5"/>
    <x v="6"/>
    <x v="9"/>
    <x v="4"/>
    <x v="0"/>
    <x v="0"/>
    <x v="0"/>
    <m/>
    <m/>
    <m/>
    <x v="1"/>
    <m/>
    <x v="6"/>
    <x v="1"/>
    <x v="5"/>
    <x v="3"/>
    <x v="4"/>
    <x v="2"/>
    <x v="7"/>
    <m/>
    <x v="0"/>
    <x v="2"/>
    <x v="0"/>
    <x v="2"/>
    <x v="1"/>
    <d v="2014-10-11T00:00:00"/>
    <m/>
    <x v="0"/>
    <x v="0"/>
    <s v="76644092"/>
    <s v="0000P00758"/>
    <x v="7"/>
    <x v="7"/>
    <x v="2"/>
    <x v="2"/>
    <x v="0"/>
  </r>
  <r>
    <n v="11"/>
    <m/>
    <m/>
    <m/>
    <m/>
    <x v="4"/>
    <x v="1"/>
    <x v="5"/>
    <x v="6"/>
    <x v="10"/>
    <x v="4"/>
    <x v="0"/>
    <x v="0"/>
    <x v="0"/>
    <m/>
    <m/>
    <m/>
    <x v="4"/>
    <m/>
    <x v="7"/>
    <x v="1"/>
    <x v="6"/>
    <x v="3"/>
    <x v="4"/>
    <x v="2"/>
    <x v="6"/>
    <m/>
    <x v="0"/>
    <x v="2"/>
    <x v="0"/>
    <x v="2"/>
    <x v="0"/>
    <d v="2014-10-11T00:00:00"/>
    <m/>
    <x v="0"/>
    <x v="0"/>
    <s v="Sistemas"/>
    <n v="0"/>
    <x v="2"/>
    <x v="2"/>
    <x v="0"/>
    <x v="0"/>
    <x v="4"/>
  </r>
  <r>
    <n v="12"/>
    <m/>
    <m/>
    <m/>
    <m/>
    <x v="4"/>
    <x v="0"/>
    <x v="5"/>
    <x v="6"/>
    <x v="11"/>
    <x v="4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d v="2014-10-11T00:00:00"/>
    <m/>
    <x v="0"/>
    <x v="2"/>
    <s v="Sistemas"/>
    <n v="0"/>
    <x v="2"/>
    <x v="2"/>
    <x v="0"/>
    <x v="0"/>
    <x v="0"/>
  </r>
  <r>
    <n v="13"/>
    <m/>
    <m/>
    <m/>
    <m/>
    <x v="4"/>
    <x v="0"/>
    <x v="5"/>
    <x v="6"/>
    <x v="12"/>
    <x v="4"/>
    <x v="0"/>
    <x v="0"/>
    <x v="0"/>
    <m/>
    <m/>
    <m/>
    <x v="1"/>
    <m/>
    <x v="1"/>
    <x v="1"/>
    <x v="0"/>
    <x v="3"/>
    <x v="4"/>
    <x v="2"/>
    <x v="1"/>
    <m/>
    <x v="1"/>
    <x v="2"/>
    <x v="1"/>
    <x v="0"/>
    <x v="1"/>
    <d v="2014-10-13T00:00:00"/>
    <m/>
    <x v="0"/>
    <x v="2"/>
    <s v="Sistemas"/>
    <n v="0"/>
    <x v="2"/>
    <x v="2"/>
    <x v="0"/>
    <x v="0"/>
    <x v="0"/>
  </r>
  <r>
    <n v="14"/>
    <m/>
    <m/>
    <m/>
    <m/>
    <x v="4"/>
    <x v="0"/>
    <x v="5"/>
    <x v="6"/>
    <x v="13"/>
    <x v="4"/>
    <x v="0"/>
    <x v="0"/>
    <x v="0"/>
    <m/>
    <m/>
    <m/>
    <x v="5"/>
    <m/>
    <x v="8"/>
    <x v="1"/>
    <x v="7"/>
    <x v="3"/>
    <x v="4"/>
    <x v="2"/>
    <x v="7"/>
    <m/>
    <x v="0"/>
    <x v="2"/>
    <x v="0"/>
    <x v="2"/>
    <x v="1"/>
    <d v="2014-10-11T00:00:00"/>
    <m/>
    <x v="0"/>
    <x v="0"/>
    <s v="CyM"/>
    <n v="0"/>
    <x v="8"/>
    <x v="8"/>
    <x v="5"/>
    <x v="5"/>
    <x v="0"/>
  </r>
  <r>
    <n v="15"/>
    <m/>
    <m/>
    <m/>
    <m/>
    <x v="4"/>
    <x v="0"/>
    <x v="5"/>
    <x v="6"/>
    <x v="14"/>
    <x v="4"/>
    <x v="0"/>
    <x v="0"/>
    <x v="0"/>
    <m/>
    <m/>
    <m/>
    <x v="6"/>
    <m/>
    <x v="9"/>
    <x v="1"/>
    <x v="8"/>
    <x v="3"/>
    <x v="4"/>
    <x v="2"/>
    <x v="7"/>
    <m/>
    <x v="0"/>
    <x v="2"/>
    <x v="0"/>
    <x v="2"/>
    <x v="2"/>
    <d v="2014-10-11T00:00:00"/>
    <m/>
    <x v="0"/>
    <x v="0"/>
    <s v="10479259"/>
    <s v="0000000031"/>
    <x v="9"/>
    <x v="9"/>
    <x v="6"/>
    <x v="1"/>
    <x v="0"/>
  </r>
  <r>
    <n v="16"/>
    <m/>
    <m/>
    <m/>
    <m/>
    <x v="4"/>
    <x v="0"/>
    <x v="5"/>
    <x v="6"/>
    <x v="15"/>
    <x v="4"/>
    <x v="0"/>
    <x v="0"/>
    <x v="0"/>
    <m/>
    <m/>
    <m/>
    <x v="1"/>
    <m/>
    <x v="10"/>
    <x v="1"/>
    <x v="9"/>
    <x v="3"/>
    <x v="4"/>
    <x v="2"/>
    <x v="7"/>
    <m/>
    <x v="0"/>
    <x v="2"/>
    <x v="0"/>
    <x v="2"/>
    <x v="0"/>
    <d v="2014-10-11T00:00:00"/>
    <m/>
    <x v="0"/>
    <x v="0"/>
    <n v="40235456"/>
    <s v="0000000806"/>
    <x v="10"/>
    <x v="10"/>
    <x v="4"/>
    <x v="4"/>
    <x v="0"/>
  </r>
  <r>
    <n v="17"/>
    <m/>
    <m/>
    <m/>
    <m/>
    <x v="4"/>
    <x v="0"/>
    <x v="5"/>
    <x v="6"/>
    <x v="16"/>
    <x v="4"/>
    <x v="0"/>
    <x v="0"/>
    <x v="0"/>
    <m/>
    <m/>
    <m/>
    <x v="1"/>
    <m/>
    <x v="1"/>
    <x v="1"/>
    <x v="0"/>
    <x v="3"/>
    <x v="4"/>
    <x v="2"/>
    <x v="7"/>
    <m/>
    <x v="1"/>
    <x v="2"/>
    <x v="0"/>
    <x v="0"/>
    <x v="1"/>
    <d v="2014-10-13T00:00:00"/>
    <m/>
    <x v="0"/>
    <x v="1"/>
    <s v="Sistemas"/>
    <n v="0"/>
    <x v="2"/>
    <x v="2"/>
    <x v="0"/>
    <x v="0"/>
    <x v="5"/>
  </r>
  <r>
    <n v="18"/>
    <m/>
    <m/>
    <m/>
    <m/>
    <x v="5"/>
    <x v="0"/>
    <x v="4"/>
    <x v="7"/>
    <x v="17"/>
    <x v="1"/>
    <x v="0"/>
    <x v="0"/>
    <x v="0"/>
    <m/>
    <m/>
    <m/>
    <x v="1"/>
    <s v="60-D9-A0-20-3A7F"/>
    <x v="1"/>
    <x v="1"/>
    <x v="0"/>
    <x v="2"/>
    <x v="1"/>
    <x v="1"/>
    <x v="8"/>
    <m/>
    <x v="5"/>
    <x v="5"/>
    <x v="2"/>
    <x v="3"/>
    <x v="1"/>
    <m/>
    <m/>
    <x v="0"/>
    <x v="3"/>
    <s v="Sistemas"/>
    <n v="0"/>
    <x v="2"/>
    <x v="2"/>
    <x v="0"/>
    <x v="0"/>
    <x v="6"/>
  </r>
  <r>
    <n v="19"/>
    <m/>
    <m/>
    <m/>
    <m/>
    <x v="4"/>
    <x v="0"/>
    <x v="6"/>
    <x v="8"/>
    <x v="18"/>
    <x v="1"/>
    <x v="0"/>
    <x v="0"/>
    <x v="0"/>
    <m/>
    <m/>
    <m/>
    <x v="1"/>
    <m/>
    <x v="1"/>
    <x v="1"/>
    <x v="0"/>
    <x v="4"/>
    <x v="5"/>
    <x v="2"/>
    <x v="3"/>
    <m/>
    <x v="0"/>
    <x v="2"/>
    <x v="0"/>
    <x v="0"/>
    <x v="1"/>
    <m/>
    <m/>
    <x v="0"/>
    <x v="1"/>
    <s v="Sistemas"/>
    <n v="0"/>
    <x v="2"/>
    <x v="2"/>
    <x v="0"/>
    <x v="0"/>
    <x v="7"/>
  </r>
  <r>
    <n v="20"/>
    <m/>
    <m/>
    <m/>
    <m/>
    <x v="4"/>
    <x v="0"/>
    <x v="6"/>
    <x v="8"/>
    <x v="19"/>
    <x v="1"/>
    <x v="0"/>
    <x v="0"/>
    <x v="0"/>
    <m/>
    <m/>
    <m/>
    <x v="1"/>
    <m/>
    <x v="1"/>
    <x v="1"/>
    <x v="0"/>
    <x v="4"/>
    <x v="5"/>
    <x v="2"/>
    <x v="1"/>
    <m/>
    <x v="1"/>
    <x v="2"/>
    <x v="1"/>
    <x v="1"/>
    <x v="1"/>
    <m/>
    <m/>
    <x v="0"/>
    <x v="2"/>
    <s v="Sistemas"/>
    <n v="0"/>
    <x v="2"/>
    <x v="2"/>
    <x v="0"/>
    <x v="0"/>
    <x v="0"/>
  </r>
  <r>
    <n v="21"/>
    <m/>
    <m/>
    <m/>
    <m/>
    <x v="4"/>
    <x v="0"/>
    <x v="4"/>
    <x v="5"/>
    <x v="20"/>
    <x v="3"/>
    <x v="0"/>
    <x v="0"/>
    <x v="0"/>
    <m/>
    <m/>
    <m/>
    <x v="7"/>
    <s v="9C-67-D6-78-99-A2"/>
    <x v="1"/>
    <x v="1"/>
    <x v="0"/>
    <x v="0"/>
    <x v="3"/>
    <x v="2"/>
    <x v="9"/>
    <m/>
    <x v="4"/>
    <x v="2"/>
    <x v="0"/>
    <x v="0"/>
    <x v="1"/>
    <m/>
    <m/>
    <x v="0"/>
    <x v="1"/>
    <s v="Sistemas"/>
    <n v="0"/>
    <x v="2"/>
    <x v="2"/>
    <x v="0"/>
    <x v="0"/>
    <x v="8"/>
  </r>
  <r>
    <n v="22"/>
    <m/>
    <m/>
    <m/>
    <m/>
    <x v="4"/>
    <x v="0"/>
    <x v="3"/>
    <x v="4"/>
    <x v="21"/>
    <x v="2"/>
    <x v="0"/>
    <x v="0"/>
    <x v="0"/>
    <m/>
    <m/>
    <m/>
    <x v="1"/>
    <m/>
    <x v="1"/>
    <x v="1"/>
    <x v="0"/>
    <x v="3"/>
    <x v="2"/>
    <x v="2"/>
    <x v="1"/>
    <m/>
    <x v="1"/>
    <x v="2"/>
    <x v="1"/>
    <x v="3"/>
    <x v="1"/>
    <m/>
    <m/>
    <x v="0"/>
    <x v="4"/>
    <s v="Sistemas"/>
    <n v="0"/>
    <x v="2"/>
    <x v="2"/>
    <x v="0"/>
    <x v="0"/>
    <x v="0"/>
  </r>
  <r>
    <n v="23"/>
    <m/>
    <m/>
    <m/>
    <m/>
    <x v="4"/>
    <x v="0"/>
    <x v="4"/>
    <x v="5"/>
    <x v="22"/>
    <x v="3"/>
    <x v="0"/>
    <x v="0"/>
    <x v="0"/>
    <m/>
    <m/>
    <m/>
    <x v="8"/>
    <m/>
    <x v="11"/>
    <x v="1"/>
    <x v="10"/>
    <x v="0"/>
    <x v="3"/>
    <x v="2"/>
    <x v="5"/>
    <m/>
    <x v="4"/>
    <x v="2"/>
    <x v="0"/>
    <x v="2"/>
    <x v="0"/>
    <m/>
    <m/>
    <x v="0"/>
    <x v="0"/>
    <s v="Front Desk 1"/>
    <s v="Front Desk"/>
    <x v="11"/>
    <x v="4"/>
    <x v="3"/>
    <x v="3"/>
    <x v="2"/>
  </r>
  <r>
    <n v="24"/>
    <m/>
    <m/>
    <m/>
    <m/>
    <x v="1"/>
    <x v="0"/>
    <x v="5"/>
    <x v="9"/>
    <x v="23"/>
    <x v="1"/>
    <x v="0"/>
    <x v="0"/>
    <x v="0"/>
    <m/>
    <m/>
    <m/>
    <x v="1"/>
    <m/>
    <x v="1"/>
    <x v="1"/>
    <x v="0"/>
    <x v="1"/>
    <x v="1"/>
    <x v="1"/>
    <x v="1"/>
    <m/>
    <x v="1"/>
    <x v="6"/>
    <x v="1"/>
    <x v="1"/>
    <x v="1"/>
    <m/>
    <m/>
    <x v="0"/>
    <x v="0"/>
    <s v="09692690"/>
    <s v="0000000269"/>
    <x v="12"/>
    <x v="11"/>
    <x v="7"/>
    <x v="1"/>
    <x v="0"/>
  </r>
  <r>
    <n v="25"/>
    <m/>
    <m/>
    <m/>
    <m/>
    <x v="1"/>
    <x v="0"/>
    <x v="5"/>
    <x v="9"/>
    <x v="24"/>
    <x v="1"/>
    <x v="0"/>
    <x v="0"/>
    <x v="0"/>
    <m/>
    <m/>
    <m/>
    <x v="1"/>
    <m/>
    <x v="1"/>
    <x v="1"/>
    <x v="0"/>
    <x v="1"/>
    <x v="1"/>
    <x v="1"/>
    <x v="1"/>
    <m/>
    <x v="1"/>
    <x v="6"/>
    <x v="1"/>
    <x v="1"/>
    <x v="1"/>
    <m/>
    <m/>
    <x v="0"/>
    <x v="1"/>
    <s v="Sistemas"/>
    <n v="0"/>
    <x v="2"/>
    <x v="2"/>
    <x v="0"/>
    <x v="0"/>
    <x v="0"/>
  </r>
  <r>
    <n v="26"/>
    <m/>
    <m/>
    <m/>
    <m/>
    <x v="1"/>
    <x v="0"/>
    <x v="1"/>
    <x v="10"/>
    <x v="25"/>
    <x v="1"/>
    <x v="0"/>
    <x v="0"/>
    <x v="0"/>
    <m/>
    <m/>
    <m/>
    <x v="1"/>
    <m/>
    <x v="1"/>
    <x v="1"/>
    <x v="0"/>
    <x v="1"/>
    <x v="1"/>
    <x v="1"/>
    <x v="1"/>
    <m/>
    <x v="1"/>
    <x v="7"/>
    <x v="1"/>
    <x v="1"/>
    <x v="1"/>
    <m/>
    <m/>
    <x v="0"/>
    <x v="1"/>
    <s v="Sistemas"/>
    <n v="0"/>
    <x v="2"/>
    <x v="2"/>
    <x v="0"/>
    <x v="0"/>
    <x v="0"/>
  </r>
  <r>
    <n v="27"/>
    <m/>
    <m/>
    <m/>
    <m/>
    <x v="4"/>
    <x v="0"/>
    <x v="0"/>
    <x v="11"/>
    <x v="26"/>
    <x v="1"/>
    <x v="0"/>
    <x v="0"/>
    <x v="0"/>
    <m/>
    <m/>
    <m/>
    <x v="1"/>
    <m/>
    <x v="1"/>
    <x v="1"/>
    <x v="0"/>
    <x v="3"/>
    <x v="6"/>
    <x v="2"/>
    <x v="7"/>
    <m/>
    <x v="0"/>
    <x v="2"/>
    <x v="0"/>
    <x v="2"/>
    <x v="1"/>
    <m/>
    <m/>
    <x v="0"/>
    <x v="1"/>
    <s v="Sistemas"/>
    <n v="0"/>
    <x v="2"/>
    <x v="2"/>
    <x v="0"/>
    <x v="0"/>
    <x v="0"/>
  </r>
  <r>
    <n v="28"/>
    <m/>
    <m/>
    <m/>
    <m/>
    <x v="6"/>
    <x v="0"/>
    <x v="7"/>
    <x v="12"/>
    <x v="27"/>
    <x v="1"/>
    <x v="0"/>
    <x v="0"/>
    <x v="0"/>
    <m/>
    <m/>
    <m/>
    <x v="9"/>
    <m/>
    <x v="12"/>
    <x v="2"/>
    <x v="0"/>
    <x v="1"/>
    <x v="1"/>
    <x v="1"/>
    <x v="1"/>
    <m/>
    <x v="1"/>
    <x v="2"/>
    <x v="1"/>
    <x v="1"/>
    <x v="1"/>
    <m/>
    <m/>
    <x v="1"/>
    <x v="0"/>
    <m/>
    <e v="#N/A"/>
    <x v="13"/>
    <x v="12"/>
    <x v="8"/>
    <x v="6"/>
    <x v="9"/>
  </r>
  <r>
    <n v="29"/>
    <m/>
    <m/>
    <m/>
    <m/>
    <x v="6"/>
    <x v="0"/>
    <x v="8"/>
    <x v="13"/>
    <x v="28"/>
    <x v="1"/>
    <x v="0"/>
    <x v="0"/>
    <x v="0"/>
    <m/>
    <m/>
    <m/>
    <x v="10"/>
    <m/>
    <x v="13"/>
    <x v="3"/>
    <x v="0"/>
    <x v="1"/>
    <x v="1"/>
    <x v="1"/>
    <x v="1"/>
    <m/>
    <x v="1"/>
    <x v="2"/>
    <x v="1"/>
    <x v="1"/>
    <x v="1"/>
    <m/>
    <m/>
    <x v="1"/>
    <x v="0"/>
    <m/>
    <e v="#N/A"/>
    <x v="13"/>
    <x v="12"/>
    <x v="8"/>
    <x v="6"/>
    <x v="10"/>
  </r>
  <r>
    <n v="30"/>
    <m/>
    <m/>
    <m/>
    <m/>
    <x v="6"/>
    <x v="0"/>
    <x v="8"/>
    <x v="14"/>
    <x v="29"/>
    <x v="1"/>
    <x v="0"/>
    <x v="0"/>
    <x v="0"/>
    <m/>
    <m/>
    <m/>
    <x v="11"/>
    <m/>
    <x v="14"/>
    <x v="4"/>
    <x v="0"/>
    <x v="1"/>
    <x v="1"/>
    <x v="1"/>
    <x v="1"/>
    <m/>
    <x v="1"/>
    <x v="2"/>
    <x v="1"/>
    <x v="1"/>
    <x v="1"/>
    <m/>
    <m/>
    <x v="1"/>
    <x v="0"/>
    <m/>
    <e v="#N/A"/>
    <x v="13"/>
    <x v="12"/>
    <x v="8"/>
    <x v="6"/>
    <x v="11"/>
  </r>
  <r>
    <n v="31"/>
    <m/>
    <m/>
    <m/>
    <m/>
    <x v="6"/>
    <x v="0"/>
    <x v="8"/>
    <x v="14"/>
    <x v="30"/>
    <x v="1"/>
    <x v="0"/>
    <x v="0"/>
    <x v="0"/>
    <m/>
    <m/>
    <m/>
    <x v="12"/>
    <m/>
    <x v="15"/>
    <x v="1"/>
    <x v="0"/>
    <x v="1"/>
    <x v="1"/>
    <x v="1"/>
    <x v="1"/>
    <m/>
    <x v="1"/>
    <x v="2"/>
    <x v="1"/>
    <x v="1"/>
    <x v="1"/>
    <m/>
    <m/>
    <x v="1"/>
    <x v="0"/>
    <m/>
    <e v="#N/A"/>
    <x v="13"/>
    <x v="12"/>
    <x v="8"/>
    <x v="6"/>
    <x v="12"/>
  </r>
  <r>
    <n v="32"/>
    <m/>
    <m/>
    <m/>
    <m/>
    <x v="6"/>
    <x v="0"/>
    <x v="8"/>
    <x v="14"/>
    <x v="31"/>
    <x v="1"/>
    <x v="0"/>
    <x v="0"/>
    <x v="0"/>
    <m/>
    <m/>
    <m/>
    <x v="13"/>
    <m/>
    <x v="16"/>
    <x v="5"/>
    <x v="0"/>
    <x v="1"/>
    <x v="1"/>
    <x v="1"/>
    <x v="1"/>
    <m/>
    <x v="1"/>
    <x v="2"/>
    <x v="1"/>
    <x v="1"/>
    <x v="1"/>
    <m/>
    <m/>
    <x v="1"/>
    <x v="0"/>
    <m/>
    <e v="#N/A"/>
    <x v="13"/>
    <x v="12"/>
    <x v="8"/>
    <x v="6"/>
    <x v="13"/>
  </r>
  <r>
    <n v="33"/>
    <m/>
    <m/>
    <m/>
    <m/>
    <x v="6"/>
    <x v="0"/>
    <x v="8"/>
    <x v="13"/>
    <x v="32"/>
    <x v="1"/>
    <x v="0"/>
    <x v="0"/>
    <x v="0"/>
    <m/>
    <m/>
    <m/>
    <x v="14"/>
    <m/>
    <x v="17"/>
    <x v="6"/>
    <x v="0"/>
    <x v="1"/>
    <x v="1"/>
    <x v="1"/>
    <x v="1"/>
    <m/>
    <x v="1"/>
    <x v="2"/>
    <x v="1"/>
    <x v="1"/>
    <x v="1"/>
    <m/>
    <m/>
    <x v="1"/>
    <x v="0"/>
    <m/>
    <e v="#N/A"/>
    <x v="13"/>
    <x v="12"/>
    <x v="8"/>
    <x v="6"/>
    <x v="14"/>
  </r>
  <r>
    <n v="34"/>
    <m/>
    <m/>
    <m/>
    <m/>
    <x v="6"/>
    <x v="0"/>
    <x v="8"/>
    <x v="13"/>
    <x v="33"/>
    <x v="1"/>
    <x v="0"/>
    <x v="0"/>
    <x v="0"/>
    <m/>
    <m/>
    <m/>
    <x v="15"/>
    <m/>
    <x v="18"/>
    <x v="7"/>
    <x v="0"/>
    <x v="1"/>
    <x v="1"/>
    <x v="1"/>
    <x v="1"/>
    <m/>
    <x v="1"/>
    <x v="2"/>
    <x v="1"/>
    <x v="1"/>
    <x v="1"/>
    <m/>
    <m/>
    <x v="1"/>
    <x v="0"/>
    <m/>
    <e v="#N/A"/>
    <x v="13"/>
    <x v="12"/>
    <x v="8"/>
    <x v="6"/>
    <x v="15"/>
  </r>
  <r>
    <n v="35"/>
    <m/>
    <m/>
    <m/>
    <m/>
    <x v="6"/>
    <x v="0"/>
    <x v="8"/>
    <x v="13"/>
    <x v="34"/>
    <x v="1"/>
    <x v="0"/>
    <x v="0"/>
    <x v="0"/>
    <m/>
    <m/>
    <m/>
    <x v="16"/>
    <m/>
    <x v="19"/>
    <x v="8"/>
    <x v="0"/>
    <x v="1"/>
    <x v="1"/>
    <x v="1"/>
    <x v="1"/>
    <m/>
    <x v="1"/>
    <x v="2"/>
    <x v="1"/>
    <x v="1"/>
    <x v="1"/>
    <m/>
    <m/>
    <x v="1"/>
    <x v="0"/>
    <m/>
    <e v="#N/A"/>
    <x v="13"/>
    <x v="12"/>
    <x v="8"/>
    <x v="6"/>
    <x v="16"/>
  </r>
  <r>
    <n v="36"/>
    <m/>
    <m/>
    <m/>
    <m/>
    <x v="6"/>
    <x v="0"/>
    <x v="7"/>
    <x v="15"/>
    <x v="35"/>
    <x v="1"/>
    <x v="0"/>
    <x v="0"/>
    <x v="0"/>
    <m/>
    <m/>
    <m/>
    <x v="1"/>
    <m/>
    <x v="20"/>
    <x v="9"/>
    <x v="0"/>
    <x v="1"/>
    <x v="1"/>
    <x v="1"/>
    <x v="1"/>
    <m/>
    <x v="1"/>
    <x v="2"/>
    <x v="1"/>
    <x v="1"/>
    <x v="1"/>
    <m/>
    <m/>
    <x v="1"/>
    <x v="0"/>
    <m/>
    <e v="#N/A"/>
    <x v="13"/>
    <x v="12"/>
    <x v="8"/>
    <x v="6"/>
    <x v="17"/>
  </r>
  <r>
    <n v="37"/>
    <m/>
    <m/>
    <m/>
    <m/>
    <x v="6"/>
    <x v="0"/>
    <x v="9"/>
    <x v="16"/>
    <x v="36"/>
    <x v="1"/>
    <x v="0"/>
    <x v="0"/>
    <x v="0"/>
    <m/>
    <m/>
    <m/>
    <x v="1"/>
    <m/>
    <x v="21"/>
    <x v="10"/>
    <x v="0"/>
    <x v="1"/>
    <x v="1"/>
    <x v="1"/>
    <x v="1"/>
    <m/>
    <x v="1"/>
    <x v="2"/>
    <x v="1"/>
    <x v="1"/>
    <x v="1"/>
    <m/>
    <m/>
    <x v="1"/>
    <x v="0"/>
    <m/>
    <e v="#N/A"/>
    <x v="13"/>
    <x v="12"/>
    <x v="8"/>
    <x v="6"/>
    <x v="18"/>
  </r>
  <r>
    <n v="38"/>
    <m/>
    <m/>
    <m/>
    <m/>
    <x v="6"/>
    <x v="0"/>
    <x v="8"/>
    <x v="13"/>
    <x v="37"/>
    <x v="1"/>
    <x v="0"/>
    <x v="0"/>
    <x v="0"/>
    <m/>
    <m/>
    <m/>
    <x v="17"/>
    <m/>
    <x v="22"/>
    <x v="11"/>
    <x v="0"/>
    <x v="1"/>
    <x v="1"/>
    <x v="1"/>
    <x v="1"/>
    <m/>
    <x v="1"/>
    <x v="2"/>
    <x v="1"/>
    <x v="1"/>
    <x v="1"/>
    <m/>
    <m/>
    <x v="1"/>
    <x v="0"/>
    <m/>
    <e v="#N/A"/>
    <x v="13"/>
    <x v="12"/>
    <x v="8"/>
    <x v="6"/>
    <x v="19"/>
  </r>
  <r>
    <n v="39"/>
    <m/>
    <m/>
    <m/>
    <m/>
    <x v="6"/>
    <x v="0"/>
    <x v="9"/>
    <x v="17"/>
    <x v="38"/>
    <x v="1"/>
    <x v="0"/>
    <x v="0"/>
    <x v="0"/>
    <m/>
    <m/>
    <m/>
    <x v="1"/>
    <m/>
    <x v="23"/>
    <x v="10"/>
    <x v="0"/>
    <x v="1"/>
    <x v="1"/>
    <x v="1"/>
    <x v="1"/>
    <m/>
    <x v="1"/>
    <x v="2"/>
    <x v="1"/>
    <x v="1"/>
    <x v="1"/>
    <m/>
    <m/>
    <x v="1"/>
    <x v="0"/>
    <m/>
    <e v="#N/A"/>
    <x v="13"/>
    <x v="12"/>
    <x v="8"/>
    <x v="6"/>
    <x v="20"/>
  </r>
  <r>
    <n v="40"/>
    <m/>
    <m/>
    <m/>
    <m/>
    <x v="6"/>
    <x v="0"/>
    <x v="9"/>
    <x v="17"/>
    <x v="39"/>
    <x v="1"/>
    <x v="0"/>
    <x v="0"/>
    <x v="0"/>
    <m/>
    <m/>
    <m/>
    <x v="1"/>
    <m/>
    <x v="24"/>
    <x v="10"/>
    <x v="0"/>
    <x v="1"/>
    <x v="1"/>
    <x v="1"/>
    <x v="1"/>
    <m/>
    <x v="1"/>
    <x v="2"/>
    <x v="1"/>
    <x v="1"/>
    <x v="1"/>
    <m/>
    <m/>
    <x v="1"/>
    <x v="0"/>
    <m/>
    <e v="#N/A"/>
    <x v="13"/>
    <x v="12"/>
    <x v="8"/>
    <x v="6"/>
    <x v="20"/>
  </r>
  <r>
    <n v="41"/>
    <m/>
    <m/>
    <m/>
    <m/>
    <x v="6"/>
    <x v="0"/>
    <x v="8"/>
    <x v="14"/>
    <x v="40"/>
    <x v="1"/>
    <x v="0"/>
    <x v="0"/>
    <x v="0"/>
    <m/>
    <m/>
    <m/>
    <x v="18"/>
    <m/>
    <x v="25"/>
    <x v="12"/>
    <x v="0"/>
    <x v="1"/>
    <x v="1"/>
    <x v="1"/>
    <x v="1"/>
    <m/>
    <x v="1"/>
    <x v="2"/>
    <x v="1"/>
    <x v="1"/>
    <x v="1"/>
    <m/>
    <m/>
    <x v="1"/>
    <x v="0"/>
    <m/>
    <e v="#N/A"/>
    <x v="13"/>
    <x v="12"/>
    <x v="8"/>
    <x v="6"/>
    <x v="21"/>
  </r>
  <r>
    <n v="42"/>
    <m/>
    <m/>
    <m/>
    <m/>
    <x v="6"/>
    <x v="0"/>
    <x v="8"/>
    <x v="13"/>
    <x v="41"/>
    <x v="1"/>
    <x v="0"/>
    <x v="0"/>
    <x v="0"/>
    <m/>
    <m/>
    <m/>
    <x v="19"/>
    <m/>
    <x v="26"/>
    <x v="1"/>
    <x v="0"/>
    <x v="1"/>
    <x v="1"/>
    <x v="1"/>
    <x v="1"/>
    <m/>
    <x v="1"/>
    <x v="2"/>
    <x v="1"/>
    <x v="1"/>
    <x v="1"/>
    <m/>
    <m/>
    <x v="1"/>
    <x v="0"/>
    <m/>
    <e v="#N/A"/>
    <x v="13"/>
    <x v="12"/>
    <x v="8"/>
    <x v="6"/>
    <x v="22"/>
  </r>
  <r>
    <n v="43"/>
    <m/>
    <m/>
    <m/>
    <m/>
    <x v="6"/>
    <x v="0"/>
    <x v="8"/>
    <x v="14"/>
    <x v="42"/>
    <x v="1"/>
    <x v="0"/>
    <x v="0"/>
    <x v="0"/>
    <m/>
    <m/>
    <m/>
    <x v="20"/>
    <m/>
    <x v="27"/>
    <x v="13"/>
    <x v="0"/>
    <x v="1"/>
    <x v="1"/>
    <x v="1"/>
    <x v="1"/>
    <m/>
    <x v="1"/>
    <x v="2"/>
    <x v="1"/>
    <x v="1"/>
    <x v="1"/>
    <m/>
    <m/>
    <x v="1"/>
    <x v="0"/>
    <m/>
    <e v="#N/A"/>
    <x v="13"/>
    <x v="12"/>
    <x v="8"/>
    <x v="6"/>
    <x v="23"/>
  </r>
  <r>
    <n v="44"/>
    <m/>
    <m/>
    <m/>
    <m/>
    <x v="6"/>
    <x v="0"/>
    <x v="8"/>
    <x v="13"/>
    <x v="43"/>
    <x v="1"/>
    <x v="0"/>
    <x v="0"/>
    <x v="0"/>
    <m/>
    <m/>
    <m/>
    <x v="21"/>
    <m/>
    <x v="28"/>
    <x v="14"/>
    <x v="0"/>
    <x v="1"/>
    <x v="1"/>
    <x v="1"/>
    <x v="1"/>
    <m/>
    <x v="1"/>
    <x v="2"/>
    <x v="1"/>
    <x v="1"/>
    <x v="1"/>
    <m/>
    <m/>
    <x v="1"/>
    <x v="0"/>
    <m/>
    <e v="#N/A"/>
    <x v="13"/>
    <x v="12"/>
    <x v="8"/>
    <x v="6"/>
    <x v="24"/>
  </r>
  <r>
    <n v="45"/>
    <m/>
    <m/>
    <m/>
    <m/>
    <x v="6"/>
    <x v="0"/>
    <x v="8"/>
    <x v="13"/>
    <x v="44"/>
    <x v="1"/>
    <x v="0"/>
    <x v="0"/>
    <x v="0"/>
    <m/>
    <s v=" "/>
    <m/>
    <x v="22"/>
    <m/>
    <x v="29"/>
    <x v="15"/>
    <x v="0"/>
    <x v="1"/>
    <x v="1"/>
    <x v="1"/>
    <x v="1"/>
    <m/>
    <x v="1"/>
    <x v="2"/>
    <x v="1"/>
    <x v="1"/>
    <x v="1"/>
    <m/>
    <m/>
    <x v="1"/>
    <x v="0"/>
    <m/>
    <e v="#N/A"/>
    <x v="13"/>
    <x v="12"/>
    <x v="8"/>
    <x v="6"/>
    <x v="25"/>
  </r>
  <r>
    <n v="46"/>
    <m/>
    <m/>
    <m/>
    <m/>
    <x v="6"/>
    <x v="0"/>
    <x v="8"/>
    <x v="13"/>
    <x v="45"/>
    <x v="1"/>
    <x v="0"/>
    <x v="0"/>
    <x v="0"/>
    <m/>
    <m/>
    <m/>
    <x v="23"/>
    <m/>
    <x v="30"/>
    <x v="16"/>
    <x v="0"/>
    <x v="1"/>
    <x v="1"/>
    <x v="1"/>
    <x v="1"/>
    <m/>
    <x v="1"/>
    <x v="2"/>
    <x v="1"/>
    <x v="1"/>
    <x v="1"/>
    <m/>
    <m/>
    <x v="1"/>
    <x v="0"/>
    <m/>
    <e v="#N/A"/>
    <x v="13"/>
    <x v="12"/>
    <x v="8"/>
    <x v="6"/>
    <x v="26"/>
  </r>
  <r>
    <n v="47"/>
    <m/>
    <m/>
    <m/>
    <m/>
    <x v="6"/>
    <x v="0"/>
    <x v="8"/>
    <x v="14"/>
    <x v="46"/>
    <x v="1"/>
    <x v="0"/>
    <x v="0"/>
    <x v="0"/>
    <m/>
    <m/>
    <m/>
    <x v="24"/>
    <m/>
    <x v="31"/>
    <x v="17"/>
    <x v="0"/>
    <x v="1"/>
    <x v="1"/>
    <x v="1"/>
    <x v="1"/>
    <m/>
    <x v="1"/>
    <x v="2"/>
    <x v="1"/>
    <x v="1"/>
    <x v="1"/>
    <m/>
    <m/>
    <x v="1"/>
    <x v="0"/>
    <m/>
    <e v="#N/A"/>
    <x v="13"/>
    <x v="12"/>
    <x v="8"/>
    <x v="6"/>
    <x v="27"/>
  </r>
  <r>
    <n v="48"/>
    <m/>
    <m/>
    <m/>
    <m/>
    <x v="6"/>
    <x v="0"/>
    <x v="7"/>
    <x v="15"/>
    <x v="47"/>
    <x v="1"/>
    <x v="0"/>
    <x v="0"/>
    <x v="0"/>
    <m/>
    <m/>
    <m/>
    <x v="1"/>
    <m/>
    <x v="32"/>
    <x v="10"/>
    <x v="0"/>
    <x v="1"/>
    <x v="1"/>
    <x v="1"/>
    <x v="1"/>
    <m/>
    <x v="1"/>
    <x v="2"/>
    <x v="1"/>
    <x v="1"/>
    <x v="1"/>
    <m/>
    <m/>
    <x v="1"/>
    <x v="0"/>
    <m/>
    <e v="#N/A"/>
    <x v="13"/>
    <x v="12"/>
    <x v="8"/>
    <x v="6"/>
    <x v="28"/>
  </r>
  <r>
    <n v="49"/>
    <m/>
    <m/>
    <m/>
    <m/>
    <x v="4"/>
    <x v="0"/>
    <x v="5"/>
    <x v="6"/>
    <x v="48"/>
    <x v="4"/>
    <x v="0"/>
    <x v="0"/>
    <x v="0"/>
    <m/>
    <m/>
    <m/>
    <x v="25"/>
    <m/>
    <x v="33"/>
    <x v="1"/>
    <x v="11"/>
    <x v="3"/>
    <x v="6"/>
    <x v="2"/>
    <x v="7"/>
    <m/>
    <x v="0"/>
    <x v="2"/>
    <x v="0"/>
    <x v="2"/>
    <x v="0"/>
    <m/>
    <m/>
    <x v="0"/>
    <x v="0"/>
    <s v="09692690"/>
    <s v="0000000269"/>
    <x v="12"/>
    <x v="11"/>
    <x v="7"/>
    <x v="1"/>
    <x v="0"/>
  </r>
  <r>
    <n v="50"/>
    <m/>
    <m/>
    <m/>
    <m/>
    <x v="4"/>
    <x v="0"/>
    <x v="5"/>
    <x v="6"/>
    <x v="49"/>
    <x v="4"/>
    <x v="0"/>
    <x v="0"/>
    <x v="0"/>
    <m/>
    <m/>
    <m/>
    <x v="26"/>
    <m/>
    <x v="34"/>
    <x v="18"/>
    <x v="12"/>
    <x v="3"/>
    <x v="6"/>
    <x v="2"/>
    <x v="6"/>
    <m/>
    <x v="0"/>
    <x v="2"/>
    <x v="0"/>
    <x v="1"/>
    <x v="2"/>
    <m/>
    <m/>
    <x v="0"/>
    <x v="0"/>
    <s v="46815301"/>
    <s v="0000001791"/>
    <x v="14"/>
    <x v="13"/>
    <x v="9"/>
    <x v="7"/>
    <x v="0"/>
  </r>
  <r>
    <n v="51"/>
    <m/>
    <m/>
    <m/>
    <m/>
    <x v="4"/>
    <x v="0"/>
    <x v="0"/>
    <x v="18"/>
    <x v="50"/>
    <x v="5"/>
    <x v="0"/>
    <x v="0"/>
    <x v="0"/>
    <m/>
    <m/>
    <m/>
    <x v="27"/>
    <m/>
    <x v="1"/>
    <x v="19"/>
    <x v="0"/>
    <x v="3"/>
    <x v="6"/>
    <x v="2"/>
    <x v="9"/>
    <m/>
    <x v="6"/>
    <x v="2"/>
    <x v="0"/>
    <x v="1"/>
    <x v="0"/>
    <m/>
    <m/>
    <x v="0"/>
    <x v="0"/>
    <s v="02856974"/>
    <s v="0000001501"/>
    <x v="15"/>
    <x v="14"/>
    <x v="0"/>
    <x v="0"/>
    <x v="0"/>
  </r>
  <r>
    <n v="52"/>
    <m/>
    <m/>
    <m/>
    <m/>
    <x v="1"/>
    <x v="0"/>
    <x v="5"/>
    <x v="9"/>
    <x v="51"/>
    <x v="1"/>
    <x v="0"/>
    <x v="0"/>
    <x v="0"/>
    <m/>
    <m/>
    <m/>
    <x v="1"/>
    <m/>
    <x v="1"/>
    <x v="1"/>
    <x v="0"/>
    <x v="1"/>
    <x v="1"/>
    <x v="1"/>
    <x v="1"/>
    <m/>
    <x v="1"/>
    <x v="6"/>
    <x v="1"/>
    <x v="1"/>
    <x v="1"/>
    <m/>
    <m/>
    <x v="0"/>
    <x v="5"/>
    <m/>
    <e v="#N/A"/>
    <x v="13"/>
    <x v="12"/>
    <x v="8"/>
    <x v="6"/>
    <x v="0"/>
  </r>
  <r>
    <n v="53"/>
    <m/>
    <m/>
    <m/>
    <m/>
    <x v="4"/>
    <x v="0"/>
    <x v="5"/>
    <x v="6"/>
    <x v="52"/>
    <x v="4"/>
    <x v="0"/>
    <x v="0"/>
    <x v="0"/>
    <m/>
    <m/>
    <m/>
    <x v="28"/>
    <m/>
    <x v="35"/>
    <x v="1"/>
    <x v="13"/>
    <x v="3"/>
    <x v="6"/>
    <x v="2"/>
    <x v="7"/>
    <m/>
    <x v="0"/>
    <x v="2"/>
    <x v="0"/>
    <x v="2"/>
    <x v="0"/>
    <m/>
    <m/>
    <x v="0"/>
    <x v="0"/>
    <s v="75521197"/>
    <s v="0000001580"/>
    <x v="16"/>
    <x v="15"/>
    <x v="6"/>
    <x v="1"/>
    <x v="0"/>
  </r>
  <r>
    <n v="54"/>
    <m/>
    <m/>
    <m/>
    <m/>
    <x v="4"/>
    <x v="0"/>
    <x v="5"/>
    <x v="6"/>
    <x v="53"/>
    <x v="4"/>
    <x v="0"/>
    <x v="0"/>
    <x v="0"/>
    <m/>
    <m/>
    <m/>
    <x v="29"/>
    <m/>
    <x v="36"/>
    <x v="1"/>
    <x v="14"/>
    <x v="3"/>
    <x v="6"/>
    <x v="2"/>
    <x v="7"/>
    <m/>
    <x v="0"/>
    <x v="2"/>
    <x v="0"/>
    <x v="2"/>
    <x v="0"/>
    <m/>
    <m/>
    <x v="0"/>
    <x v="0"/>
    <s v="46405695"/>
    <s v="0000001780"/>
    <x v="17"/>
    <x v="16"/>
    <x v="4"/>
    <x v="4"/>
    <x v="0"/>
  </r>
  <r>
    <n v="55"/>
    <m/>
    <m/>
    <m/>
    <m/>
    <x v="1"/>
    <x v="0"/>
    <x v="5"/>
    <x v="9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0"/>
    <x v="0"/>
    <n v="41093999"/>
    <s v="0000001737"/>
    <x v="18"/>
    <x v="16"/>
    <x v="4"/>
    <x v="4"/>
    <x v="0"/>
  </r>
  <r>
    <n v="56"/>
    <m/>
    <m/>
    <m/>
    <m/>
    <x v="4"/>
    <x v="0"/>
    <x v="5"/>
    <x v="6"/>
    <x v="54"/>
    <x v="4"/>
    <x v="0"/>
    <x v="0"/>
    <x v="0"/>
    <m/>
    <m/>
    <m/>
    <x v="30"/>
    <m/>
    <x v="37"/>
    <x v="1"/>
    <x v="15"/>
    <x v="3"/>
    <x v="6"/>
    <x v="2"/>
    <x v="6"/>
    <m/>
    <x v="0"/>
    <x v="2"/>
    <x v="0"/>
    <x v="2"/>
    <x v="2"/>
    <m/>
    <m/>
    <x v="0"/>
    <x v="0"/>
    <s v="75438114"/>
    <s v="0000P00761"/>
    <x v="19"/>
    <x v="17"/>
    <x v="9"/>
    <x v="7"/>
    <x v="0"/>
  </r>
  <r>
    <n v="57"/>
    <m/>
    <m/>
    <m/>
    <m/>
    <x v="4"/>
    <x v="0"/>
    <x v="5"/>
    <x v="6"/>
    <x v="55"/>
    <x v="4"/>
    <x v="0"/>
    <x v="0"/>
    <x v="0"/>
    <m/>
    <m/>
    <m/>
    <x v="31"/>
    <m/>
    <x v="38"/>
    <x v="20"/>
    <x v="16"/>
    <x v="3"/>
    <x v="6"/>
    <x v="2"/>
    <x v="7"/>
    <m/>
    <x v="0"/>
    <x v="2"/>
    <x v="0"/>
    <x v="2"/>
    <x v="0"/>
    <m/>
    <m/>
    <x v="0"/>
    <x v="0"/>
    <s v="40263172"/>
    <s v="0000000868"/>
    <x v="20"/>
    <x v="18"/>
    <x v="10"/>
    <x v="4"/>
    <x v="0"/>
  </r>
  <r>
    <n v="58"/>
    <m/>
    <m/>
    <m/>
    <m/>
    <x v="4"/>
    <x v="0"/>
    <x v="5"/>
    <x v="6"/>
    <x v="56"/>
    <x v="4"/>
    <x v="0"/>
    <x v="0"/>
    <x v="0"/>
    <m/>
    <m/>
    <m/>
    <x v="32"/>
    <m/>
    <x v="39"/>
    <x v="21"/>
    <x v="0"/>
    <x v="3"/>
    <x v="6"/>
    <x v="2"/>
    <x v="7"/>
    <m/>
    <x v="0"/>
    <x v="2"/>
    <x v="0"/>
    <x v="2"/>
    <x v="0"/>
    <m/>
    <m/>
    <x v="0"/>
    <x v="0"/>
    <n v="41531474"/>
    <s v="0000F00050"/>
    <x v="21"/>
    <x v="19"/>
    <x v="6"/>
    <x v="1"/>
    <x v="0"/>
  </r>
  <r>
    <n v="59"/>
    <m/>
    <m/>
    <m/>
    <m/>
    <x v="1"/>
    <x v="0"/>
    <x v="5"/>
    <x v="9"/>
    <x v="57"/>
    <x v="1"/>
    <x v="0"/>
    <x v="0"/>
    <x v="0"/>
    <m/>
    <m/>
    <m/>
    <x v="1"/>
    <m/>
    <x v="1"/>
    <x v="1"/>
    <x v="0"/>
    <x v="1"/>
    <x v="1"/>
    <x v="1"/>
    <x v="1"/>
    <m/>
    <x v="1"/>
    <x v="6"/>
    <x v="1"/>
    <x v="1"/>
    <x v="1"/>
    <m/>
    <m/>
    <x v="0"/>
    <x v="0"/>
    <n v="40235456"/>
    <s v="0000000806"/>
    <x v="10"/>
    <x v="10"/>
    <x v="4"/>
    <x v="4"/>
    <x v="0"/>
  </r>
  <r>
    <n v="60"/>
    <m/>
    <m/>
    <m/>
    <m/>
    <x v="1"/>
    <x v="0"/>
    <x v="5"/>
    <x v="9"/>
    <x v="58"/>
    <x v="1"/>
    <x v="0"/>
    <x v="0"/>
    <x v="0"/>
    <m/>
    <m/>
    <m/>
    <x v="1"/>
    <m/>
    <x v="1"/>
    <x v="1"/>
    <x v="0"/>
    <x v="1"/>
    <x v="1"/>
    <x v="1"/>
    <x v="1"/>
    <m/>
    <x v="1"/>
    <x v="6"/>
    <x v="1"/>
    <x v="1"/>
    <x v="1"/>
    <m/>
    <m/>
    <x v="0"/>
    <x v="1"/>
    <s v="Sistemas"/>
    <n v="0"/>
    <x v="2"/>
    <x v="2"/>
    <x v="0"/>
    <x v="0"/>
    <x v="29"/>
  </r>
  <r>
    <n v="61"/>
    <m/>
    <m/>
    <m/>
    <m/>
    <x v="4"/>
    <x v="0"/>
    <x v="5"/>
    <x v="6"/>
    <x v="59"/>
    <x v="4"/>
    <x v="0"/>
    <x v="0"/>
    <x v="0"/>
    <m/>
    <m/>
    <m/>
    <x v="33"/>
    <m/>
    <x v="40"/>
    <x v="22"/>
    <x v="17"/>
    <x v="3"/>
    <x v="6"/>
    <x v="2"/>
    <x v="7"/>
    <m/>
    <x v="0"/>
    <x v="2"/>
    <x v="0"/>
    <x v="1"/>
    <x v="2"/>
    <m/>
    <m/>
    <x v="0"/>
    <x v="0"/>
    <s v="46690955"/>
    <s v="0000001713"/>
    <x v="22"/>
    <x v="20"/>
    <x v="2"/>
    <x v="2"/>
    <x v="0"/>
  </r>
  <r>
    <n v="62"/>
    <m/>
    <m/>
    <m/>
    <m/>
    <x v="4"/>
    <x v="0"/>
    <x v="5"/>
    <x v="6"/>
    <x v="60"/>
    <x v="4"/>
    <x v="0"/>
    <x v="0"/>
    <x v="0"/>
    <m/>
    <m/>
    <m/>
    <x v="34"/>
    <m/>
    <x v="41"/>
    <x v="23"/>
    <x v="18"/>
    <x v="3"/>
    <x v="6"/>
    <x v="2"/>
    <x v="7"/>
    <m/>
    <x v="0"/>
    <x v="2"/>
    <x v="0"/>
    <x v="2"/>
    <x v="0"/>
    <m/>
    <m/>
    <x v="0"/>
    <x v="0"/>
    <s v="47156230"/>
    <s v="0000001236"/>
    <x v="23"/>
    <x v="21"/>
    <x v="11"/>
    <x v="8"/>
    <x v="0"/>
  </r>
  <r>
    <n v="63"/>
    <m/>
    <m/>
    <m/>
    <m/>
    <x v="4"/>
    <x v="0"/>
    <x v="5"/>
    <x v="6"/>
    <x v="61"/>
    <x v="4"/>
    <x v="0"/>
    <x v="0"/>
    <x v="0"/>
    <m/>
    <m/>
    <m/>
    <x v="35"/>
    <m/>
    <x v="38"/>
    <x v="1"/>
    <x v="19"/>
    <x v="3"/>
    <x v="6"/>
    <x v="2"/>
    <x v="7"/>
    <m/>
    <x v="0"/>
    <x v="2"/>
    <x v="0"/>
    <x v="1"/>
    <x v="2"/>
    <m/>
    <m/>
    <x v="0"/>
    <x v="0"/>
    <s v="74767236"/>
    <s v="0000001760"/>
    <x v="24"/>
    <x v="22"/>
    <x v="12"/>
    <x v="8"/>
    <x v="0"/>
  </r>
  <r>
    <n v="64"/>
    <m/>
    <m/>
    <m/>
    <m/>
    <x v="4"/>
    <x v="0"/>
    <x v="5"/>
    <x v="6"/>
    <x v="62"/>
    <x v="4"/>
    <x v="0"/>
    <x v="0"/>
    <x v="0"/>
    <m/>
    <m/>
    <m/>
    <x v="36"/>
    <m/>
    <x v="42"/>
    <x v="24"/>
    <x v="20"/>
    <x v="3"/>
    <x v="6"/>
    <x v="2"/>
    <x v="3"/>
    <m/>
    <x v="7"/>
    <x v="2"/>
    <x v="3"/>
    <x v="1"/>
    <x v="0"/>
    <m/>
    <m/>
    <x v="0"/>
    <x v="0"/>
    <s v="ACTSYS"/>
    <n v="0"/>
    <x v="25"/>
    <x v="23"/>
    <x v="2"/>
    <x v="2"/>
    <x v="0"/>
  </r>
  <r>
    <n v="65"/>
    <m/>
    <m/>
    <m/>
    <m/>
    <x v="4"/>
    <x v="0"/>
    <x v="5"/>
    <x v="6"/>
    <x v="63"/>
    <x v="4"/>
    <x v="0"/>
    <x v="0"/>
    <x v="0"/>
    <m/>
    <m/>
    <m/>
    <x v="37"/>
    <m/>
    <x v="43"/>
    <x v="25"/>
    <x v="21"/>
    <x v="3"/>
    <x v="6"/>
    <x v="2"/>
    <x v="7"/>
    <m/>
    <x v="0"/>
    <x v="2"/>
    <x v="0"/>
    <x v="1"/>
    <x v="0"/>
    <m/>
    <m/>
    <x v="0"/>
    <x v="0"/>
    <s v="09649733"/>
    <s v="0000000037"/>
    <x v="26"/>
    <x v="24"/>
    <x v="13"/>
    <x v="9"/>
    <x v="0"/>
  </r>
  <r>
    <n v="66"/>
    <m/>
    <m/>
    <m/>
    <m/>
    <x v="4"/>
    <x v="0"/>
    <x v="5"/>
    <x v="19"/>
    <x v="64"/>
    <x v="6"/>
    <x v="0"/>
    <x v="0"/>
    <x v="0"/>
    <m/>
    <m/>
    <m/>
    <x v="38"/>
    <m/>
    <x v="10"/>
    <x v="26"/>
    <x v="22"/>
    <x v="0"/>
    <x v="7"/>
    <x v="0"/>
    <x v="5"/>
    <m/>
    <x v="4"/>
    <x v="2"/>
    <x v="0"/>
    <x v="2"/>
    <x v="0"/>
    <m/>
    <m/>
    <x v="0"/>
    <x v="0"/>
    <s v="47840820"/>
    <s v="0000001708"/>
    <x v="27"/>
    <x v="25"/>
    <x v="14"/>
    <x v="4"/>
    <x v="0"/>
  </r>
  <r>
    <n v="67"/>
    <m/>
    <m/>
    <m/>
    <m/>
    <x v="4"/>
    <x v="0"/>
    <x v="5"/>
    <x v="6"/>
    <x v="65"/>
    <x v="4"/>
    <x v="0"/>
    <x v="0"/>
    <x v="0"/>
    <m/>
    <m/>
    <m/>
    <x v="39"/>
    <m/>
    <x v="44"/>
    <x v="27"/>
    <x v="23"/>
    <x v="3"/>
    <x v="6"/>
    <x v="2"/>
    <x v="7"/>
    <m/>
    <x v="0"/>
    <x v="2"/>
    <x v="0"/>
    <x v="2"/>
    <x v="0"/>
    <m/>
    <m/>
    <x v="0"/>
    <x v="0"/>
    <s v="45809468"/>
    <s v="0000001510"/>
    <x v="28"/>
    <x v="26"/>
    <x v="4"/>
    <x v="4"/>
    <x v="0"/>
  </r>
  <r>
    <n v="68"/>
    <m/>
    <m/>
    <m/>
    <m/>
    <x v="4"/>
    <x v="0"/>
    <x v="5"/>
    <x v="6"/>
    <x v="66"/>
    <x v="4"/>
    <x v="0"/>
    <x v="0"/>
    <x v="0"/>
    <m/>
    <m/>
    <m/>
    <x v="40"/>
    <m/>
    <x v="45"/>
    <x v="1"/>
    <x v="0"/>
    <x v="3"/>
    <x v="6"/>
    <x v="2"/>
    <x v="1"/>
    <m/>
    <x v="1"/>
    <x v="2"/>
    <x v="1"/>
    <x v="1"/>
    <x v="1"/>
    <m/>
    <m/>
    <x v="0"/>
    <x v="1"/>
    <s v="Sistemas"/>
    <n v="0"/>
    <x v="2"/>
    <x v="2"/>
    <x v="0"/>
    <x v="0"/>
    <x v="0"/>
  </r>
  <r>
    <n v="69"/>
    <m/>
    <m/>
    <m/>
    <m/>
    <x v="4"/>
    <x v="0"/>
    <x v="5"/>
    <x v="6"/>
    <x v="67"/>
    <x v="4"/>
    <x v="0"/>
    <x v="0"/>
    <x v="0"/>
    <m/>
    <m/>
    <m/>
    <x v="41"/>
    <m/>
    <x v="46"/>
    <x v="28"/>
    <x v="24"/>
    <x v="3"/>
    <x v="6"/>
    <x v="2"/>
    <x v="7"/>
    <m/>
    <x v="0"/>
    <x v="2"/>
    <x v="0"/>
    <x v="2"/>
    <x v="0"/>
    <m/>
    <m/>
    <x v="0"/>
    <x v="0"/>
    <s v="44247838"/>
    <s v="0000001516"/>
    <x v="29"/>
    <x v="27"/>
    <x v="10"/>
    <x v="4"/>
    <x v="0"/>
  </r>
  <r>
    <n v="70"/>
    <m/>
    <m/>
    <m/>
    <m/>
    <x v="4"/>
    <x v="0"/>
    <x v="5"/>
    <x v="6"/>
    <x v="68"/>
    <x v="4"/>
    <x v="0"/>
    <x v="0"/>
    <x v="0"/>
    <m/>
    <m/>
    <m/>
    <x v="42"/>
    <m/>
    <x v="47"/>
    <x v="29"/>
    <x v="25"/>
    <x v="3"/>
    <x v="6"/>
    <x v="2"/>
    <x v="7"/>
    <m/>
    <x v="0"/>
    <x v="2"/>
    <x v="0"/>
    <x v="2"/>
    <x v="0"/>
    <m/>
    <m/>
    <x v="0"/>
    <x v="0"/>
    <s v="46380959"/>
    <s v="0000001568"/>
    <x v="30"/>
    <x v="28"/>
    <x v="15"/>
    <x v="4"/>
    <x v="0"/>
  </r>
  <r>
    <n v="71"/>
    <m/>
    <m/>
    <m/>
    <m/>
    <x v="4"/>
    <x v="0"/>
    <x v="5"/>
    <x v="6"/>
    <x v="69"/>
    <x v="4"/>
    <x v="0"/>
    <x v="0"/>
    <x v="0"/>
    <m/>
    <m/>
    <m/>
    <x v="43"/>
    <m/>
    <x v="48"/>
    <x v="30"/>
    <x v="26"/>
    <x v="3"/>
    <x v="6"/>
    <x v="2"/>
    <x v="7"/>
    <m/>
    <x v="0"/>
    <x v="2"/>
    <x v="0"/>
    <x v="2"/>
    <x v="2"/>
    <m/>
    <m/>
    <x v="0"/>
    <x v="0"/>
    <s v="41994040"/>
    <s v="0000001121"/>
    <x v="31"/>
    <x v="29"/>
    <x v="4"/>
    <x v="4"/>
    <x v="0"/>
  </r>
  <r>
    <n v="72"/>
    <m/>
    <m/>
    <m/>
    <m/>
    <x v="4"/>
    <x v="1"/>
    <x v="5"/>
    <x v="6"/>
    <x v="70"/>
    <x v="4"/>
    <x v="0"/>
    <x v="0"/>
    <x v="0"/>
    <m/>
    <m/>
    <m/>
    <x v="44"/>
    <m/>
    <x v="49"/>
    <x v="31"/>
    <x v="27"/>
    <x v="3"/>
    <x v="6"/>
    <x v="2"/>
    <x v="3"/>
    <m/>
    <x v="3"/>
    <x v="2"/>
    <x v="3"/>
    <x v="2"/>
    <x v="0"/>
    <m/>
    <m/>
    <x v="0"/>
    <x v="0"/>
    <s v="Sistemas"/>
    <n v="0"/>
    <x v="2"/>
    <x v="2"/>
    <x v="0"/>
    <x v="0"/>
    <x v="30"/>
  </r>
  <r>
    <n v="73"/>
    <m/>
    <m/>
    <m/>
    <m/>
    <x v="4"/>
    <x v="0"/>
    <x v="4"/>
    <x v="5"/>
    <x v="20"/>
    <x v="3"/>
    <x v="0"/>
    <x v="0"/>
    <x v="0"/>
    <m/>
    <m/>
    <m/>
    <x v="45"/>
    <m/>
    <x v="50"/>
    <x v="32"/>
    <x v="28"/>
    <x v="0"/>
    <x v="3"/>
    <x v="2"/>
    <x v="5"/>
    <m/>
    <x v="4"/>
    <x v="2"/>
    <x v="0"/>
    <x v="2"/>
    <x v="0"/>
    <m/>
    <m/>
    <x v="0"/>
    <x v="0"/>
    <s v="Front Desk 4"/>
    <s v="Front Desk"/>
    <x v="32"/>
    <x v="4"/>
    <x v="3"/>
    <x v="3"/>
    <x v="2"/>
  </r>
  <r>
    <n v="74"/>
    <m/>
    <m/>
    <m/>
    <m/>
    <x v="4"/>
    <x v="0"/>
    <x v="5"/>
    <x v="6"/>
    <x v="71"/>
    <x v="4"/>
    <x v="0"/>
    <x v="0"/>
    <x v="0"/>
    <m/>
    <m/>
    <m/>
    <x v="46"/>
    <m/>
    <x v="1"/>
    <x v="33"/>
    <x v="0"/>
    <x v="3"/>
    <x v="6"/>
    <x v="2"/>
    <x v="3"/>
    <m/>
    <x v="3"/>
    <x v="2"/>
    <x v="3"/>
    <x v="1"/>
    <x v="0"/>
    <m/>
    <m/>
    <x v="0"/>
    <x v="1"/>
    <s v="Sistemas"/>
    <n v="0"/>
    <x v="2"/>
    <x v="2"/>
    <x v="0"/>
    <x v="0"/>
    <x v="31"/>
  </r>
  <r>
    <n v="75"/>
    <m/>
    <m/>
    <m/>
    <m/>
    <x v="4"/>
    <x v="0"/>
    <x v="5"/>
    <x v="6"/>
    <x v="72"/>
    <x v="4"/>
    <x v="0"/>
    <x v="0"/>
    <x v="0"/>
    <m/>
    <m/>
    <m/>
    <x v="47"/>
    <m/>
    <x v="51"/>
    <x v="34"/>
    <x v="29"/>
    <x v="3"/>
    <x v="6"/>
    <x v="2"/>
    <x v="7"/>
    <m/>
    <x v="0"/>
    <x v="2"/>
    <x v="0"/>
    <x v="2"/>
    <x v="0"/>
    <m/>
    <m/>
    <x v="0"/>
    <x v="0"/>
    <s v="74915395"/>
    <s v="0000P00661"/>
    <x v="33"/>
    <x v="7"/>
    <x v="2"/>
    <x v="2"/>
    <x v="0"/>
  </r>
  <r>
    <n v="76"/>
    <m/>
    <m/>
    <m/>
    <m/>
    <x v="4"/>
    <x v="0"/>
    <x v="5"/>
    <x v="6"/>
    <x v="73"/>
    <x v="4"/>
    <x v="0"/>
    <x v="0"/>
    <x v="0"/>
    <m/>
    <m/>
    <m/>
    <x v="48"/>
    <m/>
    <x v="38"/>
    <x v="35"/>
    <x v="30"/>
    <x v="3"/>
    <x v="6"/>
    <x v="2"/>
    <x v="7"/>
    <m/>
    <x v="0"/>
    <x v="2"/>
    <x v="0"/>
    <x v="2"/>
    <x v="0"/>
    <m/>
    <m/>
    <x v="0"/>
    <x v="0"/>
    <s v="06111494"/>
    <s v="0000000086"/>
    <x v="34"/>
    <x v="30"/>
    <x v="16"/>
    <x v="2"/>
    <x v="0"/>
  </r>
  <r>
    <n v="77"/>
    <m/>
    <m/>
    <m/>
    <m/>
    <x v="4"/>
    <x v="0"/>
    <x v="5"/>
    <x v="6"/>
    <x v="74"/>
    <x v="4"/>
    <x v="0"/>
    <x v="0"/>
    <x v="0"/>
    <m/>
    <m/>
    <m/>
    <x v="49"/>
    <m/>
    <x v="52"/>
    <x v="36"/>
    <x v="31"/>
    <x v="3"/>
    <x v="6"/>
    <x v="2"/>
    <x v="7"/>
    <m/>
    <x v="0"/>
    <x v="2"/>
    <x v="0"/>
    <x v="2"/>
    <x v="0"/>
    <m/>
    <m/>
    <x v="0"/>
    <x v="0"/>
    <s v="10158051"/>
    <s v="0000000874"/>
    <x v="1"/>
    <x v="1"/>
    <x v="1"/>
    <x v="1"/>
    <x v="0"/>
  </r>
  <r>
    <n v="78"/>
    <m/>
    <m/>
    <m/>
    <m/>
    <x v="4"/>
    <x v="0"/>
    <x v="5"/>
    <x v="6"/>
    <x v="75"/>
    <x v="4"/>
    <x v="0"/>
    <x v="0"/>
    <x v="0"/>
    <m/>
    <m/>
    <m/>
    <x v="50"/>
    <m/>
    <x v="53"/>
    <x v="37"/>
    <x v="32"/>
    <x v="3"/>
    <x v="6"/>
    <x v="2"/>
    <x v="7"/>
    <m/>
    <x v="0"/>
    <x v="2"/>
    <x v="0"/>
    <x v="2"/>
    <x v="0"/>
    <m/>
    <m/>
    <x v="0"/>
    <x v="0"/>
    <s v="10806822"/>
    <s v="0000000423"/>
    <x v="35"/>
    <x v="1"/>
    <x v="17"/>
    <x v="1"/>
    <x v="0"/>
  </r>
  <r>
    <n v="79"/>
    <m/>
    <m/>
    <m/>
    <m/>
    <x v="4"/>
    <x v="0"/>
    <x v="5"/>
    <x v="6"/>
    <x v="76"/>
    <x v="4"/>
    <x v="0"/>
    <x v="0"/>
    <x v="0"/>
    <m/>
    <m/>
    <m/>
    <x v="51"/>
    <m/>
    <x v="1"/>
    <x v="38"/>
    <x v="33"/>
    <x v="3"/>
    <x v="6"/>
    <x v="2"/>
    <x v="6"/>
    <m/>
    <x v="7"/>
    <x v="2"/>
    <x v="0"/>
    <x v="2"/>
    <x v="0"/>
    <m/>
    <m/>
    <x v="0"/>
    <x v="0"/>
    <s v="44826856"/>
    <n v="0"/>
    <x v="36"/>
    <x v="16"/>
    <x v="4"/>
    <x v="4"/>
    <x v="0"/>
  </r>
  <r>
    <n v="80"/>
    <m/>
    <m/>
    <m/>
    <m/>
    <x v="4"/>
    <x v="0"/>
    <x v="5"/>
    <x v="6"/>
    <x v="77"/>
    <x v="4"/>
    <x v="0"/>
    <x v="0"/>
    <x v="0"/>
    <m/>
    <m/>
    <m/>
    <x v="52"/>
    <m/>
    <x v="45"/>
    <x v="39"/>
    <x v="34"/>
    <x v="3"/>
    <x v="6"/>
    <x v="2"/>
    <x v="7"/>
    <m/>
    <x v="0"/>
    <x v="2"/>
    <x v="0"/>
    <x v="2"/>
    <x v="0"/>
    <m/>
    <m/>
    <x v="0"/>
    <x v="0"/>
    <s v="40856376"/>
    <s v="0000000772"/>
    <x v="37"/>
    <x v="31"/>
    <x v="2"/>
    <x v="2"/>
    <x v="32"/>
  </r>
  <r>
    <n v="81"/>
    <m/>
    <m/>
    <m/>
    <m/>
    <x v="4"/>
    <x v="0"/>
    <x v="5"/>
    <x v="6"/>
    <x v="78"/>
    <x v="4"/>
    <x v="0"/>
    <x v="0"/>
    <x v="0"/>
    <m/>
    <m/>
    <m/>
    <x v="53"/>
    <m/>
    <x v="54"/>
    <x v="40"/>
    <x v="35"/>
    <x v="3"/>
    <x v="6"/>
    <x v="2"/>
    <x v="7"/>
    <m/>
    <x v="0"/>
    <x v="2"/>
    <x v="0"/>
    <x v="2"/>
    <x v="2"/>
    <m/>
    <m/>
    <x v="0"/>
    <x v="0"/>
    <s v="009109508"/>
    <s v="0000F00049"/>
    <x v="38"/>
    <x v="32"/>
    <x v="18"/>
    <x v="8"/>
    <x v="0"/>
  </r>
  <r>
    <n v="82"/>
    <m/>
    <m/>
    <m/>
    <m/>
    <x v="4"/>
    <x v="0"/>
    <x v="5"/>
    <x v="6"/>
    <x v="79"/>
    <x v="4"/>
    <x v="0"/>
    <x v="0"/>
    <x v="0"/>
    <m/>
    <m/>
    <m/>
    <x v="54"/>
    <m/>
    <x v="55"/>
    <x v="41"/>
    <x v="36"/>
    <x v="3"/>
    <x v="6"/>
    <x v="2"/>
    <x v="7"/>
    <m/>
    <x v="0"/>
    <x v="2"/>
    <x v="0"/>
    <x v="2"/>
    <x v="2"/>
    <m/>
    <m/>
    <x v="0"/>
    <x v="0"/>
    <s v="45274548"/>
    <s v="0000001776"/>
    <x v="39"/>
    <x v="33"/>
    <x v="19"/>
    <x v="3"/>
    <x v="0"/>
  </r>
  <r>
    <n v="83"/>
    <m/>
    <m/>
    <m/>
    <m/>
    <x v="4"/>
    <x v="0"/>
    <x v="5"/>
    <x v="6"/>
    <x v="80"/>
    <x v="4"/>
    <x v="0"/>
    <x v="0"/>
    <x v="0"/>
    <m/>
    <m/>
    <m/>
    <x v="55"/>
    <m/>
    <x v="56"/>
    <x v="42"/>
    <x v="37"/>
    <x v="3"/>
    <x v="6"/>
    <x v="2"/>
    <x v="7"/>
    <m/>
    <x v="0"/>
    <x v="2"/>
    <x v="0"/>
    <x v="2"/>
    <x v="0"/>
    <m/>
    <m/>
    <x v="0"/>
    <x v="0"/>
    <s v="46960867"/>
    <s v="0000001462"/>
    <x v="40"/>
    <x v="34"/>
    <x v="20"/>
    <x v="1"/>
    <x v="0"/>
  </r>
  <r>
    <n v="84"/>
    <m/>
    <m/>
    <m/>
    <m/>
    <x v="4"/>
    <x v="0"/>
    <x v="5"/>
    <x v="6"/>
    <x v="81"/>
    <x v="4"/>
    <x v="0"/>
    <x v="0"/>
    <x v="0"/>
    <m/>
    <m/>
    <m/>
    <x v="56"/>
    <m/>
    <x v="57"/>
    <x v="43"/>
    <x v="38"/>
    <x v="3"/>
    <x v="6"/>
    <x v="2"/>
    <x v="7"/>
    <m/>
    <x v="0"/>
    <x v="2"/>
    <x v="0"/>
    <x v="2"/>
    <x v="0"/>
    <m/>
    <m/>
    <x v="0"/>
    <x v="0"/>
    <s v="71337245"/>
    <s v="0000001575"/>
    <x v="41"/>
    <x v="35"/>
    <x v="21"/>
    <x v="1"/>
    <x v="0"/>
  </r>
  <r>
    <n v="85"/>
    <m/>
    <m/>
    <m/>
    <m/>
    <x v="4"/>
    <x v="0"/>
    <x v="5"/>
    <x v="6"/>
    <x v="82"/>
    <x v="4"/>
    <x v="0"/>
    <x v="0"/>
    <x v="0"/>
    <m/>
    <m/>
    <m/>
    <x v="57"/>
    <m/>
    <x v="58"/>
    <x v="44"/>
    <x v="39"/>
    <x v="3"/>
    <x v="6"/>
    <x v="2"/>
    <x v="7"/>
    <m/>
    <x v="0"/>
    <x v="2"/>
    <x v="0"/>
    <x v="2"/>
    <x v="0"/>
    <m/>
    <m/>
    <x v="0"/>
    <x v="0"/>
    <s v="70005695"/>
    <s v="0000001335"/>
    <x v="42"/>
    <x v="36"/>
    <x v="3"/>
    <x v="3"/>
    <x v="0"/>
  </r>
  <r>
    <n v="86"/>
    <m/>
    <m/>
    <m/>
    <m/>
    <x v="4"/>
    <x v="0"/>
    <x v="5"/>
    <x v="6"/>
    <x v="83"/>
    <x v="4"/>
    <x v="0"/>
    <x v="0"/>
    <x v="0"/>
    <m/>
    <m/>
    <m/>
    <x v="58"/>
    <m/>
    <x v="59"/>
    <x v="45"/>
    <x v="40"/>
    <x v="3"/>
    <x v="6"/>
    <x v="2"/>
    <x v="7"/>
    <m/>
    <x v="0"/>
    <x v="2"/>
    <x v="0"/>
    <x v="2"/>
    <x v="0"/>
    <m/>
    <m/>
    <x v="0"/>
    <x v="0"/>
    <s v="76211885"/>
    <s v="0000001539"/>
    <x v="43"/>
    <x v="37"/>
    <x v="22"/>
    <x v="1"/>
    <x v="0"/>
  </r>
  <r>
    <n v="87"/>
    <m/>
    <m/>
    <m/>
    <m/>
    <x v="4"/>
    <x v="0"/>
    <x v="5"/>
    <x v="6"/>
    <x v="84"/>
    <x v="4"/>
    <x v="0"/>
    <x v="0"/>
    <x v="0"/>
    <m/>
    <m/>
    <m/>
    <x v="59"/>
    <m/>
    <x v="60"/>
    <x v="46"/>
    <x v="41"/>
    <x v="3"/>
    <x v="6"/>
    <x v="2"/>
    <x v="7"/>
    <m/>
    <x v="0"/>
    <x v="2"/>
    <x v="0"/>
    <x v="2"/>
    <x v="0"/>
    <m/>
    <m/>
    <x v="0"/>
    <x v="0"/>
    <s v="43329158"/>
    <s v="0000001417"/>
    <x v="44"/>
    <x v="38"/>
    <x v="23"/>
    <x v="3"/>
    <x v="0"/>
  </r>
  <r>
    <n v="88"/>
    <m/>
    <m/>
    <m/>
    <m/>
    <x v="4"/>
    <x v="0"/>
    <x v="5"/>
    <x v="6"/>
    <x v="85"/>
    <x v="4"/>
    <x v="0"/>
    <x v="0"/>
    <x v="0"/>
    <m/>
    <m/>
    <m/>
    <x v="60"/>
    <m/>
    <x v="61"/>
    <x v="47"/>
    <x v="42"/>
    <x v="3"/>
    <x v="6"/>
    <x v="2"/>
    <x v="7"/>
    <m/>
    <x v="0"/>
    <x v="2"/>
    <x v="0"/>
    <x v="2"/>
    <x v="0"/>
    <m/>
    <m/>
    <x v="0"/>
    <x v="0"/>
    <s v="09884050"/>
    <s v="0000000345"/>
    <x v="45"/>
    <x v="39"/>
    <x v="24"/>
    <x v="3"/>
    <x v="33"/>
  </r>
  <r>
    <n v="89"/>
    <m/>
    <m/>
    <m/>
    <m/>
    <x v="4"/>
    <x v="0"/>
    <x v="5"/>
    <x v="6"/>
    <x v="86"/>
    <x v="4"/>
    <x v="0"/>
    <x v="0"/>
    <x v="0"/>
    <m/>
    <m/>
    <m/>
    <x v="61"/>
    <m/>
    <x v="1"/>
    <x v="48"/>
    <x v="0"/>
    <x v="3"/>
    <x v="6"/>
    <x v="2"/>
    <x v="3"/>
    <m/>
    <x v="3"/>
    <x v="2"/>
    <x v="3"/>
    <x v="1"/>
    <x v="0"/>
    <m/>
    <m/>
    <x v="0"/>
    <x v="2"/>
    <s v="10479259"/>
    <s v="0000000031"/>
    <x v="9"/>
    <x v="9"/>
    <x v="6"/>
    <x v="1"/>
    <x v="34"/>
  </r>
  <r>
    <n v="90"/>
    <m/>
    <m/>
    <m/>
    <m/>
    <x v="4"/>
    <x v="0"/>
    <x v="5"/>
    <x v="6"/>
    <x v="87"/>
    <x v="4"/>
    <x v="0"/>
    <x v="0"/>
    <x v="0"/>
    <m/>
    <m/>
    <m/>
    <x v="62"/>
    <m/>
    <x v="62"/>
    <x v="49"/>
    <x v="43"/>
    <x v="3"/>
    <x v="6"/>
    <x v="2"/>
    <x v="7"/>
    <m/>
    <x v="0"/>
    <x v="2"/>
    <x v="0"/>
    <x v="2"/>
    <x v="2"/>
    <m/>
    <m/>
    <x v="0"/>
    <x v="0"/>
    <s v="10710564"/>
    <s v="0000000875"/>
    <x v="46"/>
    <x v="40"/>
    <x v="25"/>
    <x v="10"/>
    <x v="35"/>
  </r>
  <r>
    <n v="91"/>
    <m/>
    <m/>
    <m/>
    <m/>
    <x v="4"/>
    <x v="0"/>
    <x v="5"/>
    <x v="6"/>
    <x v="88"/>
    <x v="4"/>
    <x v="0"/>
    <x v="0"/>
    <x v="0"/>
    <m/>
    <m/>
    <m/>
    <x v="63"/>
    <m/>
    <x v="63"/>
    <x v="50"/>
    <x v="44"/>
    <x v="3"/>
    <x v="6"/>
    <x v="2"/>
    <x v="7"/>
    <m/>
    <x v="0"/>
    <x v="2"/>
    <x v="0"/>
    <x v="2"/>
    <x v="0"/>
    <m/>
    <m/>
    <x v="0"/>
    <x v="0"/>
    <s v="42354767"/>
    <s v="0000000809"/>
    <x v="47"/>
    <x v="41"/>
    <x v="26"/>
    <x v="3"/>
    <x v="0"/>
  </r>
  <r>
    <n v="92"/>
    <m/>
    <m/>
    <m/>
    <m/>
    <x v="4"/>
    <x v="0"/>
    <x v="5"/>
    <x v="6"/>
    <x v="89"/>
    <x v="4"/>
    <x v="0"/>
    <x v="0"/>
    <x v="0"/>
    <m/>
    <m/>
    <m/>
    <x v="64"/>
    <m/>
    <x v="64"/>
    <x v="51"/>
    <x v="45"/>
    <x v="3"/>
    <x v="6"/>
    <x v="2"/>
    <x v="7"/>
    <m/>
    <x v="0"/>
    <x v="2"/>
    <x v="0"/>
    <x v="2"/>
    <x v="2"/>
    <m/>
    <m/>
    <x v="0"/>
    <x v="0"/>
    <s v="41302115"/>
    <s v="0000001663"/>
    <x v="48"/>
    <x v="42"/>
    <x v="23"/>
    <x v="3"/>
    <x v="0"/>
  </r>
  <r>
    <n v="93"/>
    <m/>
    <m/>
    <m/>
    <m/>
    <x v="4"/>
    <x v="0"/>
    <x v="5"/>
    <x v="6"/>
    <x v="90"/>
    <x v="4"/>
    <x v="0"/>
    <x v="0"/>
    <x v="0"/>
    <m/>
    <m/>
    <m/>
    <x v="65"/>
    <m/>
    <x v="65"/>
    <x v="1"/>
    <x v="46"/>
    <x v="3"/>
    <x v="6"/>
    <x v="2"/>
    <x v="3"/>
    <m/>
    <x v="7"/>
    <x v="2"/>
    <x v="0"/>
    <x v="2"/>
    <x v="0"/>
    <m/>
    <m/>
    <x v="0"/>
    <x v="0"/>
    <s v="Puerta 5"/>
    <s v="Puerta 5"/>
    <x v="49"/>
    <x v="8"/>
    <x v="5"/>
    <x v="5"/>
    <x v="0"/>
  </r>
  <r>
    <n v="94"/>
    <m/>
    <m/>
    <m/>
    <m/>
    <x v="4"/>
    <x v="0"/>
    <x v="5"/>
    <x v="6"/>
    <x v="91"/>
    <x v="4"/>
    <x v="0"/>
    <x v="0"/>
    <x v="0"/>
    <m/>
    <m/>
    <m/>
    <x v="66"/>
    <m/>
    <x v="66"/>
    <x v="52"/>
    <x v="47"/>
    <x v="3"/>
    <x v="6"/>
    <x v="2"/>
    <x v="7"/>
    <m/>
    <x v="0"/>
    <x v="2"/>
    <x v="0"/>
    <x v="2"/>
    <x v="0"/>
    <m/>
    <m/>
    <x v="0"/>
    <x v="0"/>
    <s v="75623367"/>
    <s v="0000001439"/>
    <x v="50"/>
    <x v="43"/>
    <x v="1"/>
    <x v="1"/>
    <x v="0"/>
  </r>
  <r>
    <n v="95"/>
    <m/>
    <m/>
    <m/>
    <m/>
    <x v="4"/>
    <x v="0"/>
    <x v="5"/>
    <x v="6"/>
    <x v="92"/>
    <x v="4"/>
    <x v="0"/>
    <x v="0"/>
    <x v="0"/>
    <m/>
    <m/>
    <m/>
    <x v="67"/>
    <m/>
    <x v="67"/>
    <x v="53"/>
    <x v="0"/>
    <x v="3"/>
    <x v="6"/>
    <x v="2"/>
    <x v="3"/>
    <m/>
    <x v="0"/>
    <x v="2"/>
    <x v="3"/>
    <x v="1"/>
    <x v="0"/>
    <m/>
    <m/>
    <x v="0"/>
    <x v="0"/>
    <s v="02856974"/>
    <s v="0000001501"/>
    <x v="15"/>
    <x v="14"/>
    <x v="0"/>
    <x v="0"/>
    <x v="0"/>
  </r>
  <r>
    <n v="96"/>
    <m/>
    <m/>
    <m/>
    <m/>
    <x v="4"/>
    <x v="0"/>
    <x v="5"/>
    <x v="6"/>
    <x v="93"/>
    <x v="4"/>
    <x v="0"/>
    <x v="0"/>
    <x v="0"/>
    <m/>
    <m/>
    <m/>
    <x v="68"/>
    <m/>
    <x v="1"/>
    <x v="54"/>
    <x v="0"/>
    <x v="3"/>
    <x v="6"/>
    <x v="2"/>
    <x v="3"/>
    <m/>
    <x v="3"/>
    <x v="2"/>
    <x v="3"/>
    <x v="1"/>
    <x v="0"/>
    <m/>
    <m/>
    <x v="0"/>
    <x v="4"/>
    <s v="40856376"/>
    <s v="0000000772"/>
    <x v="37"/>
    <x v="31"/>
    <x v="2"/>
    <x v="2"/>
    <x v="36"/>
  </r>
  <r>
    <n v="97"/>
    <m/>
    <m/>
    <m/>
    <m/>
    <x v="4"/>
    <x v="0"/>
    <x v="0"/>
    <x v="18"/>
    <x v="94"/>
    <x v="7"/>
    <x v="0"/>
    <x v="0"/>
    <x v="0"/>
    <m/>
    <m/>
    <m/>
    <x v="69"/>
    <m/>
    <x v="68"/>
    <x v="55"/>
    <x v="48"/>
    <x v="0"/>
    <x v="6"/>
    <x v="2"/>
    <x v="10"/>
    <m/>
    <x v="0"/>
    <x v="2"/>
    <x v="0"/>
    <x v="1"/>
    <x v="2"/>
    <m/>
    <m/>
    <x v="0"/>
    <x v="0"/>
    <s v="76204111"/>
    <s v="0000001670"/>
    <x v="51"/>
    <x v="44"/>
    <x v="25"/>
    <x v="10"/>
    <x v="0"/>
  </r>
  <r>
    <n v="98"/>
    <m/>
    <m/>
    <m/>
    <m/>
    <x v="4"/>
    <x v="0"/>
    <x v="5"/>
    <x v="6"/>
    <x v="95"/>
    <x v="4"/>
    <x v="0"/>
    <x v="0"/>
    <x v="0"/>
    <m/>
    <m/>
    <m/>
    <x v="70"/>
    <m/>
    <x v="69"/>
    <x v="56"/>
    <x v="49"/>
    <x v="3"/>
    <x v="6"/>
    <x v="2"/>
    <x v="7"/>
    <m/>
    <x v="0"/>
    <x v="2"/>
    <x v="0"/>
    <x v="2"/>
    <x v="0"/>
    <m/>
    <m/>
    <x v="0"/>
    <x v="0"/>
    <s v="40530952"/>
    <s v="0000000993"/>
    <x v="52"/>
    <x v="45"/>
    <x v="27"/>
    <x v="2"/>
    <x v="0"/>
  </r>
  <r>
    <n v="99"/>
    <m/>
    <m/>
    <m/>
    <m/>
    <x v="4"/>
    <x v="0"/>
    <x v="5"/>
    <x v="20"/>
    <x v="96"/>
    <x v="8"/>
    <x v="0"/>
    <x v="0"/>
    <x v="0"/>
    <m/>
    <m/>
    <m/>
    <x v="71"/>
    <m/>
    <x v="70"/>
    <x v="57"/>
    <x v="0"/>
    <x v="0"/>
    <x v="7"/>
    <x v="2"/>
    <x v="5"/>
    <m/>
    <x v="8"/>
    <x v="2"/>
    <x v="0"/>
    <x v="2"/>
    <x v="0"/>
    <m/>
    <m/>
    <x v="0"/>
    <x v="0"/>
    <s v="Front Desk 3"/>
    <s v="Front Desk"/>
    <x v="53"/>
    <x v="4"/>
    <x v="3"/>
    <x v="3"/>
    <x v="2"/>
  </r>
  <r>
    <n v="100"/>
    <m/>
    <m/>
    <m/>
    <m/>
    <x v="4"/>
    <x v="0"/>
    <x v="0"/>
    <x v="18"/>
    <x v="97"/>
    <x v="7"/>
    <x v="0"/>
    <x v="0"/>
    <x v="0"/>
    <m/>
    <m/>
    <m/>
    <x v="72"/>
    <m/>
    <x v="71"/>
    <x v="58"/>
    <x v="50"/>
    <x v="3"/>
    <x v="6"/>
    <x v="2"/>
    <x v="9"/>
    <m/>
    <x v="8"/>
    <x v="2"/>
    <x v="0"/>
    <x v="1"/>
    <x v="0"/>
    <m/>
    <m/>
    <x v="0"/>
    <x v="0"/>
    <s v="25728850"/>
    <s v="0000001491"/>
    <x v="54"/>
    <x v="46"/>
    <x v="28"/>
    <x v="11"/>
    <x v="0"/>
  </r>
  <r>
    <n v="101"/>
    <m/>
    <m/>
    <m/>
    <m/>
    <x v="4"/>
    <x v="0"/>
    <x v="5"/>
    <x v="6"/>
    <x v="98"/>
    <x v="4"/>
    <x v="0"/>
    <x v="0"/>
    <x v="0"/>
    <m/>
    <m/>
    <m/>
    <x v="73"/>
    <m/>
    <x v="72"/>
    <x v="59"/>
    <x v="51"/>
    <x v="3"/>
    <x v="6"/>
    <x v="2"/>
    <x v="7"/>
    <m/>
    <x v="0"/>
    <x v="2"/>
    <x v="0"/>
    <x v="2"/>
    <x v="0"/>
    <m/>
    <m/>
    <x v="0"/>
    <x v="0"/>
    <s v="44910871"/>
    <s v="0000001428"/>
    <x v="55"/>
    <x v="47"/>
    <x v="3"/>
    <x v="3"/>
    <x v="0"/>
  </r>
  <r>
    <n v="102"/>
    <m/>
    <m/>
    <m/>
    <m/>
    <x v="4"/>
    <x v="0"/>
    <x v="5"/>
    <x v="20"/>
    <x v="99"/>
    <x v="8"/>
    <x v="0"/>
    <x v="0"/>
    <x v="0"/>
    <m/>
    <m/>
    <m/>
    <x v="74"/>
    <m/>
    <x v="73"/>
    <x v="60"/>
    <x v="0"/>
    <x v="0"/>
    <x v="7"/>
    <x v="2"/>
    <x v="5"/>
    <m/>
    <x v="8"/>
    <x v="2"/>
    <x v="0"/>
    <x v="1"/>
    <x v="0"/>
    <m/>
    <m/>
    <x v="0"/>
    <x v="0"/>
    <s v="09457769"/>
    <s v="0000000438"/>
    <x v="56"/>
    <x v="48"/>
    <x v="2"/>
    <x v="2"/>
    <x v="0"/>
  </r>
  <r>
    <n v="103"/>
    <m/>
    <m/>
    <m/>
    <m/>
    <x v="4"/>
    <x v="0"/>
    <x v="5"/>
    <x v="6"/>
    <x v="100"/>
    <x v="4"/>
    <x v="0"/>
    <x v="0"/>
    <x v="0"/>
    <m/>
    <m/>
    <m/>
    <x v="75"/>
    <m/>
    <x v="1"/>
    <x v="61"/>
    <x v="0"/>
    <x v="3"/>
    <x v="6"/>
    <x v="2"/>
    <x v="3"/>
    <m/>
    <x v="7"/>
    <x v="2"/>
    <x v="3"/>
    <x v="1"/>
    <x v="0"/>
    <m/>
    <m/>
    <x v="0"/>
    <x v="1"/>
    <s v="Sistemas"/>
    <n v="0"/>
    <x v="2"/>
    <x v="2"/>
    <x v="0"/>
    <x v="0"/>
    <x v="37"/>
  </r>
  <r>
    <n v="104"/>
    <m/>
    <m/>
    <m/>
    <m/>
    <x v="4"/>
    <x v="0"/>
    <x v="5"/>
    <x v="6"/>
    <x v="101"/>
    <x v="4"/>
    <x v="0"/>
    <x v="0"/>
    <x v="0"/>
    <m/>
    <m/>
    <m/>
    <x v="76"/>
    <m/>
    <x v="74"/>
    <x v="62"/>
    <x v="52"/>
    <x v="3"/>
    <x v="6"/>
    <x v="2"/>
    <x v="7"/>
    <m/>
    <x v="7"/>
    <x v="2"/>
    <x v="0"/>
    <x v="2"/>
    <x v="0"/>
    <m/>
    <m/>
    <x v="0"/>
    <x v="0"/>
    <s v="80041385"/>
    <s v="0000001105"/>
    <x v="57"/>
    <x v="49"/>
    <x v="26"/>
    <x v="3"/>
    <x v="0"/>
  </r>
  <r>
    <n v="105"/>
    <m/>
    <m/>
    <m/>
    <m/>
    <x v="4"/>
    <x v="0"/>
    <x v="5"/>
    <x v="6"/>
    <x v="102"/>
    <x v="4"/>
    <x v="0"/>
    <x v="0"/>
    <x v="0"/>
    <m/>
    <m/>
    <m/>
    <x v="77"/>
    <m/>
    <x v="1"/>
    <x v="63"/>
    <x v="0"/>
    <x v="3"/>
    <x v="6"/>
    <x v="2"/>
    <x v="7"/>
    <m/>
    <x v="0"/>
    <x v="2"/>
    <x v="0"/>
    <x v="1"/>
    <x v="0"/>
    <m/>
    <m/>
    <x v="0"/>
    <x v="0"/>
    <s v="15356442"/>
    <s v="0000000844"/>
    <x v="58"/>
    <x v="50"/>
    <x v="5"/>
    <x v="5"/>
    <x v="0"/>
  </r>
  <r>
    <n v="106"/>
    <m/>
    <m/>
    <m/>
    <m/>
    <x v="4"/>
    <x v="0"/>
    <x v="5"/>
    <x v="6"/>
    <x v="103"/>
    <x v="4"/>
    <x v="0"/>
    <x v="0"/>
    <x v="0"/>
    <m/>
    <m/>
    <m/>
    <x v="78"/>
    <m/>
    <x v="75"/>
    <x v="64"/>
    <x v="53"/>
    <x v="3"/>
    <x v="6"/>
    <x v="2"/>
    <x v="7"/>
    <m/>
    <x v="0"/>
    <x v="2"/>
    <x v="0"/>
    <x v="2"/>
    <x v="0"/>
    <m/>
    <m/>
    <x v="0"/>
    <x v="0"/>
    <s v="46421369"/>
    <s v="0000001207"/>
    <x v="59"/>
    <x v="16"/>
    <x v="4"/>
    <x v="4"/>
    <x v="0"/>
  </r>
  <r>
    <n v="107"/>
    <m/>
    <m/>
    <m/>
    <m/>
    <x v="4"/>
    <x v="0"/>
    <x v="5"/>
    <x v="6"/>
    <x v="104"/>
    <x v="4"/>
    <x v="0"/>
    <x v="0"/>
    <x v="0"/>
    <m/>
    <m/>
    <m/>
    <x v="79"/>
    <m/>
    <x v="76"/>
    <x v="65"/>
    <x v="54"/>
    <x v="3"/>
    <x v="6"/>
    <x v="2"/>
    <x v="7"/>
    <m/>
    <x v="0"/>
    <x v="2"/>
    <x v="0"/>
    <x v="2"/>
    <x v="0"/>
    <m/>
    <m/>
    <x v="0"/>
    <x v="0"/>
    <s v="45818643"/>
    <s v="0000001110"/>
    <x v="60"/>
    <x v="51"/>
    <x v="4"/>
    <x v="4"/>
    <x v="0"/>
  </r>
  <r>
    <n v="108"/>
    <m/>
    <m/>
    <m/>
    <m/>
    <x v="4"/>
    <x v="0"/>
    <x v="5"/>
    <x v="6"/>
    <x v="105"/>
    <x v="4"/>
    <x v="0"/>
    <x v="0"/>
    <x v="0"/>
    <m/>
    <m/>
    <m/>
    <x v="80"/>
    <m/>
    <x v="77"/>
    <x v="66"/>
    <x v="55"/>
    <x v="3"/>
    <x v="6"/>
    <x v="2"/>
    <x v="7"/>
    <m/>
    <x v="0"/>
    <x v="2"/>
    <x v="0"/>
    <x v="2"/>
    <x v="0"/>
    <m/>
    <m/>
    <x v="0"/>
    <x v="0"/>
    <s v="47840820"/>
    <s v="0000001708"/>
    <x v="27"/>
    <x v="25"/>
    <x v="14"/>
    <x v="4"/>
    <x v="0"/>
  </r>
  <r>
    <n v="109"/>
    <m/>
    <m/>
    <m/>
    <m/>
    <x v="4"/>
    <x v="0"/>
    <x v="5"/>
    <x v="20"/>
    <x v="106"/>
    <x v="8"/>
    <x v="0"/>
    <x v="0"/>
    <x v="0"/>
    <m/>
    <m/>
    <m/>
    <x v="81"/>
    <m/>
    <x v="78"/>
    <x v="67"/>
    <x v="56"/>
    <x v="0"/>
    <x v="7"/>
    <x v="2"/>
    <x v="5"/>
    <m/>
    <x v="9"/>
    <x v="2"/>
    <x v="0"/>
    <x v="1"/>
    <x v="2"/>
    <m/>
    <m/>
    <x v="0"/>
    <x v="0"/>
    <s v="45987182"/>
    <s v="0000F00047"/>
    <x v="61"/>
    <x v="52"/>
    <x v="25"/>
    <x v="10"/>
    <x v="0"/>
  </r>
  <r>
    <n v="110"/>
    <m/>
    <m/>
    <m/>
    <m/>
    <x v="4"/>
    <x v="1"/>
    <x v="5"/>
    <x v="6"/>
    <x v="107"/>
    <x v="4"/>
    <x v="0"/>
    <x v="0"/>
    <x v="0"/>
    <m/>
    <m/>
    <m/>
    <x v="82"/>
    <m/>
    <x v="79"/>
    <x v="68"/>
    <x v="57"/>
    <x v="3"/>
    <x v="6"/>
    <x v="2"/>
    <x v="3"/>
    <m/>
    <x v="3"/>
    <x v="2"/>
    <x v="3"/>
    <x v="4"/>
    <x v="0"/>
    <m/>
    <m/>
    <x v="0"/>
    <x v="0"/>
    <s v="Sistemas"/>
    <n v="0"/>
    <x v="2"/>
    <x v="2"/>
    <x v="0"/>
    <x v="0"/>
    <x v="38"/>
  </r>
  <r>
    <n v="111"/>
    <m/>
    <m/>
    <m/>
    <m/>
    <x v="1"/>
    <x v="0"/>
    <x v="5"/>
    <x v="9"/>
    <x v="108"/>
    <x v="1"/>
    <x v="0"/>
    <x v="0"/>
    <x v="0"/>
    <m/>
    <m/>
    <m/>
    <x v="1"/>
    <m/>
    <x v="1"/>
    <x v="1"/>
    <x v="0"/>
    <x v="1"/>
    <x v="1"/>
    <x v="1"/>
    <x v="1"/>
    <m/>
    <x v="1"/>
    <x v="6"/>
    <x v="1"/>
    <x v="1"/>
    <x v="1"/>
    <m/>
    <m/>
    <x v="0"/>
    <x v="0"/>
    <s v="40530952"/>
    <s v="0000000993"/>
    <x v="52"/>
    <x v="45"/>
    <x v="27"/>
    <x v="2"/>
    <x v="0"/>
  </r>
  <r>
    <n v="112"/>
    <m/>
    <m/>
    <m/>
    <m/>
    <x v="1"/>
    <x v="0"/>
    <x v="5"/>
    <x v="9"/>
    <x v="109"/>
    <x v="1"/>
    <x v="0"/>
    <x v="0"/>
    <x v="0"/>
    <m/>
    <m/>
    <m/>
    <x v="1"/>
    <m/>
    <x v="1"/>
    <x v="1"/>
    <x v="0"/>
    <x v="1"/>
    <x v="1"/>
    <x v="1"/>
    <x v="1"/>
    <m/>
    <x v="1"/>
    <x v="6"/>
    <x v="1"/>
    <x v="1"/>
    <x v="1"/>
    <m/>
    <m/>
    <x v="0"/>
    <x v="0"/>
    <s v="09884050"/>
    <s v="0000000345"/>
    <x v="45"/>
    <x v="39"/>
    <x v="24"/>
    <x v="3"/>
    <x v="0"/>
  </r>
  <r>
    <n v="113"/>
    <m/>
    <m/>
    <m/>
    <m/>
    <x v="1"/>
    <x v="0"/>
    <x v="5"/>
    <x v="9"/>
    <x v="110"/>
    <x v="1"/>
    <x v="0"/>
    <x v="0"/>
    <x v="0"/>
    <m/>
    <m/>
    <m/>
    <x v="1"/>
    <m/>
    <x v="1"/>
    <x v="1"/>
    <x v="0"/>
    <x v="1"/>
    <x v="1"/>
    <x v="1"/>
    <x v="1"/>
    <m/>
    <x v="1"/>
    <x v="6"/>
    <x v="1"/>
    <x v="1"/>
    <x v="1"/>
    <m/>
    <m/>
    <x v="0"/>
    <x v="0"/>
    <s v="10710564"/>
    <s v="0000000875"/>
    <x v="46"/>
    <x v="40"/>
    <x v="25"/>
    <x v="10"/>
    <x v="0"/>
  </r>
  <r>
    <n v="114"/>
    <m/>
    <m/>
    <m/>
    <m/>
    <x v="4"/>
    <x v="0"/>
    <x v="5"/>
    <x v="6"/>
    <x v="111"/>
    <x v="4"/>
    <x v="0"/>
    <x v="0"/>
    <x v="0"/>
    <m/>
    <m/>
    <m/>
    <x v="1"/>
    <m/>
    <x v="80"/>
    <x v="69"/>
    <x v="58"/>
    <x v="3"/>
    <x v="6"/>
    <x v="2"/>
    <x v="7"/>
    <m/>
    <x v="0"/>
    <x v="2"/>
    <x v="0"/>
    <x v="2"/>
    <x v="2"/>
    <m/>
    <m/>
    <x v="0"/>
    <x v="0"/>
    <s v="40728257"/>
    <s v="0000001548"/>
    <x v="62"/>
    <x v="16"/>
    <x v="4"/>
    <x v="4"/>
    <x v="0"/>
  </r>
  <r>
    <n v="115"/>
    <m/>
    <m/>
    <m/>
    <m/>
    <x v="1"/>
    <x v="0"/>
    <x v="5"/>
    <x v="9"/>
    <x v="112"/>
    <x v="1"/>
    <x v="0"/>
    <x v="0"/>
    <x v="0"/>
    <m/>
    <m/>
    <m/>
    <x v="1"/>
    <m/>
    <x v="1"/>
    <x v="1"/>
    <x v="0"/>
    <x v="1"/>
    <x v="1"/>
    <x v="1"/>
    <x v="1"/>
    <m/>
    <x v="1"/>
    <x v="6"/>
    <x v="1"/>
    <x v="1"/>
    <x v="1"/>
    <m/>
    <m/>
    <x v="0"/>
    <x v="0"/>
    <s v="40728257"/>
    <s v="0000001548"/>
    <x v="62"/>
    <x v="16"/>
    <x v="4"/>
    <x v="4"/>
    <x v="0"/>
  </r>
  <r>
    <n v="116"/>
    <m/>
    <m/>
    <m/>
    <m/>
    <x v="1"/>
    <x v="0"/>
    <x v="5"/>
    <x v="9"/>
    <x v="113"/>
    <x v="1"/>
    <x v="0"/>
    <x v="0"/>
    <x v="0"/>
    <m/>
    <m/>
    <m/>
    <x v="1"/>
    <m/>
    <x v="1"/>
    <x v="1"/>
    <x v="0"/>
    <x v="1"/>
    <x v="1"/>
    <x v="1"/>
    <x v="1"/>
    <m/>
    <x v="1"/>
    <x v="6"/>
    <x v="1"/>
    <x v="1"/>
    <x v="1"/>
    <m/>
    <m/>
    <x v="0"/>
    <x v="0"/>
    <s v="43007664"/>
    <s v="0000001557"/>
    <x v="63"/>
    <x v="53"/>
    <x v="25"/>
    <x v="10"/>
    <x v="0"/>
  </r>
  <r>
    <n v="117"/>
    <m/>
    <m/>
    <m/>
    <m/>
    <x v="4"/>
    <x v="0"/>
    <x v="5"/>
    <x v="6"/>
    <x v="114"/>
    <x v="4"/>
    <x v="0"/>
    <x v="0"/>
    <x v="0"/>
    <m/>
    <m/>
    <m/>
    <x v="1"/>
    <m/>
    <x v="81"/>
    <x v="1"/>
    <x v="59"/>
    <x v="3"/>
    <x v="6"/>
    <x v="2"/>
    <x v="7"/>
    <m/>
    <x v="0"/>
    <x v="2"/>
    <x v="0"/>
    <x v="2"/>
    <x v="2"/>
    <m/>
    <m/>
    <x v="0"/>
    <x v="0"/>
    <s v="43007664"/>
    <s v="0000001557"/>
    <x v="63"/>
    <x v="53"/>
    <x v="25"/>
    <x v="10"/>
    <x v="0"/>
  </r>
  <r>
    <n v="118"/>
    <m/>
    <m/>
    <m/>
    <m/>
    <x v="1"/>
    <x v="0"/>
    <x v="0"/>
    <x v="21"/>
    <x v="115"/>
    <x v="9"/>
    <x v="0"/>
    <x v="0"/>
    <x v="0"/>
    <m/>
    <m/>
    <m/>
    <x v="1"/>
    <m/>
    <x v="1"/>
    <x v="1"/>
    <x v="0"/>
    <x v="1"/>
    <x v="1"/>
    <x v="1"/>
    <x v="1"/>
    <m/>
    <x v="1"/>
    <x v="8"/>
    <x v="1"/>
    <x v="1"/>
    <x v="1"/>
    <m/>
    <m/>
    <x v="0"/>
    <x v="0"/>
    <s v="10806822"/>
    <s v="0000000423"/>
    <x v="35"/>
    <x v="1"/>
    <x v="17"/>
    <x v="1"/>
    <x v="0"/>
  </r>
  <r>
    <n v="119"/>
    <m/>
    <m/>
    <m/>
    <m/>
    <x v="1"/>
    <x v="0"/>
    <x v="5"/>
    <x v="9"/>
    <x v="116"/>
    <x v="1"/>
    <x v="0"/>
    <x v="0"/>
    <x v="0"/>
    <m/>
    <m/>
    <m/>
    <x v="1"/>
    <m/>
    <x v="1"/>
    <x v="1"/>
    <x v="0"/>
    <x v="1"/>
    <x v="1"/>
    <x v="1"/>
    <x v="1"/>
    <m/>
    <x v="1"/>
    <x v="6"/>
    <x v="1"/>
    <x v="1"/>
    <x v="1"/>
    <m/>
    <m/>
    <x v="0"/>
    <x v="0"/>
    <s v="10158051"/>
    <s v="0000000874"/>
    <x v="1"/>
    <x v="1"/>
    <x v="1"/>
    <x v="1"/>
    <x v="0"/>
  </r>
  <r>
    <n v="120"/>
    <m/>
    <m/>
    <m/>
    <m/>
    <x v="1"/>
    <x v="0"/>
    <x v="5"/>
    <x v="9"/>
    <x v="117"/>
    <x v="1"/>
    <x v="0"/>
    <x v="0"/>
    <x v="0"/>
    <m/>
    <m/>
    <m/>
    <x v="1"/>
    <m/>
    <x v="1"/>
    <x v="1"/>
    <x v="0"/>
    <x v="1"/>
    <x v="1"/>
    <x v="1"/>
    <x v="1"/>
    <m/>
    <x v="1"/>
    <x v="6"/>
    <x v="1"/>
    <x v="1"/>
    <x v="1"/>
    <m/>
    <m/>
    <x v="0"/>
    <x v="0"/>
    <s v="75623367"/>
    <s v="0000001439"/>
    <x v="50"/>
    <x v="43"/>
    <x v="1"/>
    <x v="1"/>
    <x v="0"/>
  </r>
  <r>
    <n v="121"/>
    <m/>
    <m/>
    <m/>
    <m/>
    <x v="1"/>
    <x v="0"/>
    <x v="5"/>
    <x v="9"/>
    <x v="113"/>
    <x v="1"/>
    <x v="0"/>
    <x v="0"/>
    <x v="0"/>
    <m/>
    <m/>
    <m/>
    <x v="1"/>
    <m/>
    <x v="1"/>
    <x v="1"/>
    <x v="0"/>
    <x v="1"/>
    <x v="1"/>
    <x v="1"/>
    <x v="1"/>
    <m/>
    <x v="1"/>
    <x v="6"/>
    <x v="1"/>
    <x v="1"/>
    <x v="1"/>
    <m/>
    <m/>
    <x v="0"/>
    <x v="0"/>
    <s v="43007664"/>
    <s v="0000001557"/>
    <x v="63"/>
    <x v="53"/>
    <x v="25"/>
    <x v="10"/>
    <x v="0"/>
  </r>
  <r>
    <n v="122"/>
    <m/>
    <m/>
    <m/>
    <m/>
    <x v="1"/>
    <x v="0"/>
    <x v="5"/>
    <x v="9"/>
    <x v="118"/>
    <x v="1"/>
    <x v="0"/>
    <x v="0"/>
    <x v="0"/>
    <m/>
    <m/>
    <m/>
    <x v="1"/>
    <m/>
    <x v="1"/>
    <x v="1"/>
    <x v="0"/>
    <x v="1"/>
    <x v="1"/>
    <x v="1"/>
    <x v="1"/>
    <m/>
    <x v="1"/>
    <x v="6"/>
    <x v="1"/>
    <x v="1"/>
    <x v="1"/>
    <m/>
    <m/>
    <x v="0"/>
    <x v="0"/>
    <s v="44247838"/>
    <s v="0000001516"/>
    <x v="29"/>
    <x v="27"/>
    <x v="10"/>
    <x v="4"/>
    <x v="0"/>
  </r>
  <r>
    <n v="123"/>
    <m/>
    <m/>
    <m/>
    <m/>
    <x v="4"/>
    <x v="0"/>
    <x v="5"/>
    <x v="6"/>
    <x v="119"/>
    <x v="4"/>
    <x v="0"/>
    <x v="0"/>
    <x v="0"/>
    <m/>
    <m/>
    <m/>
    <x v="83"/>
    <m/>
    <x v="73"/>
    <x v="1"/>
    <x v="60"/>
    <x v="3"/>
    <x v="6"/>
    <x v="2"/>
    <x v="7"/>
    <m/>
    <x v="0"/>
    <x v="2"/>
    <x v="0"/>
    <x v="2"/>
    <x v="0"/>
    <m/>
    <m/>
    <x v="0"/>
    <x v="0"/>
    <s v="45425723"/>
    <s v="0000001678"/>
    <x v="64"/>
    <x v="27"/>
    <x v="10"/>
    <x v="4"/>
    <x v="0"/>
  </r>
  <r>
    <n v="124"/>
    <m/>
    <m/>
    <m/>
    <m/>
    <x v="1"/>
    <x v="0"/>
    <x v="5"/>
    <x v="9"/>
    <x v="120"/>
    <x v="1"/>
    <x v="0"/>
    <x v="0"/>
    <x v="0"/>
    <m/>
    <m/>
    <m/>
    <x v="1"/>
    <m/>
    <x v="1"/>
    <x v="1"/>
    <x v="0"/>
    <x v="1"/>
    <x v="1"/>
    <x v="1"/>
    <x v="1"/>
    <m/>
    <x v="1"/>
    <x v="6"/>
    <x v="1"/>
    <x v="1"/>
    <x v="1"/>
    <m/>
    <m/>
    <x v="0"/>
    <x v="0"/>
    <s v="46380959"/>
    <s v="0000001568"/>
    <x v="30"/>
    <x v="28"/>
    <x v="15"/>
    <x v="4"/>
    <x v="0"/>
  </r>
  <r>
    <n v="125"/>
    <m/>
    <m/>
    <m/>
    <m/>
    <x v="1"/>
    <x v="0"/>
    <x v="5"/>
    <x v="9"/>
    <x v="121"/>
    <x v="1"/>
    <x v="0"/>
    <x v="0"/>
    <x v="0"/>
    <m/>
    <m/>
    <m/>
    <x v="1"/>
    <m/>
    <x v="1"/>
    <x v="1"/>
    <x v="0"/>
    <x v="1"/>
    <x v="1"/>
    <x v="1"/>
    <x v="1"/>
    <m/>
    <x v="1"/>
    <x v="6"/>
    <x v="1"/>
    <x v="1"/>
    <x v="1"/>
    <m/>
    <m/>
    <x v="0"/>
    <x v="0"/>
    <s v="45425723"/>
    <s v="0000001678"/>
    <x v="64"/>
    <x v="27"/>
    <x v="10"/>
    <x v="4"/>
    <x v="0"/>
  </r>
  <r>
    <n v="126"/>
    <m/>
    <m/>
    <m/>
    <m/>
    <x v="1"/>
    <x v="0"/>
    <x v="5"/>
    <x v="9"/>
    <x v="122"/>
    <x v="1"/>
    <x v="0"/>
    <x v="0"/>
    <x v="0"/>
    <m/>
    <m/>
    <m/>
    <x v="1"/>
    <m/>
    <x v="1"/>
    <x v="1"/>
    <x v="0"/>
    <x v="1"/>
    <x v="1"/>
    <x v="1"/>
    <x v="1"/>
    <m/>
    <x v="1"/>
    <x v="6"/>
    <x v="1"/>
    <x v="1"/>
    <x v="1"/>
    <m/>
    <m/>
    <x v="0"/>
    <x v="0"/>
    <s v="41994040"/>
    <s v="0000001121"/>
    <x v="31"/>
    <x v="29"/>
    <x v="4"/>
    <x v="4"/>
    <x v="0"/>
  </r>
  <r>
    <n v="127"/>
    <m/>
    <m/>
    <m/>
    <m/>
    <x v="4"/>
    <x v="0"/>
    <x v="5"/>
    <x v="6"/>
    <x v="123"/>
    <x v="4"/>
    <x v="0"/>
    <x v="0"/>
    <x v="0"/>
    <m/>
    <m/>
    <m/>
    <x v="84"/>
    <m/>
    <x v="82"/>
    <x v="1"/>
    <x v="61"/>
    <x v="3"/>
    <x v="6"/>
    <x v="2"/>
    <x v="7"/>
    <m/>
    <x v="0"/>
    <x v="2"/>
    <x v="0"/>
    <x v="2"/>
    <x v="2"/>
    <m/>
    <m/>
    <x v="0"/>
    <x v="0"/>
    <s v="73240904"/>
    <s v="0000001646"/>
    <x v="65"/>
    <x v="35"/>
    <x v="21"/>
    <x v="1"/>
    <x v="0"/>
  </r>
  <r>
    <n v="128"/>
    <m/>
    <m/>
    <m/>
    <m/>
    <x v="1"/>
    <x v="0"/>
    <x v="5"/>
    <x v="9"/>
    <x v="124"/>
    <x v="1"/>
    <x v="0"/>
    <x v="0"/>
    <x v="0"/>
    <m/>
    <m/>
    <m/>
    <x v="1"/>
    <m/>
    <x v="1"/>
    <x v="1"/>
    <x v="0"/>
    <x v="1"/>
    <x v="1"/>
    <x v="1"/>
    <x v="1"/>
    <m/>
    <x v="1"/>
    <x v="6"/>
    <x v="1"/>
    <x v="1"/>
    <x v="1"/>
    <m/>
    <m/>
    <x v="0"/>
    <x v="0"/>
    <s v="74915395"/>
    <s v="0000P00661"/>
    <x v="33"/>
    <x v="7"/>
    <x v="2"/>
    <x v="2"/>
    <x v="0"/>
  </r>
  <r>
    <n v="129"/>
    <m/>
    <m/>
    <m/>
    <m/>
    <x v="1"/>
    <x v="0"/>
    <x v="5"/>
    <x v="9"/>
    <x v="125"/>
    <x v="1"/>
    <x v="0"/>
    <x v="0"/>
    <x v="0"/>
    <m/>
    <m/>
    <m/>
    <x v="1"/>
    <m/>
    <x v="1"/>
    <x v="1"/>
    <x v="0"/>
    <x v="1"/>
    <x v="1"/>
    <x v="1"/>
    <x v="1"/>
    <m/>
    <x v="1"/>
    <x v="6"/>
    <x v="1"/>
    <x v="1"/>
    <x v="1"/>
    <m/>
    <m/>
    <x v="0"/>
    <x v="0"/>
    <s v="09457769"/>
    <s v="0000000438"/>
    <x v="56"/>
    <x v="48"/>
    <x v="2"/>
    <x v="2"/>
    <x v="39"/>
  </r>
  <r>
    <n v="130"/>
    <m/>
    <m/>
    <m/>
    <m/>
    <x v="1"/>
    <x v="0"/>
    <x v="5"/>
    <x v="9"/>
    <x v="126"/>
    <x v="1"/>
    <x v="0"/>
    <x v="0"/>
    <x v="0"/>
    <m/>
    <m/>
    <m/>
    <x v="1"/>
    <m/>
    <x v="1"/>
    <x v="1"/>
    <x v="0"/>
    <x v="1"/>
    <x v="1"/>
    <x v="1"/>
    <x v="1"/>
    <m/>
    <x v="1"/>
    <x v="6"/>
    <x v="1"/>
    <x v="1"/>
    <x v="1"/>
    <m/>
    <m/>
    <x v="0"/>
    <x v="0"/>
    <s v="06111494"/>
    <s v="0000000086"/>
    <x v="34"/>
    <x v="30"/>
    <x v="16"/>
    <x v="2"/>
    <x v="0"/>
  </r>
  <r>
    <n v="131"/>
    <m/>
    <m/>
    <m/>
    <m/>
    <x v="4"/>
    <x v="0"/>
    <x v="5"/>
    <x v="20"/>
    <x v="127"/>
    <x v="1"/>
    <x v="0"/>
    <x v="0"/>
    <x v="0"/>
    <m/>
    <m/>
    <m/>
    <x v="85"/>
    <m/>
    <x v="83"/>
    <x v="70"/>
    <x v="0"/>
    <x v="0"/>
    <x v="7"/>
    <x v="2"/>
    <x v="5"/>
    <m/>
    <x v="8"/>
    <x v="2"/>
    <x v="0"/>
    <x v="2"/>
    <x v="0"/>
    <m/>
    <m/>
    <x v="0"/>
    <x v="0"/>
    <s v="75915801"/>
    <s v="0000001629"/>
    <x v="66"/>
    <x v="54"/>
    <x v="2"/>
    <x v="2"/>
    <x v="40"/>
  </r>
  <r>
    <n v="132"/>
    <m/>
    <m/>
    <m/>
    <m/>
    <x v="1"/>
    <x v="0"/>
    <x v="5"/>
    <x v="22"/>
    <x v="128"/>
    <x v="1"/>
    <x v="0"/>
    <x v="0"/>
    <x v="0"/>
    <m/>
    <m/>
    <m/>
    <x v="1"/>
    <m/>
    <x v="1"/>
    <x v="1"/>
    <x v="0"/>
    <x v="1"/>
    <x v="1"/>
    <x v="1"/>
    <x v="1"/>
    <m/>
    <x v="1"/>
    <x v="7"/>
    <x v="1"/>
    <x v="1"/>
    <x v="1"/>
    <m/>
    <m/>
    <x v="0"/>
    <x v="0"/>
    <s v="40263172"/>
    <s v="0000000868"/>
    <x v="20"/>
    <x v="18"/>
    <x v="10"/>
    <x v="4"/>
    <x v="0"/>
  </r>
  <r>
    <n v="133"/>
    <m/>
    <m/>
    <m/>
    <m/>
    <x v="1"/>
    <x v="0"/>
    <x v="5"/>
    <x v="9"/>
    <x v="129"/>
    <x v="1"/>
    <x v="0"/>
    <x v="0"/>
    <x v="0"/>
    <m/>
    <m/>
    <m/>
    <x v="1"/>
    <m/>
    <x v="1"/>
    <x v="1"/>
    <x v="0"/>
    <x v="1"/>
    <x v="1"/>
    <x v="1"/>
    <x v="1"/>
    <m/>
    <x v="1"/>
    <x v="6"/>
    <x v="1"/>
    <x v="1"/>
    <x v="1"/>
    <m/>
    <m/>
    <x v="0"/>
    <x v="0"/>
    <s v="40263172"/>
    <s v="0000000868"/>
    <x v="20"/>
    <x v="18"/>
    <x v="10"/>
    <x v="4"/>
    <x v="0"/>
  </r>
  <r>
    <n v="134"/>
    <m/>
    <m/>
    <m/>
    <m/>
    <x v="1"/>
    <x v="0"/>
    <x v="5"/>
    <x v="9"/>
    <x v="130"/>
    <x v="1"/>
    <x v="0"/>
    <x v="0"/>
    <x v="0"/>
    <m/>
    <m/>
    <m/>
    <x v="1"/>
    <m/>
    <x v="1"/>
    <x v="1"/>
    <x v="0"/>
    <x v="1"/>
    <x v="1"/>
    <x v="1"/>
    <x v="1"/>
    <m/>
    <x v="1"/>
    <x v="6"/>
    <x v="1"/>
    <x v="1"/>
    <x v="1"/>
    <m/>
    <m/>
    <x v="0"/>
    <x v="0"/>
    <s v="40856376"/>
    <s v="0000000772"/>
    <x v="37"/>
    <x v="31"/>
    <x v="2"/>
    <x v="2"/>
    <x v="0"/>
  </r>
  <r>
    <n v="135"/>
    <m/>
    <m/>
    <m/>
    <m/>
    <x v="1"/>
    <x v="0"/>
    <x v="5"/>
    <x v="9"/>
    <x v="131"/>
    <x v="1"/>
    <x v="0"/>
    <x v="0"/>
    <x v="0"/>
    <m/>
    <m/>
    <m/>
    <x v="1"/>
    <m/>
    <x v="1"/>
    <x v="1"/>
    <x v="0"/>
    <x v="1"/>
    <x v="1"/>
    <x v="1"/>
    <x v="1"/>
    <m/>
    <x v="1"/>
    <x v="6"/>
    <x v="1"/>
    <x v="1"/>
    <x v="1"/>
    <m/>
    <m/>
    <x v="0"/>
    <x v="0"/>
    <s v="75915801"/>
    <s v="0000001629"/>
    <x v="66"/>
    <x v="54"/>
    <x v="2"/>
    <x v="2"/>
    <x v="0"/>
  </r>
  <r>
    <n v="136"/>
    <m/>
    <m/>
    <m/>
    <m/>
    <x v="1"/>
    <x v="0"/>
    <x v="4"/>
    <x v="23"/>
    <x v="132"/>
    <x v="10"/>
    <x v="0"/>
    <x v="0"/>
    <x v="0"/>
    <m/>
    <m/>
    <m/>
    <x v="1"/>
    <m/>
    <x v="1"/>
    <x v="1"/>
    <x v="0"/>
    <x v="1"/>
    <x v="1"/>
    <x v="1"/>
    <x v="1"/>
    <m/>
    <x v="1"/>
    <x v="7"/>
    <x v="1"/>
    <x v="1"/>
    <x v="1"/>
    <m/>
    <m/>
    <x v="0"/>
    <x v="0"/>
    <s v="Front Desk"/>
    <e v="#N/A"/>
    <x v="13"/>
    <x v="12"/>
    <x v="8"/>
    <x v="6"/>
    <x v="0"/>
  </r>
  <r>
    <n v="137"/>
    <m/>
    <m/>
    <m/>
    <m/>
    <x v="1"/>
    <x v="0"/>
    <x v="4"/>
    <x v="23"/>
    <x v="133"/>
    <x v="10"/>
    <x v="0"/>
    <x v="0"/>
    <x v="0"/>
    <m/>
    <m/>
    <m/>
    <x v="1"/>
    <m/>
    <x v="1"/>
    <x v="1"/>
    <x v="0"/>
    <x v="1"/>
    <x v="1"/>
    <x v="1"/>
    <x v="1"/>
    <m/>
    <x v="1"/>
    <x v="7"/>
    <x v="1"/>
    <x v="1"/>
    <x v="1"/>
    <m/>
    <m/>
    <x v="0"/>
    <x v="0"/>
    <s v="Front Desk"/>
    <e v="#N/A"/>
    <x v="13"/>
    <x v="12"/>
    <x v="8"/>
    <x v="6"/>
    <x v="0"/>
  </r>
  <r>
    <n v="138"/>
    <m/>
    <m/>
    <m/>
    <m/>
    <x v="1"/>
    <x v="0"/>
    <x v="4"/>
    <x v="23"/>
    <x v="134"/>
    <x v="10"/>
    <x v="0"/>
    <x v="0"/>
    <x v="0"/>
    <m/>
    <m/>
    <m/>
    <x v="1"/>
    <m/>
    <x v="1"/>
    <x v="1"/>
    <x v="0"/>
    <x v="1"/>
    <x v="1"/>
    <x v="1"/>
    <x v="1"/>
    <m/>
    <x v="1"/>
    <x v="7"/>
    <x v="1"/>
    <x v="1"/>
    <x v="1"/>
    <m/>
    <m/>
    <x v="0"/>
    <x v="1"/>
    <m/>
    <e v="#N/A"/>
    <x v="13"/>
    <x v="12"/>
    <x v="8"/>
    <x v="6"/>
    <x v="0"/>
  </r>
  <r>
    <n v="139"/>
    <m/>
    <m/>
    <m/>
    <m/>
    <x v="1"/>
    <x v="0"/>
    <x v="4"/>
    <x v="23"/>
    <x v="135"/>
    <x v="10"/>
    <x v="0"/>
    <x v="0"/>
    <x v="0"/>
    <m/>
    <m/>
    <m/>
    <x v="1"/>
    <m/>
    <x v="1"/>
    <x v="1"/>
    <x v="0"/>
    <x v="1"/>
    <x v="1"/>
    <x v="1"/>
    <x v="1"/>
    <m/>
    <x v="1"/>
    <x v="7"/>
    <x v="1"/>
    <x v="1"/>
    <x v="1"/>
    <m/>
    <m/>
    <x v="0"/>
    <x v="1"/>
    <m/>
    <e v="#N/A"/>
    <x v="13"/>
    <x v="12"/>
    <x v="8"/>
    <x v="6"/>
    <x v="0"/>
  </r>
  <r>
    <n v="140"/>
    <m/>
    <m/>
    <m/>
    <m/>
    <x v="1"/>
    <x v="0"/>
    <x v="1"/>
    <x v="1"/>
    <x v="136"/>
    <x v="11"/>
    <x v="0"/>
    <x v="0"/>
    <x v="0"/>
    <m/>
    <m/>
    <m/>
    <x v="1"/>
    <m/>
    <x v="1"/>
    <x v="1"/>
    <x v="0"/>
    <x v="1"/>
    <x v="1"/>
    <x v="1"/>
    <x v="1"/>
    <m/>
    <x v="1"/>
    <x v="1"/>
    <x v="1"/>
    <x v="1"/>
    <x v="1"/>
    <m/>
    <m/>
    <x v="0"/>
    <x v="5"/>
    <s v="25728850"/>
    <s v="0000001491"/>
    <x v="54"/>
    <x v="46"/>
    <x v="28"/>
    <x v="11"/>
    <x v="0"/>
  </r>
  <r>
    <n v="141"/>
    <m/>
    <m/>
    <m/>
    <m/>
    <x v="4"/>
    <x v="0"/>
    <x v="5"/>
    <x v="6"/>
    <x v="137"/>
    <x v="4"/>
    <x v="0"/>
    <x v="0"/>
    <x v="0"/>
    <m/>
    <m/>
    <m/>
    <x v="86"/>
    <m/>
    <x v="84"/>
    <x v="71"/>
    <x v="0"/>
    <x v="3"/>
    <x v="6"/>
    <x v="2"/>
    <x v="7"/>
    <m/>
    <x v="0"/>
    <x v="2"/>
    <x v="0"/>
    <x v="2"/>
    <x v="2"/>
    <m/>
    <m/>
    <x v="0"/>
    <x v="0"/>
    <s v="45274548"/>
    <s v="0000001776"/>
    <x v="39"/>
    <x v="33"/>
    <x v="19"/>
    <x v="3"/>
    <x v="41"/>
  </r>
  <r>
    <n v="142"/>
    <m/>
    <m/>
    <m/>
    <m/>
    <x v="4"/>
    <x v="0"/>
    <x v="5"/>
    <x v="6"/>
    <x v="138"/>
    <x v="4"/>
    <x v="0"/>
    <x v="0"/>
    <x v="0"/>
    <m/>
    <m/>
    <m/>
    <x v="87"/>
    <m/>
    <x v="85"/>
    <x v="72"/>
    <x v="62"/>
    <x v="3"/>
    <x v="6"/>
    <x v="2"/>
    <x v="7"/>
    <m/>
    <x v="0"/>
    <x v="2"/>
    <x v="0"/>
    <x v="2"/>
    <x v="0"/>
    <m/>
    <m/>
    <x v="0"/>
    <x v="0"/>
    <s v="74092275"/>
    <s v="0000001714"/>
    <x v="67"/>
    <x v="51"/>
    <x v="4"/>
    <x v="4"/>
    <x v="0"/>
  </r>
  <r>
    <n v="143"/>
    <m/>
    <m/>
    <m/>
    <m/>
    <x v="4"/>
    <x v="0"/>
    <x v="5"/>
    <x v="6"/>
    <x v="139"/>
    <x v="4"/>
    <x v="0"/>
    <x v="0"/>
    <x v="0"/>
    <m/>
    <m/>
    <m/>
    <x v="88"/>
    <m/>
    <x v="86"/>
    <x v="73"/>
    <x v="63"/>
    <x v="3"/>
    <x v="6"/>
    <x v="2"/>
    <x v="7"/>
    <m/>
    <x v="0"/>
    <x v="2"/>
    <x v="0"/>
    <x v="2"/>
    <x v="0"/>
    <m/>
    <m/>
    <x v="0"/>
    <x v="0"/>
    <s v="46885186"/>
    <s v="0000001527"/>
    <x v="68"/>
    <x v="16"/>
    <x v="4"/>
    <x v="4"/>
    <x v="0"/>
  </r>
  <r>
    <n v="144"/>
    <m/>
    <m/>
    <m/>
    <m/>
    <x v="4"/>
    <x v="0"/>
    <x v="5"/>
    <x v="6"/>
    <x v="140"/>
    <x v="4"/>
    <x v="0"/>
    <x v="0"/>
    <x v="0"/>
    <m/>
    <m/>
    <m/>
    <x v="89"/>
    <m/>
    <x v="87"/>
    <x v="74"/>
    <x v="64"/>
    <x v="3"/>
    <x v="6"/>
    <x v="2"/>
    <x v="7"/>
    <m/>
    <x v="0"/>
    <x v="2"/>
    <x v="0"/>
    <x v="2"/>
    <x v="0"/>
    <m/>
    <m/>
    <x v="0"/>
    <x v="0"/>
    <s v="47119576"/>
    <s v="0000001775"/>
    <x v="69"/>
    <x v="16"/>
    <x v="4"/>
    <x v="4"/>
    <x v="0"/>
  </r>
  <r>
    <n v="145"/>
    <m/>
    <m/>
    <m/>
    <m/>
    <x v="4"/>
    <x v="0"/>
    <x v="5"/>
    <x v="6"/>
    <x v="141"/>
    <x v="4"/>
    <x v="0"/>
    <x v="0"/>
    <x v="0"/>
    <m/>
    <m/>
    <m/>
    <x v="90"/>
    <m/>
    <x v="88"/>
    <x v="75"/>
    <x v="0"/>
    <x v="3"/>
    <x v="6"/>
    <x v="2"/>
    <x v="7"/>
    <m/>
    <x v="0"/>
    <x v="2"/>
    <x v="0"/>
    <x v="2"/>
    <x v="0"/>
    <m/>
    <m/>
    <x v="0"/>
    <x v="0"/>
    <s v="40611017"/>
    <s v="0000001553"/>
    <x v="70"/>
    <x v="55"/>
    <x v="4"/>
    <x v="4"/>
    <x v="0"/>
  </r>
  <r>
    <n v="146"/>
    <m/>
    <m/>
    <m/>
    <m/>
    <x v="4"/>
    <x v="0"/>
    <x v="5"/>
    <x v="6"/>
    <x v="142"/>
    <x v="4"/>
    <x v="0"/>
    <x v="0"/>
    <x v="0"/>
    <m/>
    <m/>
    <m/>
    <x v="1"/>
    <m/>
    <x v="89"/>
    <x v="1"/>
    <x v="65"/>
    <x v="3"/>
    <x v="6"/>
    <x v="2"/>
    <x v="7"/>
    <m/>
    <x v="0"/>
    <x v="2"/>
    <x v="0"/>
    <x v="2"/>
    <x v="0"/>
    <m/>
    <m/>
    <x v="0"/>
    <x v="0"/>
    <s v="25830800"/>
    <s v="0000000736"/>
    <x v="71"/>
    <x v="26"/>
    <x v="4"/>
    <x v="4"/>
    <x v="0"/>
  </r>
  <r>
    <n v="147"/>
    <m/>
    <m/>
    <m/>
    <m/>
    <x v="4"/>
    <x v="0"/>
    <x v="5"/>
    <x v="6"/>
    <x v="143"/>
    <x v="4"/>
    <x v="0"/>
    <x v="0"/>
    <x v="0"/>
    <m/>
    <m/>
    <m/>
    <x v="91"/>
    <m/>
    <x v="90"/>
    <x v="1"/>
    <x v="66"/>
    <x v="3"/>
    <x v="6"/>
    <x v="2"/>
    <x v="7"/>
    <m/>
    <x v="0"/>
    <x v="2"/>
    <x v="0"/>
    <x v="2"/>
    <x v="0"/>
    <m/>
    <m/>
    <x v="0"/>
    <x v="0"/>
    <s v="43134319"/>
    <s v="0000001698"/>
    <x v="72"/>
    <x v="56"/>
    <x v="4"/>
    <x v="4"/>
    <x v="0"/>
  </r>
  <r>
    <n v="148"/>
    <m/>
    <m/>
    <m/>
    <m/>
    <x v="4"/>
    <x v="0"/>
    <x v="5"/>
    <x v="6"/>
    <x v="144"/>
    <x v="4"/>
    <x v="0"/>
    <x v="0"/>
    <x v="0"/>
    <m/>
    <m/>
    <m/>
    <x v="1"/>
    <m/>
    <x v="91"/>
    <x v="76"/>
    <x v="67"/>
    <x v="3"/>
    <x v="6"/>
    <x v="2"/>
    <x v="7"/>
    <m/>
    <x v="0"/>
    <x v="2"/>
    <x v="0"/>
    <x v="2"/>
    <x v="0"/>
    <m/>
    <m/>
    <x v="0"/>
    <x v="0"/>
    <s v="72504034"/>
    <s v="0000001717"/>
    <x v="73"/>
    <x v="51"/>
    <x v="4"/>
    <x v="4"/>
    <x v="0"/>
  </r>
  <r>
    <n v="149"/>
    <m/>
    <m/>
    <m/>
    <m/>
    <x v="0"/>
    <x v="0"/>
    <x v="4"/>
    <x v="11"/>
    <x v="51"/>
    <x v="12"/>
    <x v="0"/>
    <x v="0"/>
    <x v="0"/>
    <m/>
    <m/>
    <m/>
    <x v="1"/>
    <m/>
    <x v="1"/>
    <x v="1"/>
    <x v="0"/>
    <x v="3"/>
    <x v="8"/>
    <x v="0"/>
    <x v="11"/>
    <m/>
    <x v="7"/>
    <x v="2"/>
    <x v="0"/>
    <x v="1"/>
    <x v="2"/>
    <m/>
    <m/>
    <x v="0"/>
    <x v="0"/>
    <s v="001007594"/>
    <s v="0000F00031"/>
    <x v="74"/>
    <x v="57"/>
    <x v="15"/>
    <x v="4"/>
    <x v="0"/>
  </r>
  <r>
    <n v="150"/>
    <m/>
    <m/>
    <m/>
    <m/>
    <x v="0"/>
    <x v="0"/>
    <x v="4"/>
    <x v="24"/>
    <x v="145"/>
    <x v="12"/>
    <x v="0"/>
    <x v="0"/>
    <x v="0"/>
    <m/>
    <m/>
    <m/>
    <x v="92"/>
    <m/>
    <x v="92"/>
    <x v="1"/>
    <x v="68"/>
    <x v="3"/>
    <x v="8"/>
    <x v="0"/>
    <x v="12"/>
    <m/>
    <x v="4"/>
    <x v="2"/>
    <x v="0"/>
    <x v="1"/>
    <x v="2"/>
    <m/>
    <m/>
    <x v="0"/>
    <x v="0"/>
    <s v="08738298"/>
    <s v="0000F00011"/>
    <x v="75"/>
    <x v="58"/>
    <x v="13"/>
    <x v="9"/>
    <x v="0"/>
  </r>
  <r>
    <n v="151"/>
    <m/>
    <m/>
    <m/>
    <m/>
    <x v="0"/>
    <x v="0"/>
    <x v="4"/>
    <x v="11"/>
    <x v="51"/>
    <x v="12"/>
    <x v="0"/>
    <x v="0"/>
    <x v="0"/>
    <m/>
    <m/>
    <m/>
    <x v="1"/>
    <m/>
    <x v="1"/>
    <x v="1"/>
    <x v="0"/>
    <x v="3"/>
    <x v="8"/>
    <x v="0"/>
    <x v="11"/>
    <m/>
    <x v="7"/>
    <x v="2"/>
    <x v="0"/>
    <x v="1"/>
    <x v="2"/>
    <m/>
    <m/>
    <x v="0"/>
    <x v="0"/>
    <s v="08869374"/>
    <s v="0000F00015"/>
    <x v="76"/>
    <x v="59"/>
    <x v="29"/>
    <x v="2"/>
    <x v="0"/>
  </r>
  <r>
    <n v="152"/>
    <m/>
    <m/>
    <m/>
    <m/>
    <x v="4"/>
    <x v="0"/>
    <x v="5"/>
    <x v="6"/>
    <x v="146"/>
    <x v="4"/>
    <x v="0"/>
    <x v="0"/>
    <x v="0"/>
    <m/>
    <m/>
    <m/>
    <x v="93"/>
    <m/>
    <x v="63"/>
    <x v="1"/>
    <x v="69"/>
    <x v="3"/>
    <x v="6"/>
    <x v="2"/>
    <x v="7"/>
    <m/>
    <x v="0"/>
    <x v="2"/>
    <x v="0"/>
    <x v="2"/>
    <x v="2"/>
    <m/>
    <m/>
    <x v="0"/>
    <x v="0"/>
    <s v="76359616"/>
    <s v="0000001755"/>
    <x v="77"/>
    <x v="60"/>
    <x v="25"/>
    <x v="10"/>
    <x v="0"/>
  </r>
  <r>
    <n v="153"/>
    <m/>
    <m/>
    <m/>
    <m/>
    <x v="4"/>
    <x v="0"/>
    <x v="5"/>
    <x v="6"/>
    <x v="147"/>
    <x v="4"/>
    <x v="0"/>
    <x v="0"/>
    <x v="0"/>
    <m/>
    <m/>
    <m/>
    <x v="94"/>
    <m/>
    <x v="46"/>
    <x v="1"/>
    <x v="70"/>
    <x v="3"/>
    <x v="6"/>
    <x v="2"/>
    <x v="7"/>
    <m/>
    <x v="0"/>
    <x v="2"/>
    <x v="0"/>
    <x v="2"/>
    <x v="2"/>
    <m/>
    <m/>
    <x v="0"/>
    <x v="0"/>
    <s v="07631677"/>
    <s v="0000000462"/>
    <x v="78"/>
    <x v="61"/>
    <x v="6"/>
    <x v="1"/>
    <x v="0"/>
  </r>
  <r>
    <n v="154"/>
    <m/>
    <m/>
    <m/>
    <m/>
    <x v="4"/>
    <x v="0"/>
    <x v="5"/>
    <x v="6"/>
    <x v="148"/>
    <x v="4"/>
    <x v="0"/>
    <x v="0"/>
    <x v="0"/>
    <m/>
    <m/>
    <m/>
    <x v="95"/>
    <m/>
    <x v="93"/>
    <x v="77"/>
    <x v="71"/>
    <x v="3"/>
    <x v="6"/>
    <x v="2"/>
    <x v="7"/>
    <m/>
    <x v="7"/>
    <x v="2"/>
    <x v="0"/>
    <x v="2"/>
    <x v="0"/>
    <m/>
    <m/>
    <x v="0"/>
    <x v="0"/>
    <s v="43828971"/>
    <s v="0000001297"/>
    <x v="79"/>
    <x v="38"/>
    <x v="23"/>
    <x v="3"/>
    <x v="0"/>
  </r>
  <r>
    <n v="155"/>
    <m/>
    <m/>
    <m/>
    <m/>
    <x v="4"/>
    <x v="0"/>
    <x v="5"/>
    <x v="6"/>
    <x v="149"/>
    <x v="4"/>
    <x v="0"/>
    <x v="0"/>
    <x v="0"/>
    <m/>
    <m/>
    <m/>
    <x v="1"/>
    <m/>
    <x v="94"/>
    <x v="1"/>
    <x v="72"/>
    <x v="3"/>
    <x v="6"/>
    <x v="2"/>
    <x v="7"/>
    <m/>
    <x v="0"/>
    <x v="2"/>
    <x v="0"/>
    <x v="2"/>
    <x v="0"/>
    <m/>
    <m/>
    <x v="0"/>
    <x v="0"/>
    <s v="06111494"/>
    <s v="0000000086"/>
    <x v="34"/>
    <x v="30"/>
    <x v="16"/>
    <x v="2"/>
    <x v="0"/>
  </r>
  <r>
    <n v="156"/>
    <m/>
    <m/>
    <m/>
    <m/>
    <x v="4"/>
    <x v="0"/>
    <x v="5"/>
    <x v="6"/>
    <x v="150"/>
    <x v="4"/>
    <x v="0"/>
    <x v="0"/>
    <x v="0"/>
    <m/>
    <m/>
    <m/>
    <x v="96"/>
    <m/>
    <x v="95"/>
    <x v="78"/>
    <x v="73"/>
    <x v="3"/>
    <x v="6"/>
    <x v="2"/>
    <x v="7"/>
    <m/>
    <x v="7"/>
    <x v="2"/>
    <x v="0"/>
    <x v="2"/>
    <x v="0"/>
    <m/>
    <m/>
    <x v="0"/>
    <x v="0"/>
    <s v="47156230"/>
    <s v="0000001236"/>
    <x v="23"/>
    <x v="21"/>
    <x v="11"/>
    <x v="8"/>
    <x v="0"/>
  </r>
  <r>
    <n v="157"/>
    <m/>
    <m/>
    <m/>
    <m/>
    <x v="4"/>
    <x v="0"/>
    <x v="5"/>
    <x v="6"/>
    <x v="151"/>
    <x v="4"/>
    <x v="0"/>
    <x v="0"/>
    <x v="0"/>
    <m/>
    <m/>
    <m/>
    <x v="97"/>
    <m/>
    <x v="96"/>
    <x v="1"/>
    <x v="74"/>
    <x v="3"/>
    <x v="6"/>
    <x v="2"/>
    <x v="7"/>
    <m/>
    <x v="0"/>
    <x v="2"/>
    <x v="0"/>
    <x v="2"/>
    <x v="2"/>
    <m/>
    <m/>
    <x v="0"/>
    <x v="0"/>
    <s v="72861241"/>
    <s v="0000P00506"/>
    <x v="80"/>
    <x v="62"/>
    <x v="18"/>
    <x v="8"/>
    <x v="0"/>
  </r>
  <r>
    <n v="158"/>
    <m/>
    <m/>
    <m/>
    <m/>
    <x v="1"/>
    <x v="0"/>
    <x v="5"/>
    <x v="9"/>
    <x v="152"/>
    <x v="1"/>
    <x v="0"/>
    <x v="0"/>
    <x v="0"/>
    <m/>
    <m/>
    <m/>
    <x v="1"/>
    <m/>
    <x v="1"/>
    <x v="1"/>
    <x v="0"/>
    <x v="1"/>
    <x v="1"/>
    <x v="1"/>
    <x v="1"/>
    <m/>
    <x v="1"/>
    <x v="6"/>
    <x v="1"/>
    <x v="1"/>
    <x v="1"/>
    <m/>
    <m/>
    <x v="0"/>
    <x v="0"/>
    <s v="46960867"/>
    <s v="0000001462"/>
    <x v="40"/>
    <x v="34"/>
    <x v="20"/>
    <x v="1"/>
    <x v="0"/>
  </r>
  <r>
    <n v="159"/>
    <m/>
    <m/>
    <m/>
    <m/>
    <x v="1"/>
    <x v="0"/>
    <x v="5"/>
    <x v="9"/>
    <x v="153"/>
    <x v="1"/>
    <x v="0"/>
    <x v="0"/>
    <x v="0"/>
    <m/>
    <m/>
    <m/>
    <x v="1"/>
    <m/>
    <x v="1"/>
    <x v="1"/>
    <x v="0"/>
    <x v="1"/>
    <x v="1"/>
    <x v="1"/>
    <x v="1"/>
    <m/>
    <x v="1"/>
    <x v="6"/>
    <x v="1"/>
    <x v="1"/>
    <x v="1"/>
    <m/>
    <m/>
    <x v="0"/>
    <x v="5"/>
    <s v="43329158"/>
    <s v="0000001417"/>
    <x v="44"/>
    <x v="38"/>
    <x v="23"/>
    <x v="3"/>
    <x v="0"/>
  </r>
  <r>
    <n v="160"/>
    <m/>
    <m/>
    <m/>
    <m/>
    <x v="4"/>
    <x v="0"/>
    <x v="5"/>
    <x v="6"/>
    <x v="154"/>
    <x v="4"/>
    <x v="0"/>
    <x v="0"/>
    <x v="0"/>
    <m/>
    <m/>
    <m/>
    <x v="98"/>
    <m/>
    <x v="97"/>
    <x v="78"/>
    <x v="75"/>
    <x v="3"/>
    <x v="6"/>
    <x v="2"/>
    <x v="6"/>
    <m/>
    <x v="0"/>
    <x v="2"/>
    <x v="0"/>
    <x v="1"/>
    <x v="2"/>
    <m/>
    <m/>
    <x v="0"/>
    <x v="0"/>
    <s v="71544844"/>
    <s v="0000001448"/>
    <x v="81"/>
    <x v="63"/>
    <x v="30"/>
    <x v="8"/>
    <x v="0"/>
  </r>
  <r>
    <n v="161"/>
    <m/>
    <m/>
    <m/>
    <m/>
    <x v="4"/>
    <x v="0"/>
    <x v="5"/>
    <x v="6"/>
    <x v="155"/>
    <x v="4"/>
    <x v="0"/>
    <x v="0"/>
    <x v="0"/>
    <m/>
    <m/>
    <m/>
    <x v="99"/>
    <m/>
    <x v="98"/>
    <x v="1"/>
    <x v="76"/>
    <x v="3"/>
    <x v="6"/>
    <x v="2"/>
    <x v="7"/>
    <m/>
    <x v="0"/>
    <x v="2"/>
    <x v="0"/>
    <x v="1"/>
    <x v="0"/>
    <m/>
    <m/>
    <x v="0"/>
    <x v="0"/>
    <s v="09844674"/>
    <n v="0"/>
    <x v="82"/>
    <x v="64"/>
    <x v="9"/>
    <x v="7"/>
    <x v="0"/>
  </r>
  <r>
    <n v="162"/>
    <m/>
    <m/>
    <m/>
    <m/>
    <x v="4"/>
    <x v="0"/>
    <x v="5"/>
    <x v="6"/>
    <x v="156"/>
    <x v="4"/>
    <x v="0"/>
    <x v="0"/>
    <x v="0"/>
    <m/>
    <m/>
    <m/>
    <x v="1"/>
    <m/>
    <x v="99"/>
    <x v="1"/>
    <x v="0"/>
    <x v="3"/>
    <x v="6"/>
    <x v="2"/>
    <x v="7"/>
    <m/>
    <x v="0"/>
    <x v="2"/>
    <x v="0"/>
    <x v="1"/>
    <x v="0"/>
    <m/>
    <m/>
    <x v="0"/>
    <x v="0"/>
    <s v="08906688"/>
    <s v="0000000304"/>
    <x v="83"/>
    <x v="65"/>
    <x v="9"/>
    <x v="7"/>
    <x v="0"/>
  </r>
  <r>
    <n v="163"/>
    <m/>
    <m/>
    <m/>
    <m/>
    <x v="4"/>
    <x v="0"/>
    <x v="0"/>
    <x v="18"/>
    <x v="157"/>
    <x v="5"/>
    <x v="0"/>
    <x v="0"/>
    <x v="0"/>
    <m/>
    <m/>
    <m/>
    <x v="1"/>
    <m/>
    <x v="1"/>
    <x v="1"/>
    <x v="0"/>
    <x v="3"/>
    <x v="6"/>
    <x v="2"/>
    <x v="3"/>
    <m/>
    <x v="3"/>
    <x v="2"/>
    <x v="4"/>
    <x v="1"/>
    <x v="0"/>
    <m/>
    <m/>
    <x v="0"/>
    <x v="0"/>
    <s v="44817223"/>
    <s v="0000001496"/>
    <x v="84"/>
    <x v="66"/>
    <x v="9"/>
    <x v="7"/>
    <x v="0"/>
  </r>
  <r>
    <n v="164"/>
    <m/>
    <m/>
    <m/>
    <m/>
    <x v="4"/>
    <x v="0"/>
    <x v="5"/>
    <x v="6"/>
    <x v="158"/>
    <x v="4"/>
    <x v="0"/>
    <x v="0"/>
    <x v="0"/>
    <m/>
    <m/>
    <m/>
    <x v="1"/>
    <m/>
    <x v="100"/>
    <x v="1"/>
    <x v="77"/>
    <x v="3"/>
    <x v="6"/>
    <x v="2"/>
    <x v="7"/>
    <m/>
    <x v="0"/>
    <x v="2"/>
    <x v="0"/>
    <x v="1"/>
    <x v="0"/>
    <m/>
    <m/>
    <x v="0"/>
    <x v="0"/>
    <s v="48319738"/>
    <s v="0000001697"/>
    <x v="85"/>
    <x v="4"/>
    <x v="3"/>
    <x v="3"/>
    <x v="0"/>
  </r>
  <r>
    <n v="165"/>
    <m/>
    <m/>
    <m/>
    <m/>
    <x v="4"/>
    <x v="0"/>
    <x v="5"/>
    <x v="6"/>
    <x v="159"/>
    <x v="4"/>
    <x v="0"/>
    <x v="0"/>
    <x v="0"/>
    <m/>
    <m/>
    <m/>
    <x v="1"/>
    <m/>
    <x v="101"/>
    <x v="79"/>
    <x v="0"/>
    <x v="3"/>
    <x v="6"/>
    <x v="2"/>
    <x v="7"/>
    <m/>
    <x v="0"/>
    <x v="2"/>
    <x v="0"/>
    <x v="1"/>
    <x v="0"/>
    <m/>
    <m/>
    <x v="0"/>
    <x v="0"/>
    <s v="44260173"/>
    <s v="0000001151"/>
    <x v="86"/>
    <x v="67"/>
    <x v="3"/>
    <x v="3"/>
    <x v="0"/>
  </r>
  <r>
    <n v="166"/>
    <m/>
    <m/>
    <m/>
    <m/>
    <x v="4"/>
    <x v="0"/>
    <x v="5"/>
    <x v="6"/>
    <x v="160"/>
    <x v="4"/>
    <x v="0"/>
    <x v="0"/>
    <x v="0"/>
    <m/>
    <m/>
    <m/>
    <x v="100"/>
    <m/>
    <x v="102"/>
    <x v="1"/>
    <x v="78"/>
    <x v="3"/>
    <x v="6"/>
    <x v="2"/>
    <x v="7"/>
    <m/>
    <x v="0"/>
    <x v="2"/>
    <x v="0"/>
    <x v="1"/>
    <x v="0"/>
    <m/>
    <m/>
    <x v="0"/>
    <x v="0"/>
    <s v="74209452"/>
    <s v="0000P00625"/>
    <x v="87"/>
    <x v="7"/>
    <x v="2"/>
    <x v="2"/>
    <x v="0"/>
  </r>
  <r>
    <n v="167"/>
    <m/>
    <m/>
    <m/>
    <m/>
    <x v="4"/>
    <x v="0"/>
    <x v="5"/>
    <x v="6"/>
    <x v="161"/>
    <x v="4"/>
    <x v="0"/>
    <x v="0"/>
    <x v="0"/>
    <m/>
    <m/>
    <m/>
    <x v="1"/>
    <m/>
    <x v="35"/>
    <x v="80"/>
    <x v="79"/>
    <x v="3"/>
    <x v="6"/>
    <x v="2"/>
    <x v="6"/>
    <m/>
    <x v="0"/>
    <x v="2"/>
    <x v="0"/>
    <x v="1"/>
    <x v="2"/>
    <m/>
    <m/>
    <x v="0"/>
    <x v="0"/>
    <s v="09961825"/>
    <s v="0000001576"/>
    <x v="88"/>
    <x v="68"/>
    <x v="31"/>
    <x v="5"/>
    <x v="0"/>
  </r>
  <r>
    <n v="168"/>
    <m/>
    <m/>
    <m/>
    <m/>
    <x v="7"/>
    <x v="0"/>
    <x v="10"/>
    <x v="11"/>
    <x v="51"/>
    <x v="1"/>
    <x v="0"/>
    <x v="0"/>
    <x v="0"/>
    <m/>
    <m/>
    <m/>
    <x v="101"/>
    <m/>
    <x v="1"/>
    <x v="1"/>
    <x v="80"/>
    <x v="5"/>
    <x v="1"/>
    <x v="2"/>
    <x v="3"/>
    <m/>
    <x v="10"/>
    <x v="2"/>
    <x v="5"/>
    <x v="4"/>
    <x v="1"/>
    <m/>
    <m/>
    <x v="0"/>
    <x v="4"/>
    <s v="La Fondue"/>
    <n v="0"/>
    <x v="89"/>
    <x v="69"/>
    <x v="32"/>
    <x v="1"/>
    <x v="42"/>
  </r>
  <r>
    <n v="169"/>
    <m/>
    <m/>
    <m/>
    <m/>
    <x v="4"/>
    <x v="0"/>
    <x v="4"/>
    <x v="5"/>
    <x v="51"/>
    <x v="13"/>
    <x v="0"/>
    <x v="0"/>
    <x v="0"/>
    <m/>
    <m/>
    <m/>
    <x v="1"/>
    <m/>
    <x v="103"/>
    <x v="1"/>
    <x v="81"/>
    <x v="0"/>
    <x v="3"/>
    <x v="2"/>
    <x v="4"/>
    <m/>
    <x v="4"/>
    <x v="2"/>
    <x v="0"/>
    <x v="2"/>
    <x v="2"/>
    <m/>
    <m/>
    <x v="0"/>
    <x v="0"/>
    <s v="07644641"/>
    <s v="0000000566"/>
    <x v="90"/>
    <x v="70"/>
    <x v="2"/>
    <x v="2"/>
    <x v="0"/>
  </r>
  <r>
    <n v="170"/>
    <m/>
    <m/>
    <m/>
    <m/>
    <x v="1"/>
    <x v="0"/>
    <x v="5"/>
    <x v="9"/>
    <x v="162"/>
    <x v="1"/>
    <x v="0"/>
    <x v="0"/>
    <x v="0"/>
    <m/>
    <m/>
    <m/>
    <x v="1"/>
    <m/>
    <x v="1"/>
    <x v="1"/>
    <x v="0"/>
    <x v="1"/>
    <x v="1"/>
    <x v="1"/>
    <x v="1"/>
    <m/>
    <x v="1"/>
    <x v="7"/>
    <x v="1"/>
    <x v="1"/>
    <x v="1"/>
    <m/>
    <m/>
    <x v="0"/>
    <x v="0"/>
    <s v="72154252"/>
    <s v="0000P00756"/>
    <x v="91"/>
    <x v="17"/>
    <x v="9"/>
    <x v="7"/>
    <x v="0"/>
  </r>
  <r>
    <n v="171"/>
    <m/>
    <m/>
    <m/>
    <m/>
    <x v="4"/>
    <x v="0"/>
    <x v="0"/>
    <x v="18"/>
    <x v="163"/>
    <x v="5"/>
    <x v="0"/>
    <x v="0"/>
    <x v="0"/>
    <m/>
    <m/>
    <m/>
    <x v="102"/>
    <m/>
    <x v="104"/>
    <x v="81"/>
    <x v="0"/>
    <x v="3"/>
    <x v="6"/>
    <x v="2"/>
    <x v="6"/>
    <m/>
    <x v="7"/>
    <x v="2"/>
    <x v="0"/>
    <x v="1"/>
    <x v="0"/>
    <m/>
    <m/>
    <x v="0"/>
    <x v="0"/>
    <s v="74649557"/>
    <s v="0000001542"/>
    <x v="92"/>
    <x v="35"/>
    <x v="33"/>
    <x v="1"/>
    <x v="0"/>
  </r>
  <r>
    <n v="172"/>
    <m/>
    <m/>
    <m/>
    <m/>
    <x v="3"/>
    <x v="0"/>
    <x v="1"/>
    <x v="25"/>
    <x v="164"/>
    <x v="1"/>
    <x v="1"/>
    <x v="2"/>
    <x v="2"/>
    <m/>
    <m/>
    <m/>
    <x v="1"/>
    <s v="A4-9F-E7-6A-D8-F7"/>
    <x v="1"/>
    <x v="1"/>
    <x v="0"/>
    <x v="2"/>
    <x v="1"/>
    <x v="1"/>
    <x v="2"/>
    <m/>
    <x v="2"/>
    <x v="2"/>
    <x v="2"/>
    <x v="1"/>
    <x v="1"/>
    <m/>
    <m/>
    <x v="0"/>
    <x v="0"/>
    <s v="08906688"/>
    <s v="0000000304"/>
    <x v="83"/>
    <x v="65"/>
    <x v="9"/>
    <x v="7"/>
    <x v="0"/>
  </r>
  <r>
    <n v="173"/>
    <m/>
    <m/>
    <m/>
    <m/>
    <x v="3"/>
    <x v="0"/>
    <x v="11"/>
    <x v="26"/>
    <x v="165"/>
    <x v="1"/>
    <x v="1"/>
    <x v="3"/>
    <x v="3"/>
    <n v="865451068887818"/>
    <m/>
    <m/>
    <x v="1"/>
    <s v="CC-42-10-C8-38-48"/>
    <x v="1"/>
    <x v="1"/>
    <x v="0"/>
    <x v="2"/>
    <x v="1"/>
    <x v="1"/>
    <x v="2"/>
    <m/>
    <x v="2"/>
    <x v="2"/>
    <x v="2"/>
    <x v="1"/>
    <x v="1"/>
    <m/>
    <m/>
    <x v="0"/>
    <x v="0"/>
    <s v="Housekeeping"/>
    <s v="Housekeeping"/>
    <x v="93"/>
    <x v="71"/>
    <x v="23"/>
    <x v="3"/>
    <x v="43"/>
  </r>
  <r>
    <n v="174"/>
    <m/>
    <m/>
    <m/>
    <m/>
    <x v="3"/>
    <x v="0"/>
    <x v="11"/>
    <x v="26"/>
    <x v="166"/>
    <x v="1"/>
    <x v="1"/>
    <x v="4"/>
    <x v="4"/>
    <n v="865451068730810"/>
    <m/>
    <m/>
    <x v="1"/>
    <s v="CC-42-10-C7-FA-F4"/>
    <x v="1"/>
    <x v="1"/>
    <x v="0"/>
    <x v="2"/>
    <x v="1"/>
    <x v="1"/>
    <x v="2"/>
    <m/>
    <x v="2"/>
    <x v="2"/>
    <x v="2"/>
    <x v="1"/>
    <x v="1"/>
    <m/>
    <m/>
    <x v="0"/>
    <x v="0"/>
    <s v="Housekeeping"/>
    <s v="Housekeeping"/>
    <x v="93"/>
    <x v="71"/>
    <x v="23"/>
    <x v="3"/>
    <x v="43"/>
  </r>
  <r>
    <n v="175"/>
    <m/>
    <m/>
    <m/>
    <m/>
    <x v="3"/>
    <x v="0"/>
    <x v="11"/>
    <x v="27"/>
    <x v="167"/>
    <x v="1"/>
    <x v="1"/>
    <x v="0"/>
    <x v="5"/>
    <n v="862805074027375"/>
    <m/>
    <m/>
    <x v="1"/>
    <m/>
    <x v="1"/>
    <x v="1"/>
    <x v="0"/>
    <x v="2"/>
    <x v="1"/>
    <x v="1"/>
    <x v="2"/>
    <m/>
    <x v="2"/>
    <x v="2"/>
    <x v="2"/>
    <x v="1"/>
    <x v="1"/>
    <m/>
    <m/>
    <x v="0"/>
    <x v="4"/>
    <s v="Sistemas"/>
    <n v="0"/>
    <x v="2"/>
    <x v="2"/>
    <x v="0"/>
    <x v="0"/>
    <x v="44"/>
  </r>
  <r>
    <n v="176"/>
    <m/>
    <m/>
    <m/>
    <m/>
    <x v="3"/>
    <x v="0"/>
    <x v="1"/>
    <x v="25"/>
    <x v="168"/>
    <x v="1"/>
    <x v="1"/>
    <x v="5"/>
    <x v="6"/>
    <m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45809468"/>
    <s v="0000001510"/>
    <x v="28"/>
    <x v="26"/>
    <x v="4"/>
    <x v="4"/>
    <x v="0"/>
  </r>
  <r>
    <n v="177"/>
    <m/>
    <m/>
    <m/>
    <m/>
    <x v="3"/>
    <x v="0"/>
    <x v="2"/>
    <x v="28"/>
    <x v="169"/>
    <x v="1"/>
    <x v="1"/>
    <x v="6"/>
    <x v="7"/>
    <m/>
    <m/>
    <m/>
    <x v="1"/>
    <m/>
    <x v="1"/>
    <x v="1"/>
    <x v="0"/>
    <x v="2"/>
    <x v="1"/>
    <x v="1"/>
    <x v="13"/>
    <m/>
    <x v="10"/>
    <x v="2"/>
    <x v="2"/>
    <x v="1"/>
    <x v="1"/>
    <m/>
    <m/>
    <x v="0"/>
    <x v="0"/>
    <s v="41108703"/>
    <s v="0000000735"/>
    <x v="94"/>
    <x v="72"/>
    <x v="9"/>
    <x v="7"/>
    <x v="0"/>
  </r>
  <r>
    <n v="178"/>
    <m/>
    <m/>
    <m/>
    <m/>
    <x v="4"/>
    <x v="0"/>
    <x v="0"/>
    <x v="18"/>
    <x v="170"/>
    <x v="5"/>
    <x v="0"/>
    <x v="0"/>
    <x v="0"/>
    <m/>
    <m/>
    <m/>
    <x v="103"/>
    <m/>
    <x v="86"/>
    <x v="1"/>
    <x v="82"/>
    <x v="0"/>
    <x v="6"/>
    <x v="2"/>
    <x v="7"/>
    <m/>
    <x v="0"/>
    <x v="2"/>
    <x v="0"/>
    <x v="2"/>
    <x v="0"/>
    <m/>
    <m/>
    <x v="0"/>
    <x v="0"/>
    <s v="76504272"/>
    <s v="0000001709"/>
    <x v="95"/>
    <x v="73"/>
    <x v="3"/>
    <x v="3"/>
    <x v="0"/>
  </r>
  <r>
    <n v="179"/>
    <d v="2026-01-08T00:00:00"/>
    <m/>
    <m/>
    <s v="TDE1-00064628"/>
    <x v="3"/>
    <x v="0"/>
    <x v="1"/>
    <x v="25"/>
    <x v="171"/>
    <x v="1"/>
    <x v="1"/>
    <x v="7"/>
    <x v="8"/>
    <m/>
    <m/>
    <m/>
    <x v="104"/>
    <m/>
    <x v="1"/>
    <x v="1"/>
    <x v="0"/>
    <x v="2"/>
    <x v="1"/>
    <x v="1"/>
    <x v="2"/>
    <m/>
    <x v="2"/>
    <x v="2"/>
    <x v="2"/>
    <x v="1"/>
    <x v="1"/>
    <m/>
    <m/>
    <x v="0"/>
    <x v="0"/>
    <s v="07631677"/>
    <s v="0000000462"/>
    <x v="78"/>
    <x v="61"/>
    <x v="6"/>
    <x v="1"/>
    <x v="0"/>
  </r>
  <r>
    <n v="180"/>
    <d v="2026-01-29T00:00:00"/>
    <m/>
    <m/>
    <s v="TDE1-00065775"/>
    <x v="3"/>
    <x v="0"/>
    <x v="1"/>
    <x v="25"/>
    <x v="172"/>
    <x v="1"/>
    <x v="1"/>
    <x v="8"/>
    <x v="9"/>
    <m/>
    <m/>
    <m/>
    <x v="105"/>
    <m/>
    <x v="1"/>
    <x v="1"/>
    <x v="0"/>
    <x v="2"/>
    <x v="1"/>
    <x v="1"/>
    <x v="2"/>
    <m/>
    <x v="2"/>
    <x v="2"/>
    <x v="2"/>
    <x v="1"/>
    <x v="1"/>
    <m/>
    <m/>
    <x v="0"/>
    <x v="0"/>
    <s v="Gerente de Turno"/>
    <n v="0"/>
    <x v="96"/>
    <x v="36"/>
    <x v="3"/>
    <x v="3"/>
    <x v="0"/>
  </r>
  <r>
    <n v="181"/>
    <d v="2026-01-29T00:00:00"/>
    <m/>
    <m/>
    <s v="TDE1-00065775"/>
    <x v="3"/>
    <x v="0"/>
    <x v="1"/>
    <x v="25"/>
    <x v="173"/>
    <x v="1"/>
    <x v="1"/>
    <x v="0"/>
    <x v="10"/>
    <m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02856974"/>
    <s v="0000001501"/>
    <x v="15"/>
    <x v="14"/>
    <x v="0"/>
    <x v="0"/>
    <x v="45"/>
  </r>
  <r>
    <n v="182"/>
    <d v="2026-01-29T00:00:00"/>
    <m/>
    <m/>
    <s v="TDE1-00065775"/>
    <x v="3"/>
    <x v="0"/>
    <x v="1"/>
    <x v="25"/>
    <x v="174"/>
    <x v="1"/>
    <x v="1"/>
    <x v="0"/>
    <x v="11"/>
    <m/>
    <m/>
    <m/>
    <x v="1"/>
    <m/>
    <x v="1"/>
    <x v="1"/>
    <x v="0"/>
    <x v="2"/>
    <x v="1"/>
    <x v="1"/>
    <x v="2"/>
    <m/>
    <x v="2"/>
    <x v="2"/>
    <x v="2"/>
    <x v="1"/>
    <x v="1"/>
    <m/>
    <m/>
    <x v="0"/>
    <x v="2"/>
    <s v="Puesto de Control"/>
    <e v="#N/A"/>
    <x v="13"/>
    <x v="12"/>
    <x v="8"/>
    <x v="6"/>
    <x v="46"/>
  </r>
  <r>
    <n v="183"/>
    <d v="2026-01-29T00:00:00"/>
    <m/>
    <m/>
    <s v="TDE1-00065775"/>
    <x v="3"/>
    <x v="0"/>
    <x v="1"/>
    <x v="25"/>
    <x v="175"/>
    <x v="1"/>
    <x v="1"/>
    <x v="9"/>
    <x v="12"/>
    <m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46960867"/>
    <s v="0000001462"/>
    <x v="40"/>
    <x v="34"/>
    <x v="20"/>
    <x v="1"/>
    <x v="47"/>
  </r>
  <r>
    <n v="184"/>
    <d v="2026-01-29T00:00:00"/>
    <m/>
    <m/>
    <s v="TDE1-00065775"/>
    <x v="3"/>
    <x v="0"/>
    <x v="1"/>
    <x v="25"/>
    <x v="176"/>
    <x v="1"/>
    <x v="1"/>
    <x v="10"/>
    <x v="13"/>
    <m/>
    <m/>
    <m/>
    <x v="1"/>
    <m/>
    <x v="1"/>
    <x v="1"/>
    <x v="0"/>
    <x v="2"/>
    <x v="1"/>
    <x v="1"/>
    <x v="2"/>
    <m/>
    <x v="2"/>
    <x v="3"/>
    <x v="2"/>
    <x v="1"/>
    <x v="1"/>
    <m/>
    <m/>
    <x v="0"/>
    <x v="0"/>
    <s v="47840820"/>
    <s v="0000001708"/>
    <x v="27"/>
    <x v="25"/>
    <x v="14"/>
    <x v="4"/>
    <x v="48"/>
  </r>
  <r>
    <n v="185"/>
    <d v="2026-01-29T00:00:00"/>
    <m/>
    <m/>
    <s v="TDE1-00065775"/>
    <x v="3"/>
    <x v="0"/>
    <x v="1"/>
    <x v="25"/>
    <x v="177"/>
    <x v="1"/>
    <x v="1"/>
    <x v="11"/>
    <x v="14"/>
    <m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10590738"/>
    <n v="0"/>
    <x v="3"/>
    <x v="3"/>
    <x v="2"/>
    <x v="2"/>
    <x v="0"/>
  </r>
  <r>
    <n v="186"/>
    <d v="2026-01-29T00:00:00"/>
    <m/>
    <m/>
    <s v="TDE1-00065775"/>
    <x v="3"/>
    <x v="0"/>
    <x v="1"/>
    <x v="25"/>
    <x v="178"/>
    <x v="1"/>
    <x v="1"/>
    <x v="0"/>
    <x v="15"/>
    <m/>
    <m/>
    <m/>
    <x v="1"/>
    <m/>
    <x v="1"/>
    <x v="1"/>
    <x v="0"/>
    <x v="2"/>
    <x v="1"/>
    <x v="1"/>
    <x v="2"/>
    <m/>
    <x v="2"/>
    <x v="2"/>
    <x v="2"/>
    <x v="1"/>
    <x v="1"/>
    <m/>
    <m/>
    <x v="0"/>
    <x v="2"/>
    <s v="Puesto de Control"/>
    <e v="#N/A"/>
    <x v="13"/>
    <x v="12"/>
    <x v="8"/>
    <x v="6"/>
    <x v="49"/>
  </r>
  <r>
    <n v="187"/>
    <m/>
    <m/>
    <m/>
    <m/>
    <x v="3"/>
    <x v="0"/>
    <x v="11"/>
    <x v="26"/>
    <x v="179"/>
    <x v="1"/>
    <x v="1"/>
    <x v="12"/>
    <x v="16"/>
    <n v="865451068744670"/>
    <m/>
    <m/>
    <x v="1"/>
    <m/>
    <x v="1"/>
    <x v="1"/>
    <x v="0"/>
    <x v="2"/>
    <x v="1"/>
    <x v="1"/>
    <x v="2"/>
    <m/>
    <x v="2"/>
    <x v="2"/>
    <x v="2"/>
    <x v="1"/>
    <x v="1"/>
    <m/>
    <m/>
    <x v="0"/>
    <x v="4"/>
    <s v="09692690"/>
    <s v="0000000269"/>
    <x v="12"/>
    <x v="11"/>
    <x v="7"/>
    <x v="1"/>
    <x v="50"/>
  </r>
  <r>
    <n v="188"/>
    <d v="2026-01-30T00:00:00"/>
    <m/>
    <m/>
    <s v="TDE1-00065893"/>
    <x v="3"/>
    <x v="0"/>
    <x v="1"/>
    <x v="29"/>
    <x v="180"/>
    <x v="1"/>
    <x v="1"/>
    <x v="13"/>
    <x v="17"/>
    <m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41994040"/>
    <s v="0000001121"/>
    <x v="31"/>
    <x v="29"/>
    <x v="4"/>
    <x v="4"/>
    <x v="0"/>
  </r>
  <r>
    <n v="189"/>
    <d v="2026-01-30T00:00:00"/>
    <m/>
    <m/>
    <s v="TDE1-00065893"/>
    <x v="3"/>
    <x v="0"/>
    <x v="1"/>
    <x v="29"/>
    <x v="181"/>
    <x v="1"/>
    <x v="1"/>
    <x v="14"/>
    <x v="18"/>
    <m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72504034"/>
    <s v="0000001717"/>
    <x v="73"/>
    <x v="51"/>
    <x v="4"/>
    <x v="4"/>
    <x v="0"/>
  </r>
  <r>
    <n v="190"/>
    <d v="2026-01-30T00:00:00"/>
    <m/>
    <m/>
    <s v="TDE1-00065893"/>
    <x v="3"/>
    <x v="0"/>
    <x v="1"/>
    <x v="29"/>
    <x v="182"/>
    <x v="1"/>
    <x v="1"/>
    <x v="0"/>
    <x v="19"/>
    <m/>
    <m/>
    <m/>
    <x v="1"/>
    <m/>
    <x v="1"/>
    <x v="1"/>
    <x v="0"/>
    <x v="2"/>
    <x v="1"/>
    <x v="1"/>
    <x v="2"/>
    <m/>
    <x v="2"/>
    <x v="2"/>
    <x v="2"/>
    <x v="1"/>
    <x v="1"/>
    <m/>
    <m/>
    <x v="0"/>
    <x v="1"/>
    <s v="Sistemas"/>
    <n v="0"/>
    <x v="2"/>
    <x v="2"/>
    <x v="0"/>
    <x v="0"/>
    <x v="0"/>
  </r>
  <r>
    <n v="191"/>
    <d v="2026-01-30T00:00:00"/>
    <m/>
    <m/>
    <s v="TDE1-00065893"/>
    <x v="3"/>
    <x v="0"/>
    <x v="1"/>
    <x v="29"/>
    <x v="183"/>
    <x v="1"/>
    <x v="1"/>
    <x v="15"/>
    <x v="20"/>
    <m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40263172"/>
    <s v="0000000868"/>
    <x v="20"/>
    <x v="18"/>
    <x v="10"/>
    <x v="4"/>
    <x v="0"/>
  </r>
  <r>
    <n v="192"/>
    <d v="2026-01-30T00:00:00"/>
    <m/>
    <m/>
    <s v="TDE1-00065893"/>
    <x v="3"/>
    <x v="0"/>
    <x v="1"/>
    <x v="29"/>
    <x v="184"/>
    <x v="1"/>
    <x v="1"/>
    <x v="16"/>
    <x v="21"/>
    <m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25830800"/>
    <s v="0000000736"/>
    <x v="71"/>
    <x v="26"/>
    <x v="4"/>
    <x v="4"/>
    <x v="51"/>
  </r>
  <r>
    <n v="193"/>
    <d v="2026-01-30T00:00:00"/>
    <m/>
    <m/>
    <s v="TDE1-00065893"/>
    <x v="3"/>
    <x v="0"/>
    <x v="1"/>
    <x v="29"/>
    <x v="185"/>
    <x v="1"/>
    <x v="1"/>
    <x v="17"/>
    <x v="22"/>
    <m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n v="12345678"/>
    <n v="0"/>
    <x v="97"/>
    <x v="74"/>
    <x v="4"/>
    <x v="4"/>
    <x v="45"/>
  </r>
  <r>
    <n v="194"/>
    <d v="2026-01-30T00:00:00"/>
    <m/>
    <m/>
    <s v="TDE1-00065893"/>
    <x v="3"/>
    <x v="0"/>
    <x v="1"/>
    <x v="29"/>
    <x v="186"/>
    <x v="1"/>
    <x v="1"/>
    <x v="18"/>
    <x v="23"/>
    <m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02856974"/>
    <s v="0000001501"/>
    <x v="15"/>
    <x v="14"/>
    <x v="0"/>
    <x v="0"/>
    <x v="0"/>
  </r>
  <r>
    <n v="195"/>
    <d v="2026-01-30T00:00:00"/>
    <m/>
    <m/>
    <s v="TDE1-00065893"/>
    <x v="3"/>
    <x v="0"/>
    <x v="1"/>
    <x v="29"/>
    <x v="187"/>
    <x v="1"/>
    <x v="1"/>
    <x v="19"/>
    <x v="24"/>
    <m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Supervisor CyM"/>
    <n v="0"/>
    <x v="98"/>
    <x v="8"/>
    <x v="5"/>
    <x v="5"/>
    <x v="52"/>
  </r>
  <r>
    <n v="196"/>
    <d v="2026-01-30T00:00:00"/>
    <m/>
    <m/>
    <s v="TDE1-00065893"/>
    <x v="3"/>
    <x v="0"/>
    <x v="1"/>
    <x v="29"/>
    <x v="188"/>
    <x v="1"/>
    <x v="1"/>
    <x v="20"/>
    <x v="25"/>
    <m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41302115"/>
    <s v="0000001663"/>
    <x v="48"/>
    <x v="42"/>
    <x v="23"/>
    <x v="3"/>
    <x v="0"/>
  </r>
  <r>
    <n v="197"/>
    <d v="2026-01-30T00:00:00"/>
    <m/>
    <m/>
    <s v="TDE1-00065893"/>
    <x v="3"/>
    <x v="0"/>
    <x v="1"/>
    <x v="29"/>
    <x v="189"/>
    <x v="1"/>
    <x v="1"/>
    <x v="21"/>
    <x v="26"/>
    <m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15356442"/>
    <s v="0000000844"/>
    <x v="58"/>
    <x v="50"/>
    <x v="5"/>
    <x v="5"/>
    <x v="0"/>
  </r>
  <r>
    <n v="198"/>
    <d v="2026-01-30T00:00:00"/>
    <m/>
    <m/>
    <s v="TDE1-00065893"/>
    <x v="3"/>
    <x v="0"/>
    <x v="1"/>
    <x v="29"/>
    <x v="190"/>
    <x v="1"/>
    <x v="1"/>
    <x v="22"/>
    <x v="27"/>
    <m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44247838"/>
    <s v="0000001516"/>
    <x v="29"/>
    <x v="27"/>
    <x v="10"/>
    <x v="4"/>
    <x v="0"/>
  </r>
  <r>
    <n v="199"/>
    <d v="2026-01-30T00:00:00"/>
    <m/>
    <m/>
    <s v="TDE1-00065893"/>
    <x v="3"/>
    <x v="0"/>
    <x v="1"/>
    <x v="29"/>
    <x v="191"/>
    <x v="1"/>
    <x v="1"/>
    <x v="23"/>
    <x v="28"/>
    <m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75521197"/>
    <s v="0000001580"/>
    <x v="16"/>
    <x v="15"/>
    <x v="6"/>
    <x v="1"/>
    <x v="0"/>
  </r>
  <r>
    <n v="200"/>
    <d v="2026-01-30T00:00:00"/>
    <m/>
    <m/>
    <s v="TDE1-00065893"/>
    <x v="3"/>
    <x v="0"/>
    <x v="1"/>
    <x v="29"/>
    <x v="192"/>
    <x v="1"/>
    <x v="1"/>
    <x v="24"/>
    <x v="29"/>
    <m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Housekeeping"/>
    <s v="Housekeeping"/>
    <x v="93"/>
    <x v="71"/>
    <x v="23"/>
    <x v="3"/>
    <x v="0"/>
  </r>
  <r>
    <n v="201"/>
    <d v="2026-01-30T00:00:00"/>
    <m/>
    <m/>
    <s v="TDE1-00065893"/>
    <x v="3"/>
    <x v="0"/>
    <x v="1"/>
    <x v="29"/>
    <x v="193"/>
    <x v="1"/>
    <x v="1"/>
    <x v="25"/>
    <x v="30"/>
    <m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45818643"/>
    <s v="0000001110"/>
    <x v="60"/>
    <x v="51"/>
    <x v="4"/>
    <x v="4"/>
    <x v="0"/>
  </r>
  <r>
    <n v="202"/>
    <d v="2026-02-03T00:00:00"/>
    <m/>
    <m/>
    <s v="TDE1-00066042"/>
    <x v="3"/>
    <x v="0"/>
    <x v="1"/>
    <x v="29"/>
    <x v="194"/>
    <x v="1"/>
    <x v="1"/>
    <x v="26"/>
    <x v="31"/>
    <m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74092275"/>
    <s v="0000001714"/>
    <x v="67"/>
    <x v="51"/>
    <x v="4"/>
    <x v="4"/>
    <x v="0"/>
  </r>
  <r>
    <n v="203"/>
    <d v="2026-02-03T00:00:00"/>
    <m/>
    <m/>
    <s v="TDE1-00066042"/>
    <x v="3"/>
    <x v="0"/>
    <x v="1"/>
    <x v="29"/>
    <x v="195"/>
    <x v="1"/>
    <x v="1"/>
    <x v="27"/>
    <x v="32"/>
    <m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46421369"/>
    <s v="0000001207"/>
    <x v="59"/>
    <x v="16"/>
    <x v="4"/>
    <x v="4"/>
    <x v="0"/>
  </r>
  <r>
    <n v="204"/>
    <d v="2026-02-05T00:00:00"/>
    <m/>
    <m/>
    <s v="TDE1-00066155"/>
    <x v="3"/>
    <x v="0"/>
    <x v="1"/>
    <x v="29"/>
    <x v="196"/>
    <x v="1"/>
    <x v="1"/>
    <x v="28"/>
    <x v="33"/>
    <m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74767236"/>
    <s v="0000001760"/>
    <x v="24"/>
    <x v="22"/>
    <x v="12"/>
    <x v="8"/>
    <x v="0"/>
  </r>
  <r>
    <n v="205"/>
    <d v="2026-02-05T00:00:00"/>
    <m/>
    <m/>
    <s v="TDE1-00066155"/>
    <x v="3"/>
    <x v="0"/>
    <x v="1"/>
    <x v="29"/>
    <x v="197"/>
    <x v="1"/>
    <x v="1"/>
    <x v="29"/>
    <x v="34"/>
    <m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47156230"/>
    <s v="0000001236"/>
    <x v="23"/>
    <x v="21"/>
    <x v="11"/>
    <x v="8"/>
    <x v="0"/>
  </r>
  <r>
    <n v="206"/>
    <m/>
    <m/>
    <m/>
    <m/>
    <x v="3"/>
    <x v="0"/>
    <x v="11"/>
    <x v="26"/>
    <x v="198"/>
    <x v="1"/>
    <x v="1"/>
    <x v="12"/>
    <x v="35"/>
    <n v="865451068883775"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09692690"/>
    <s v="0000000269"/>
    <x v="12"/>
    <x v="11"/>
    <x v="7"/>
    <x v="1"/>
    <x v="53"/>
  </r>
  <r>
    <n v="207"/>
    <d v="2026-02-17T00:00:00"/>
    <m/>
    <m/>
    <m/>
    <x v="8"/>
    <x v="1"/>
    <x v="12"/>
    <x v="30"/>
    <x v="199"/>
    <x v="1"/>
    <x v="0"/>
    <x v="0"/>
    <x v="0"/>
    <m/>
    <m/>
    <m/>
    <x v="106"/>
    <s v="24-5E-BE-95-94-F7"/>
    <x v="105"/>
    <x v="82"/>
    <x v="0"/>
    <x v="6"/>
    <x v="1"/>
    <x v="1"/>
    <x v="2"/>
    <m/>
    <x v="11"/>
    <x v="2"/>
    <x v="6"/>
    <x v="1"/>
    <x v="1"/>
    <m/>
    <m/>
    <x v="0"/>
    <x v="0"/>
    <s v="Sistemas"/>
    <n v="0"/>
    <x v="2"/>
    <x v="2"/>
    <x v="0"/>
    <x v="0"/>
    <x v="54"/>
  </r>
  <r>
    <n v="208"/>
    <m/>
    <m/>
    <m/>
    <m/>
    <x v="3"/>
    <x v="0"/>
    <x v="13"/>
    <x v="31"/>
    <x v="200"/>
    <x v="1"/>
    <x v="1"/>
    <x v="30"/>
    <x v="36"/>
    <n v="861578071147162"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43268860"/>
    <s v="0000001681"/>
    <x v="99"/>
    <x v="75"/>
    <x v="9"/>
    <x v="7"/>
    <x v="55"/>
  </r>
  <r>
    <n v="209"/>
    <m/>
    <m/>
    <m/>
    <m/>
    <x v="3"/>
    <x v="0"/>
    <x v="13"/>
    <x v="31"/>
    <x v="201"/>
    <x v="1"/>
    <x v="2"/>
    <x v="31"/>
    <x v="37"/>
    <n v="861578071134467"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06111494"/>
    <s v="0000000086"/>
    <x v="34"/>
    <x v="30"/>
    <x v="16"/>
    <x v="2"/>
    <x v="56"/>
  </r>
  <r>
    <n v="210"/>
    <m/>
    <m/>
    <m/>
    <m/>
    <x v="3"/>
    <x v="0"/>
    <x v="11"/>
    <x v="26"/>
    <x v="202"/>
    <x v="1"/>
    <x v="1"/>
    <x v="32"/>
    <x v="38"/>
    <n v="862480064845812"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75438114"/>
    <s v="0000P00761"/>
    <x v="19"/>
    <x v="17"/>
    <x v="9"/>
    <x v="7"/>
    <x v="57"/>
  </r>
  <r>
    <n v="211"/>
    <m/>
    <m/>
    <m/>
    <m/>
    <x v="3"/>
    <x v="0"/>
    <x v="11"/>
    <x v="26"/>
    <x v="203"/>
    <x v="1"/>
    <x v="1"/>
    <x v="33"/>
    <x v="39"/>
    <n v="865451068729499"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Lavandería"/>
    <s v="Lavandería"/>
    <x v="100"/>
    <x v="76"/>
    <x v="26"/>
    <x v="3"/>
    <x v="58"/>
  </r>
  <r>
    <n v="212"/>
    <m/>
    <m/>
    <m/>
    <m/>
    <x v="3"/>
    <x v="0"/>
    <x v="1"/>
    <x v="25"/>
    <x v="204"/>
    <x v="1"/>
    <x v="1"/>
    <x v="34"/>
    <x v="40"/>
    <m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75173008"/>
    <s v="0000001577"/>
    <x v="6"/>
    <x v="6"/>
    <x v="4"/>
    <x v="4"/>
    <x v="59"/>
  </r>
  <r>
    <n v="213"/>
    <m/>
    <m/>
    <m/>
    <m/>
    <x v="3"/>
    <x v="0"/>
    <x v="11"/>
    <x v="27"/>
    <x v="205"/>
    <x v="1"/>
    <x v="1"/>
    <x v="35"/>
    <x v="41"/>
    <n v="862805074036012"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Room Service"/>
    <n v="0"/>
    <x v="101"/>
    <x v="35"/>
    <x v="20"/>
    <x v="1"/>
    <x v="60"/>
  </r>
  <r>
    <n v="214"/>
    <m/>
    <m/>
    <m/>
    <m/>
    <x v="3"/>
    <x v="0"/>
    <x v="2"/>
    <x v="32"/>
    <x v="206"/>
    <x v="1"/>
    <x v="1"/>
    <x v="36"/>
    <x v="42"/>
    <m/>
    <m/>
    <m/>
    <x v="1"/>
    <m/>
    <x v="1"/>
    <x v="1"/>
    <x v="0"/>
    <x v="2"/>
    <x v="1"/>
    <x v="1"/>
    <x v="13"/>
    <m/>
    <x v="10"/>
    <x v="2"/>
    <x v="2"/>
    <x v="1"/>
    <x v="1"/>
    <m/>
    <m/>
    <x v="0"/>
    <x v="0"/>
    <s v="15641243"/>
    <s v="0000001648"/>
    <x v="102"/>
    <x v="77"/>
    <x v="9"/>
    <x v="7"/>
    <x v="61"/>
  </r>
  <r>
    <n v="215"/>
    <m/>
    <m/>
    <m/>
    <m/>
    <x v="3"/>
    <x v="0"/>
    <x v="1"/>
    <x v="25"/>
    <x v="207"/>
    <x v="1"/>
    <x v="1"/>
    <x v="37"/>
    <x v="43"/>
    <m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44588268"/>
    <s v="0000001511"/>
    <x v="103"/>
    <x v="78"/>
    <x v="34"/>
    <x v="8"/>
    <x v="62"/>
  </r>
  <r>
    <n v="216"/>
    <m/>
    <m/>
    <m/>
    <m/>
    <x v="3"/>
    <x v="0"/>
    <x v="1"/>
    <x v="25"/>
    <x v="208"/>
    <x v="1"/>
    <x v="1"/>
    <x v="38"/>
    <x v="44"/>
    <m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43007664"/>
    <s v="0000001557"/>
    <x v="63"/>
    <x v="53"/>
    <x v="25"/>
    <x v="10"/>
    <x v="63"/>
  </r>
  <r>
    <n v="217"/>
    <m/>
    <m/>
    <m/>
    <m/>
    <x v="3"/>
    <x v="0"/>
    <x v="11"/>
    <x v="26"/>
    <x v="209"/>
    <x v="1"/>
    <x v="1"/>
    <x v="39"/>
    <x v="45"/>
    <n v="865451068740975"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76204111"/>
    <s v="0000001670"/>
    <x v="51"/>
    <x v="44"/>
    <x v="25"/>
    <x v="10"/>
    <x v="0"/>
  </r>
  <r>
    <n v="218"/>
    <m/>
    <m/>
    <m/>
    <m/>
    <x v="3"/>
    <x v="0"/>
    <x v="11"/>
    <x v="26"/>
    <x v="210"/>
    <x v="1"/>
    <x v="1"/>
    <x v="40"/>
    <x v="46"/>
    <n v="865451068876555"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Limpieza Publica"/>
    <n v="0"/>
    <x v="104"/>
    <x v="79"/>
    <x v="24"/>
    <x v="3"/>
    <x v="64"/>
  </r>
  <r>
    <n v="219"/>
    <m/>
    <m/>
    <m/>
    <m/>
    <x v="3"/>
    <x v="0"/>
    <x v="11"/>
    <x v="26"/>
    <x v="211"/>
    <x v="1"/>
    <x v="1"/>
    <x v="41"/>
    <x v="47"/>
    <n v="865451068714434"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47119576"/>
    <s v="0000001775"/>
    <x v="69"/>
    <x v="16"/>
    <x v="4"/>
    <x v="4"/>
    <x v="0"/>
  </r>
  <r>
    <n v="220"/>
    <m/>
    <m/>
    <m/>
    <m/>
    <x v="4"/>
    <x v="0"/>
    <x v="4"/>
    <x v="33"/>
    <x v="212"/>
    <x v="1"/>
    <x v="0"/>
    <x v="0"/>
    <x v="0"/>
    <m/>
    <m/>
    <m/>
    <x v="1"/>
    <m/>
    <x v="1"/>
    <x v="83"/>
    <x v="83"/>
    <x v="0"/>
    <x v="1"/>
    <x v="1"/>
    <x v="12"/>
    <m/>
    <x v="4"/>
    <x v="2"/>
    <x v="0"/>
    <x v="4"/>
    <x v="2"/>
    <m/>
    <m/>
    <x v="0"/>
    <x v="0"/>
    <s v="Capacitación"/>
    <n v="0"/>
    <x v="2"/>
    <x v="2"/>
    <x v="0"/>
    <x v="0"/>
    <x v="0"/>
  </r>
  <r>
    <n v="221"/>
    <m/>
    <m/>
    <m/>
    <m/>
    <x v="4"/>
    <x v="0"/>
    <x v="0"/>
    <x v="34"/>
    <x v="213"/>
    <x v="1"/>
    <x v="0"/>
    <x v="0"/>
    <x v="0"/>
    <m/>
    <m/>
    <m/>
    <x v="1"/>
    <m/>
    <x v="1"/>
    <x v="1"/>
    <x v="84"/>
    <x v="4"/>
    <x v="1"/>
    <x v="1"/>
    <x v="11"/>
    <m/>
    <x v="7"/>
    <x v="2"/>
    <x v="0"/>
    <x v="4"/>
    <x v="2"/>
    <m/>
    <m/>
    <x v="0"/>
    <x v="0"/>
    <n v="73178717"/>
    <s v="0000001605"/>
    <x v="105"/>
    <x v="80"/>
    <x v="12"/>
    <x v="8"/>
    <x v="0"/>
  </r>
  <r>
    <n v="222"/>
    <m/>
    <m/>
    <m/>
    <m/>
    <x v="4"/>
    <x v="0"/>
    <x v="4"/>
    <x v="33"/>
    <x v="214"/>
    <x v="1"/>
    <x v="0"/>
    <x v="0"/>
    <x v="0"/>
    <m/>
    <m/>
    <m/>
    <x v="1"/>
    <m/>
    <x v="1"/>
    <x v="84"/>
    <x v="85"/>
    <x v="0"/>
    <x v="1"/>
    <x v="1"/>
    <x v="12"/>
    <m/>
    <x v="4"/>
    <x v="2"/>
    <x v="0"/>
    <x v="4"/>
    <x v="2"/>
    <m/>
    <m/>
    <x v="0"/>
    <x v="0"/>
    <s v="Capacitación"/>
    <n v="0"/>
    <x v="2"/>
    <x v="2"/>
    <x v="0"/>
    <x v="0"/>
    <x v="0"/>
  </r>
  <r>
    <n v="223"/>
    <m/>
    <m/>
    <m/>
    <m/>
    <x v="7"/>
    <x v="0"/>
    <x v="10"/>
    <x v="35"/>
    <x v="215"/>
    <x v="14"/>
    <x v="0"/>
    <x v="0"/>
    <x v="0"/>
    <m/>
    <m/>
    <m/>
    <x v="1"/>
    <m/>
    <x v="106"/>
    <x v="1"/>
    <x v="0"/>
    <x v="7"/>
    <x v="1"/>
    <x v="2"/>
    <x v="11"/>
    <m/>
    <x v="7"/>
    <x v="2"/>
    <x v="7"/>
    <x v="4"/>
    <x v="1"/>
    <m/>
    <m/>
    <x v="0"/>
    <x v="0"/>
    <s v="Caja La Fondue"/>
    <n v="0"/>
    <x v="106"/>
    <x v="81"/>
    <x v="32"/>
    <x v="1"/>
    <x v="65"/>
  </r>
  <r>
    <n v="224"/>
    <m/>
    <m/>
    <m/>
    <m/>
    <x v="7"/>
    <x v="0"/>
    <x v="10"/>
    <x v="35"/>
    <x v="216"/>
    <x v="14"/>
    <x v="0"/>
    <x v="0"/>
    <x v="0"/>
    <m/>
    <m/>
    <m/>
    <x v="1"/>
    <m/>
    <x v="107"/>
    <x v="1"/>
    <x v="0"/>
    <x v="7"/>
    <x v="1"/>
    <x v="2"/>
    <x v="11"/>
    <m/>
    <x v="7"/>
    <x v="2"/>
    <x v="7"/>
    <x v="4"/>
    <x v="1"/>
    <m/>
    <m/>
    <x v="0"/>
    <x v="0"/>
    <s v="Caja Le Café"/>
    <n v="0"/>
    <x v="107"/>
    <x v="82"/>
    <x v="35"/>
    <x v="1"/>
    <x v="66"/>
  </r>
  <r>
    <n v="225"/>
    <m/>
    <m/>
    <m/>
    <m/>
    <x v="7"/>
    <x v="0"/>
    <x v="10"/>
    <x v="35"/>
    <x v="217"/>
    <x v="14"/>
    <x v="0"/>
    <x v="0"/>
    <x v="0"/>
    <m/>
    <m/>
    <m/>
    <x v="1"/>
    <m/>
    <x v="108"/>
    <x v="1"/>
    <x v="0"/>
    <x v="7"/>
    <x v="1"/>
    <x v="2"/>
    <x v="11"/>
    <m/>
    <x v="7"/>
    <x v="2"/>
    <x v="7"/>
    <x v="4"/>
    <x v="1"/>
    <m/>
    <m/>
    <x v="0"/>
    <x v="0"/>
    <s v="Caja Room Service"/>
    <n v="0"/>
    <x v="108"/>
    <x v="83"/>
    <x v="20"/>
    <x v="1"/>
    <x v="67"/>
  </r>
  <r>
    <n v="226"/>
    <m/>
    <m/>
    <m/>
    <m/>
    <x v="7"/>
    <x v="0"/>
    <x v="10"/>
    <x v="35"/>
    <x v="218"/>
    <x v="14"/>
    <x v="0"/>
    <x v="0"/>
    <x v="0"/>
    <m/>
    <m/>
    <m/>
    <x v="1"/>
    <m/>
    <x v="109"/>
    <x v="1"/>
    <x v="0"/>
    <x v="7"/>
    <x v="1"/>
    <x v="2"/>
    <x v="11"/>
    <m/>
    <x v="7"/>
    <x v="2"/>
    <x v="7"/>
    <x v="4"/>
    <x v="1"/>
    <m/>
    <m/>
    <x v="0"/>
    <x v="0"/>
    <s v="Banquetes"/>
    <n v="0"/>
    <x v="109"/>
    <x v="84"/>
    <x v="1"/>
    <x v="1"/>
    <x v="68"/>
  </r>
  <r>
    <n v="227"/>
    <m/>
    <m/>
    <m/>
    <m/>
    <x v="7"/>
    <x v="0"/>
    <x v="10"/>
    <x v="35"/>
    <x v="219"/>
    <x v="14"/>
    <x v="0"/>
    <x v="0"/>
    <x v="0"/>
    <m/>
    <m/>
    <m/>
    <x v="1"/>
    <m/>
    <x v="1"/>
    <x v="1"/>
    <x v="0"/>
    <x v="7"/>
    <x v="1"/>
    <x v="2"/>
    <x v="11"/>
    <m/>
    <x v="7"/>
    <x v="2"/>
    <x v="7"/>
    <x v="4"/>
    <x v="1"/>
    <m/>
    <m/>
    <x v="0"/>
    <x v="1"/>
    <s v="Sistemas"/>
    <n v="0"/>
    <x v="2"/>
    <x v="2"/>
    <x v="0"/>
    <x v="0"/>
    <x v="69"/>
  </r>
  <r>
    <n v="228"/>
    <m/>
    <m/>
    <m/>
    <m/>
    <x v="7"/>
    <x v="0"/>
    <x v="10"/>
    <x v="35"/>
    <x v="220"/>
    <x v="14"/>
    <x v="0"/>
    <x v="0"/>
    <x v="0"/>
    <m/>
    <m/>
    <m/>
    <x v="1"/>
    <m/>
    <x v="110"/>
    <x v="1"/>
    <x v="0"/>
    <x v="7"/>
    <x v="1"/>
    <x v="2"/>
    <x v="11"/>
    <m/>
    <x v="7"/>
    <x v="2"/>
    <x v="7"/>
    <x v="4"/>
    <x v="1"/>
    <m/>
    <m/>
    <x v="0"/>
    <x v="0"/>
    <s v="Caja Lobby Bar"/>
    <n v="0"/>
    <x v="110"/>
    <x v="85"/>
    <x v="36"/>
    <x v="1"/>
    <x v="70"/>
  </r>
  <r>
    <n v="229"/>
    <m/>
    <m/>
    <m/>
    <m/>
    <x v="7"/>
    <x v="0"/>
    <x v="10"/>
    <x v="35"/>
    <x v="221"/>
    <x v="14"/>
    <x v="0"/>
    <x v="0"/>
    <x v="0"/>
    <m/>
    <m/>
    <m/>
    <x v="1"/>
    <m/>
    <x v="111"/>
    <x v="1"/>
    <x v="0"/>
    <x v="7"/>
    <x v="1"/>
    <x v="2"/>
    <x v="11"/>
    <m/>
    <x v="7"/>
    <x v="2"/>
    <x v="7"/>
    <x v="4"/>
    <x v="1"/>
    <m/>
    <m/>
    <x v="0"/>
    <x v="0"/>
    <s v="Caja La Locanda"/>
    <n v="0"/>
    <x v="111"/>
    <x v="86"/>
    <x v="37"/>
    <x v="1"/>
    <x v="71"/>
  </r>
  <r>
    <n v="230"/>
    <m/>
    <m/>
    <m/>
    <m/>
    <x v="7"/>
    <x v="0"/>
    <x v="10"/>
    <x v="35"/>
    <x v="222"/>
    <x v="14"/>
    <x v="0"/>
    <x v="0"/>
    <x v="0"/>
    <m/>
    <m/>
    <m/>
    <x v="1"/>
    <m/>
    <x v="1"/>
    <x v="1"/>
    <x v="0"/>
    <x v="7"/>
    <x v="1"/>
    <x v="2"/>
    <x v="11"/>
    <m/>
    <x v="7"/>
    <x v="2"/>
    <x v="7"/>
    <x v="4"/>
    <x v="1"/>
    <m/>
    <m/>
    <x v="0"/>
    <x v="1"/>
    <s v="Sistemas"/>
    <n v="0"/>
    <x v="2"/>
    <x v="2"/>
    <x v="0"/>
    <x v="0"/>
    <x v="72"/>
  </r>
  <r>
    <n v="231"/>
    <m/>
    <m/>
    <m/>
    <m/>
    <x v="4"/>
    <x v="1"/>
    <x v="5"/>
    <x v="6"/>
    <x v="223"/>
    <x v="4"/>
    <x v="0"/>
    <x v="0"/>
    <x v="0"/>
    <m/>
    <m/>
    <m/>
    <x v="1"/>
    <m/>
    <x v="112"/>
    <x v="1"/>
    <x v="86"/>
    <x v="3"/>
    <x v="6"/>
    <x v="2"/>
    <x v="3"/>
    <m/>
    <x v="0"/>
    <x v="2"/>
    <x v="0"/>
    <x v="4"/>
    <x v="1"/>
    <m/>
    <m/>
    <x v="0"/>
    <x v="0"/>
    <s v="Sistemas"/>
    <n v="0"/>
    <x v="2"/>
    <x v="2"/>
    <x v="0"/>
    <x v="0"/>
    <x v="73"/>
  </r>
  <r>
    <n v="232"/>
    <m/>
    <m/>
    <m/>
    <m/>
    <x v="3"/>
    <x v="0"/>
    <x v="11"/>
    <x v="26"/>
    <x v="224"/>
    <x v="1"/>
    <x v="1"/>
    <x v="42"/>
    <x v="48"/>
    <n v="861578071138914"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46405695"/>
    <s v="0000001780"/>
    <x v="17"/>
    <x v="16"/>
    <x v="4"/>
    <x v="4"/>
    <x v="74"/>
  </r>
  <r>
    <n v="233"/>
    <m/>
    <m/>
    <m/>
    <m/>
    <x v="3"/>
    <x v="0"/>
    <x v="1"/>
    <x v="25"/>
    <x v="225"/>
    <x v="1"/>
    <x v="1"/>
    <x v="43"/>
    <x v="49"/>
    <m/>
    <m/>
    <m/>
    <x v="1"/>
    <m/>
    <x v="1"/>
    <x v="1"/>
    <x v="0"/>
    <x v="2"/>
    <x v="1"/>
    <x v="1"/>
    <x v="2"/>
    <m/>
    <x v="2"/>
    <x v="2"/>
    <x v="2"/>
    <x v="1"/>
    <x v="1"/>
    <m/>
    <m/>
    <x v="0"/>
    <x v="0"/>
    <s v="72039132"/>
    <s v="0000001596"/>
    <x v="112"/>
    <x v="35"/>
    <x v="1"/>
    <x v="1"/>
    <x v="75"/>
  </r>
  <r>
    <n v="234"/>
    <m/>
    <m/>
    <m/>
    <m/>
    <x v="3"/>
    <x v="0"/>
    <x v="14"/>
    <x v="36"/>
    <x v="226"/>
    <x v="1"/>
    <x v="1"/>
    <x v="44"/>
    <x v="50"/>
    <n v="359626455714906"/>
    <m/>
    <m/>
    <x v="1"/>
    <m/>
    <x v="1"/>
    <x v="1"/>
    <x v="0"/>
    <x v="2"/>
    <x v="1"/>
    <x v="1"/>
    <x v="2"/>
    <m/>
    <x v="2"/>
    <x v="2"/>
    <x v="8"/>
    <x v="1"/>
    <x v="1"/>
    <m/>
    <m/>
    <x v="0"/>
    <x v="0"/>
    <s v="08738298"/>
    <s v="0000F00011"/>
    <x v="75"/>
    <x v="58"/>
    <x v="13"/>
    <x v="9"/>
    <x v="0"/>
  </r>
  <r>
    <n v="235"/>
    <m/>
    <m/>
    <m/>
    <m/>
    <x v="3"/>
    <x v="0"/>
    <x v="1"/>
    <x v="25"/>
    <x v="227"/>
    <x v="1"/>
    <x v="1"/>
    <x v="45"/>
    <x v="51"/>
    <m/>
    <m/>
    <m/>
    <x v="1"/>
    <m/>
    <x v="1"/>
    <x v="1"/>
    <x v="0"/>
    <x v="2"/>
    <x v="1"/>
    <x v="1"/>
    <x v="2"/>
    <m/>
    <x v="2"/>
    <x v="2"/>
    <x v="2"/>
    <x v="4"/>
    <x v="1"/>
    <m/>
    <m/>
    <x v="0"/>
    <x v="0"/>
    <s v="75732420"/>
    <s v="0000001463"/>
    <x v="113"/>
    <x v="87"/>
    <x v="1"/>
    <x v="1"/>
    <x v="76"/>
  </r>
  <r>
    <n v="236"/>
    <m/>
    <m/>
    <m/>
    <m/>
    <x v="3"/>
    <x v="0"/>
    <x v="13"/>
    <x v="37"/>
    <x v="228"/>
    <x v="1"/>
    <x v="1"/>
    <x v="46"/>
    <x v="52"/>
    <n v="86157807113595"/>
    <m/>
    <m/>
    <x v="1"/>
    <m/>
    <x v="1"/>
    <x v="1"/>
    <x v="0"/>
    <x v="2"/>
    <x v="1"/>
    <x v="1"/>
    <x v="2"/>
    <m/>
    <x v="2"/>
    <x v="2"/>
    <x v="2"/>
    <x v="4"/>
    <x v="1"/>
    <m/>
    <m/>
    <x v="0"/>
    <x v="0"/>
    <n v="75315987"/>
    <n v="0"/>
    <x v="114"/>
    <x v="88"/>
    <x v="18"/>
    <x v="8"/>
    <x v="77"/>
  </r>
  <r>
    <n v="237"/>
    <m/>
    <m/>
    <m/>
    <m/>
    <x v="0"/>
    <x v="0"/>
    <x v="4"/>
    <x v="38"/>
    <x v="229"/>
    <x v="1"/>
    <x v="0"/>
    <x v="0"/>
    <x v="0"/>
    <m/>
    <m/>
    <m/>
    <x v="1"/>
    <m/>
    <x v="1"/>
    <x v="1"/>
    <x v="87"/>
    <x v="0"/>
    <x v="9"/>
    <x v="2"/>
    <x v="4"/>
    <m/>
    <x v="4"/>
    <x v="2"/>
    <x v="0"/>
    <x v="2"/>
    <x v="2"/>
    <m/>
    <m/>
    <x v="0"/>
    <x v="0"/>
    <n v="12345678"/>
    <n v="0"/>
    <x v="97"/>
    <x v="74"/>
    <x v="4"/>
    <x v="4"/>
    <x v="78"/>
  </r>
  <r>
    <n v="238"/>
    <m/>
    <m/>
    <m/>
    <m/>
    <x v="4"/>
    <x v="0"/>
    <x v="0"/>
    <x v="39"/>
    <x v="230"/>
    <x v="1"/>
    <x v="0"/>
    <x v="0"/>
    <x v="0"/>
    <m/>
    <m/>
    <m/>
    <x v="1"/>
    <m/>
    <x v="1"/>
    <x v="1"/>
    <x v="88"/>
    <x v="0"/>
    <x v="3"/>
    <x v="2"/>
    <x v="4"/>
    <m/>
    <x v="4"/>
    <x v="2"/>
    <x v="0"/>
    <x v="2"/>
    <x v="2"/>
    <m/>
    <m/>
    <x v="0"/>
    <x v="0"/>
    <s v="40856376"/>
    <s v="0000000772"/>
    <x v="37"/>
    <x v="31"/>
    <x v="2"/>
    <x v="2"/>
    <x v="0"/>
  </r>
  <r>
    <n v="239"/>
    <m/>
    <m/>
    <m/>
    <m/>
    <x v="8"/>
    <x v="1"/>
    <x v="15"/>
    <x v="40"/>
    <x v="231"/>
    <x v="15"/>
    <x v="0"/>
    <x v="0"/>
    <x v="0"/>
    <m/>
    <m/>
    <m/>
    <x v="1"/>
    <m/>
    <x v="113"/>
    <x v="1"/>
    <x v="0"/>
    <x v="1"/>
    <x v="1"/>
    <x v="1"/>
    <x v="2"/>
    <m/>
    <x v="12"/>
    <x v="2"/>
    <x v="1"/>
    <x v="1"/>
    <x v="1"/>
    <m/>
    <m/>
    <x v="0"/>
    <x v="0"/>
    <s v="Sistemas"/>
    <n v="0"/>
    <x v="2"/>
    <x v="2"/>
    <x v="0"/>
    <x v="0"/>
    <x v="79"/>
  </r>
  <r>
    <n v="240"/>
    <m/>
    <m/>
    <m/>
    <m/>
    <x v="3"/>
    <x v="0"/>
    <x v="11"/>
    <x v="26"/>
    <x v="232"/>
    <x v="1"/>
    <x v="1"/>
    <x v="47"/>
    <x v="53"/>
    <n v="865451068889897"/>
    <m/>
    <m/>
    <x v="1"/>
    <m/>
    <x v="1"/>
    <x v="1"/>
    <x v="0"/>
    <x v="1"/>
    <x v="1"/>
    <x v="1"/>
    <x v="2"/>
    <m/>
    <x v="2"/>
    <x v="2"/>
    <x v="2"/>
    <x v="4"/>
    <x v="1"/>
    <m/>
    <m/>
    <x v="0"/>
    <x v="0"/>
    <s v="09649733"/>
    <s v="0000000037"/>
    <x v="26"/>
    <x v="24"/>
    <x v="13"/>
    <x v="9"/>
    <x v="80"/>
  </r>
  <r>
    <n v="241"/>
    <m/>
    <m/>
    <m/>
    <m/>
    <x v="3"/>
    <x v="0"/>
    <x v="11"/>
    <x v="26"/>
    <x v="233"/>
    <x v="1"/>
    <x v="1"/>
    <x v="48"/>
    <x v="54"/>
    <n v="862448066334812"/>
    <m/>
    <m/>
    <x v="1"/>
    <m/>
    <x v="1"/>
    <x v="1"/>
    <x v="0"/>
    <x v="1"/>
    <x v="1"/>
    <x v="1"/>
    <x v="2"/>
    <m/>
    <x v="2"/>
    <x v="2"/>
    <x v="2"/>
    <x v="4"/>
    <x v="1"/>
    <m/>
    <m/>
    <x v="0"/>
    <x v="0"/>
    <s v="46411356"/>
    <s v="0000001406"/>
    <x v="115"/>
    <x v="45"/>
    <x v="27"/>
    <x v="2"/>
    <x v="0"/>
  </r>
  <r>
    <n v="242"/>
    <m/>
    <m/>
    <m/>
    <m/>
    <x v="4"/>
    <x v="1"/>
    <x v="5"/>
    <x v="6"/>
    <x v="234"/>
    <x v="4"/>
    <x v="0"/>
    <x v="0"/>
    <x v="0"/>
    <m/>
    <m/>
    <m/>
    <x v="107"/>
    <m/>
    <x v="114"/>
    <x v="1"/>
    <x v="89"/>
    <x v="3"/>
    <x v="6"/>
    <x v="2"/>
    <x v="3"/>
    <m/>
    <x v="3"/>
    <x v="2"/>
    <x v="3"/>
    <x v="4"/>
    <x v="1"/>
    <m/>
    <m/>
    <x v="0"/>
    <x v="0"/>
    <s v="Sistemas"/>
    <n v="0"/>
    <x v="2"/>
    <x v="2"/>
    <x v="0"/>
    <x v="0"/>
    <x v="81"/>
  </r>
  <r>
    <n v="243"/>
    <m/>
    <m/>
    <m/>
    <m/>
    <x v="8"/>
    <x v="1"/>
    <x v="0"/>
    <x v="41"/>
    <x v="235"/>
    <x v="1"/>
    <x v="0"/>
    <x v="0"/>
    <x v="0"/>
    <m/>
    <m/>
    <m/>
    <x v="108"/>
    <m/>
    <x v="115"/>
    <x v="1"/>
    <x v="90"/>
    <x v="8"/>
    <x v="10"/>
    <x v="2"/>
    <x v="7"/>
    <m/>
    <x v="13"/>
    <x v="2"/>
    <x v="9"/>
    <x v="4"/>
    <x v="1"/>
    <m/>
    <m/>
    <x v="0"/>
    <x v="0"/>
    <s v="Sistemas"/>
    <n v="0"/>
    <x v="2"/>
    <x v="2"/>
    <x v="0"/>
    <x v="0"/>
    <x v="82"/>
  </r>
  <r>
    <n v="244"/>
    <m/>
    <m/>
    <m/>
    <m/>
    <x v="8"/>
    <x v="1"/>
    <x v="0"/>
    <x v="41"/>
    <x v="236"/>
    <x v="1"/>
    <x v="0"/>
    <x v="0"/>
    <x v="0"/>
    <m/>
    <m/>
    <m/>
    <x v="109"/>
    <m/>
    <x v="116"/>
    <x v="1"/>
    <x v="91"/>
    <x v="8"/>
    <x v="10"/>
    <x v="2"/>
    <x v="7"/>
    <m/>
    <x v="13"/>
    <x v="2"/>
    <x v="10"/>
    <x v="4"/>
    <x v="1"/>
    <m/>
    <m/>
    <x v="0"/>
    <x v="0"/>
    <s v="Sistemas"/>
    <n v="0"/>
    <x v="2"/>
    <x v="2"/>
    <x v="0"/>
    <x v="0"/>
    <x v="83"/>
  </r>
  <r>
    <n v="245"/>
    <m/>
    <m/>
    <m/>
    <m/>
    <x v="8"/>
    <x v="1"/>
    <x v="0"/>
    <x v="42"/>
    <x v="237"/>
    <x v="1"/>
    <x v="0"/>
    <x v="0"/>
    <x v="0"/>
    <m/>
    <m/>
    <m/>
    <x v="110"/>
    <m/>
    <x v="117"/>
    <x v="1"/>
    <x v="92"/>
    <x v="8"/>
    <x v="10"/>
    <x v="2"/>
    <x v="9"/>
    <m/>
    <x v="13"/>
    <x v="2"/>
    <x v="9"/>
    <x v="4"/>
    <x v="1"/>
    <m/>
    <m/>
    <x v="0"/>
    <x v="0"/>
    <s v="Sistemas"/>
    <n v="0"/>
    <x v="2"/>
    <x v="2"/>
    <x v="0"/>
    <x v="0"/>
    <x v="84"/>
  </r>
  <r>
    <n v="246"/>
    <m/>
    <m/>
    <m/>
    <m/>
    <x v="8"/>
    <x v="1"/>
    <x v="0"/>
    <x v="43"/>
    <x v="238"/>
    <x v="1"/>
    <x v="0"/>
    <x v="0"/>
    <x v="0"/>
    <m/>
    <m/>
    <m/>
    <x v="111"/>
    <m/>
    <x v="118"/>
    <x v="1"/>
    <x v="93"/>
    <x v="8"/>
    <x v="11"/>
    <x v="2"/>
    <x v="3"/>
    <m/>
    <x v="13"/>
    <x v="2"/>
    <x v="4"/>
    <x v="4"/>
    <x v="1"/>
    <m/>
    <m/>
    <x v="0"/>
    <x v="0"/>
    <s v="Sistemas"/>
    <n v="0"/>
    <x v="2"/>
    <x v="2"/>
    <x v="0"/>
    <x v="0"/>
    <x v="85"/>
  </r>
  <r>
    <n v="247"/>
    <m/>
    <m/>
    <m/>
    <m/>
    <x v="8"/>
    <x v="1"/>
    <x v="0"/>
    <x v="43"/>
    <x v="239"/>
    <x v="1"/>
    <x v="0"/>
    <x v="0"/>
    <x v="0"/>
    <m/>
    <m/>
    <m/>
    <x v="112"/>
    <m/>
    <x v="119"/>
    <x v="1"/>
    <x v="94"/>
    <x v="5"/>
    <x v="11"/>
    <x v="2"/>
    <x v="3"/>
    <m/>
    <x v="13"/>
    <x v="2"/>
    <x v="4"/>
    <x v="4"/>
    <x v="1"/>
    <m/>
    <m/>
    <x v="0"/>
    <x v="0"/>
    <s v="Sistemas"/>
    <n v="0"/>
    <x v="2"/>
    <x v="2"/>
    <x v="0"/>
    <x v="0"/>
    <x v="86"/>
  </r>
  <r>
    <n v="248"/>
    <m/>
    <m/>
    <m/>
    <m/>
    <x v="8"/>
    <x v="1"/>
    <x v="0"/>
    <x v="44"/>
    <x v="240"/>
    <x v="1"/>
    <x v="0"/>
    <x v="0"/>
    <x v="0"/>
    <m/>
    <m/>
    <m/>
    <x v="113"/>
    <m/>
    <x v="120"/>
    <x v="1"/>
    <x v="95"/>
    <x v="8"/>
    <x v="2"/>
    <x v="2"/>
    <x v="14"/>
    <m/>
    <x v="13"/>
    <x v="2"/>
    <x v="11"/>
    <x v="4"/>
    <x v="1"/>
    <m/>
    <m/>
    <x v="0"/>
    <x v="0"/>
    <s v="Sistemas"/>
    <n v="0"/>
    <x v="2"/>
    <x v="2"/>
    <x v="0"/>
    <x v="0"/>
    <x v="87"/>
  </r>
  <r>
    <n v="249"/>
    <m/>
    <m/>
    <m/>
    <m/>
    <x v="8"/>
    <x v="1"/>
    <x v="0"/>
    <x v="42"/>
    <x v="241"/>
    <x v="1"/>
    <x v="0"/>
    <x v="0"/>
    <x v="0"/>
    <m/>
    <m/>
    <m/>
    <x v="114"/>
    <m/>
    <x v="121"/>
    <x v="1"/>
    <x v="96"/>
    <x v="8"/>
    <x v="10"/>
    <x v="2"/>
    <x v="9"/>
    <m/>
    <x v="13"/>
    <x v="2"/>
    <x v="9"/>
    <x v="4"/>
    <x v="1"/>
    <m/>
    <m/>
    <x v="0"/>
    <x v="0"/>
    <s v="Sistemas"/>
    <n v="0"/>
    <x v="2"/>
    <x v="2"/>
    <x v="0"/>
    <x v="0"/>
    <x v="88"/>
  </r>
  <r>
    <n v="250"/>
    <m/>
    <m/>
    <m/>
    <m/>
    <x v="4"/>
    <x v="1"/>
    <x v="0"/>
    <x v="45"/>
    <x v="242"/>
    <x v="16"/>
    <x v="0"/>
    <x v="0"/>
    <x v="0"/>
    <m/>
    <m/>
    <m/>
    <x v="115"/>
    <m/>
    <x v="122"/>
    <x v="1"/>
    <x v="97"/>
    <x v="0"/>
    <x v="3"/>
    <x v="2"/>
    <x v="4"/>
    <m/>
    <x v="14"/>
    <x v="2"/>
    <x v="0"/>
    <x v="4"/>
    <x v="1"/>
    <m/>
    <m/>
    <x v="0"/>
    <x v="0"/>
    <s v="Sistemas"/>
    <n v="0"/>
    <x v="2"/>
    <x v="2"/>
    <x v="0"/>
    <x v="0"/>
    <x v="89"/>
  </r>
  <r>
    <n v="251"/>
    <m/>
    <m/>
    <m/>
    <m/>
    <x v="8"/>
    <x v="1"/>
    <x v="0"/>
    <x v="46"/>
    <x v="243"/>
    <x v="1"/>
    <x v="0"/>
    <x v="0"/>
    <x v="0"/>
    <m/>
    <m/>
    <m/>
    <x v="116"/>
    <m/>
    <x v="123"/>
    <x v="1"/>
    <x v="98"/>
    <x v="8"/>
    <x v="5"/>
    <x v="2"/>
    <x v="15"/>
    <m/>
    <x v="0"/>
    <x v="2"/>
    <x v="12"/>
    <x v="4"/>
    <x v="1"/>
    <m/>
    <m/>
    <x v="0"/>
    <x v="0"/>
    <s v="Sistemas"/>
    <n v="0"/>
    <x v="2"/>
    <x v="2"/>
    <x v="0"/>
    <x v="0"/>
    <x v="90"/>
  </r>
  <r>
    <n v="252"/>
    <m/>
    <m/>
    <m/>
    <m/>
    <x v="8"/>
    <x v="1"/>
    <x v="0"/>
    <x v="47"/>
    <x v="244"/>
    <x v="1"/>
    <x v="0"/>
    <x v="0"/>
    <x v="0"/>
    <m/>
    <m/>
    <m/>
    <x v="1"/>
    <m/>
    <x v="1"/>
    <x v="1"/>
    <x v="99"/>
    <x v="8"/>
    <x v="10"/>
    <x v="2"/>
    <x v="1"/>
    <m/>
    <x v="14"/>
    <x v="2"/>
    <x v="10"/>
    <x v="4"/>
    <x v="1"/>
    <m/>
    <m/>
    <x v="0"/>
    <x v="1"/>
    <s v="Sistemas"/>
    <n v="0"/>
    <x v="2"/>
    <x v="2"/>
    <x v="0"/>
    <x v="0"/>
    <x v="91"/>
  </r>
  <r>
    <n v="253"/>
    <m/>
    <m/>
    <m/>
    <m/>
    <x v="8"/>
    <x v="1"/>
    <x v="0"/>
    <x v="44"/>
    <x v="245"/>
    <x v="1"/>
    <x v="0"/>
    <x v="0"/>
    <x v="0"/>
    <m/>
    <m/>
    <m/>
    <x v="117"/>
    <m/>
    <x v="124"/>
    <x v="1"/>
    <x v="100"/>
    <x v="8"/>
    <x v="6"/>
    <x v="2"/>
    <x v="16"/>
    <m/>
    <x v="15"/>
    <x v="2"/>
    <x v="9"/>
    <x v="4"/>
    <x v="1"/>
    <m/>
    <m/>
    <x v="0"/>
    <x v="0"/>
    <s v="Sistemas"/>
    <n v="0"/>
    <x v="2"/>
    <x v="2"/>
    <x v="0"/>
    <x v="0"/>
    <x v="92"/>
  </r>
  <r>
    <n v="254"/>
    <m/>
    <m/>
    <m/>
    <m/>
    <x v="8"/>
    <x v="1"/>
    <x v="0"/>
    <x v="48"/>
    <x v="246"/>
    <x v="1"/>
    <x v="0"/>
    <x v="0"/>
    <x v="0"/>
    <m/>
    <m/>
    <m/>
    <x v="118"/>
    <m/>
    <x v="125"/>
    <x v="1"/>
    <x v="101"/>
    <x v="8"/>
    <x v="10"/>
    <x v="2"/>
    <x v="3"/>
    <m/>
    <x v="13"/>
    <x v="2"/>
    <x v="10"/>
    <x v="4"/>
    <x v="1"/>
    <m/>
    <m/>
    <x v="0"/>
    <x v="0"/>
    <s v="Sistemas"/>
    <n v="0"/>
    <x v="2"/>
    <x v="2"/>
    <x v="0"/>
    <x v="0"/>
    <x v="93"/>
  </r>
  <r>
    <n v="255"/>
    <m/>
    <m/>
    <m/>
    <m/>
    <x v="4"/>
    <x v="1"/>
    <x v="5"/>
    <x v="6"/>
    <x v="247"/>
    <x v="4"/>
    <x v="0"/>
    <x v="0"/>
    <x v="0"/>
    <m/>
    <m/>
    <m/>
    <x v="119"/>
    <m/>
    <x v="126"/>
    <x v="1"/>
    <x v="102"/>
    <x v="3"/>
    <x v="6"/>
    <x v="2"/>
    <x v="3"/>
    <m/>
    <x v="3"/>
    <x v="2"/>
    <x v="9"/>
    <x v="4"/>
    <x v="1"/>
    <m/>
    <m/>
    <x v="0"/>
    <x v="0"/>
    <s v="Sistemas"/>
    <n v="0"/>
    <x v="2"/>
    <x v="2"/>
    <x v="0"/>
    <x v="0"/>
    <x v="94"/>
  </r>
  <r>
    <n v="256"/>
    <m/>
    <m/>
    <m/>
    <m/>
    <x v="4"/>
    <x v="1"/>
    <x v="5"/>
    <x v="6"/>
    <x v="248"/>
    <x v="4"/>
    <x v="0"/>
    <x v="0"/>
    <x v="0"/>
    <m/>
    <m/>
    <m/>
    <x v="120"/>
    <m/>
    <x v="127"/>
    <x v="1"/>
    <x v="103"/>
    <x v="3"/>
    <x v="6"/>
    <x v="2"/>
    <x v="3"/>
    <m/>
    <x v="3"/>
    <x v="2"/>
    <x v="4"/>
    <x v="4"/>
    <x v="1"/>
    <m/>
    <m/>
    <x v="0"/>
    <x v="0"/>
    <s v="Sistemas"/>
    <n v="0"/>
    <x v="2"/>
    <x v="2"/>
    <x v="0"/>
    <x v="0"/>
    <x v="95"/>
  </r>
  <r>
    <n v="257"/>
    <m/>
    <m/>
    <m/>
    <m/>
    <x v="8"/>
    <x v="1"/>
    <x v="0"/>
    <x v="43"/>
    <x v="249"/>
    <x v="1"/>
    <x v="0"/>
    <x v="0"/>
    <x v="0"/>
    <m/>
    <m/>
    <m/>
    <x v="121"/>
    <m/>
    <x v="128"/>
    <x v="1"/>
    <x v="104"/>
    <x v="8"/>
    <x v="11"/>
    <x v="2"/>
    <x v="3"/>
    <m/>
    <x v="13"/>
    <x v="2"/>
    <x v="13"/>
    <x v="4"/>
    <x v="1"/>
    <m/>
    <m/>
    <x v="0"/>
    <x v="0"/>
    <s v="Sistemas"/>
    <n v="0"/>
    <x v="2"/>
    <x v="2"/>
    <x v="0"/>
    <x v="0"/>
    <x v="96"/>
  </r>
  <r>
    <n v="258"/>
    <m/>
    <m/>
    <m/>
    <m/>
    <x v="8"/>
    <x v="1"/>
    <x v="0"/>
    <x v="49"/>
    <x v="250"/>
    <x v="1"/>
    <x v="0"/>
    <x v="0"/>
    <x v="0"/>
    <m/>
    <m/>
    <m/>
    <x v="122"/>
    <m/>
    <x v="129"/>
    <x v="1"/>
    <x v="105"/>
    <x v="8"/>
    <x v="10"/>
    <x v="2"/>
    <x v="7"/>
    <m/>
    <x v="13"/>
    <x v="2"/>
    <x v="9"/>
    <x v="4"/>
    <x v="1"/>
    <m/>
    <m/>
    <x v="0"/>
    <x v="0"/>
    <s v="Sistemas"/>
    <n v="0"/>
    <x v="2"/>
    <x v="2"/>
    <x v="0"/>
    <x v="0"/>
    <x v="97"/>
  </r>
  <r>
    <n v="259"/>
    <m/>
    <m/>
    <m/>
    <m/>
    <x v="3"/>
    <x v="0"/>
    <x v="13"/>
    <x v="50"/>
    <x v="251"/>
    <x v="1"/>
    <x v="1"/>
    <x v="49"/>
    <x v="55"/>
    <n v="861578071136819"/>
    <m/>
    <m/>
    <x v="1"/>
    <m/>
    <x v="1"/>
    <x v="1"/>
    <x v="0"/>
    <x v="2"/>
    <x v="1"/>
    <x v="1"/>
    <x v="2"/>
    <m/>
    <x v="2"/>
    <x v="2"/>
    <x v="2"/>
    <x v="4"/>
    <x v="1"/>
    <m/>
    <m/>
    <x v="0"/>
    <x v="0"/>
    <s v="42283222"/>
    <s v="0000001068"/>
    <x v="116"/>
    <x v="1"/>
    <x v="1"/>
    <x v="1"/>
    <x v="0"/>
  </r>
  <r>
    <n v="260"/>
    <m/>
    <m/>
    <m/>
    <m/>
    <x v="3"/>
    <x v="0"/>
    <x v="11"/>
    <x v="26"/>
    <x v="252"/>
    <x v="1"/>
    <x v="1"/>
    <x v="50"/>
    <x v="56"/>
    <n v="862480064827034"/>
    <m/>
    <m/>
    <x v="1"/>
    <m/>
    <x v="1"/>
    <x v="1"/>
    <x v="0"/>
    <x v="2"/>
    <x v="1"/>
    <x v="1"/>
    <x v="2"/>
    <m/>
    <x v="2"/>
    <x v="2"/>
    <x v="2"/>
    <x v="4"/>
    <x v="1"/>
    <m/>
    <m/>
    <x v="0"/>
    <x v="0"/>
    <s v="Lobby"/>
    <n v="0"/>
    <x v="117"/>
    <x v="8"/>
    <x v="5"/>
    <x v="5"/>
    <x v="0"/>
  </r>
  <r>
    <n v="261"/>
    <m/>
    <m/>
    <m/>
    <m/>
    <x v="3"/>
    <x v="0"/>
    <x v="11"/>
    <x v="26"/>
    <x v="253"/>
    <x v="1"/>
    <x v="1"/>
    <x v="51"/>
    <x v="57"/>
    <n v="862448066333616"/>
    <m/>
    <m/>
    <x v="1"/>
    <m/>
    <x v="1"/>
    <x v="1"/>
    <x v="0"/>
    <x v="2"/>
    <x v="1"/>
    <x v="1"/>
    <x v="2"/>
    <m/>
    <x v="2"/>
    <x v="2"/>
    <x v="2"/>
    <x v="4"/>
    <x v="1"/>
    <m/>
    <m/>
    <x v="0"/>
    <x v="0"/>
    <s v="FOYER"/>
    <n v="0"/>
    <x v="118"/>
    <x v="8"/>
    <x v="5"/>
    <x v="5"/>
    <x v="0"/>
  </r>
  <r>
    <n v="262"/>
    <m/>
    <m/>
    <m/>
    <m/>
    <x v="3"/>
    <x v="0"/>
    <x v="11"/>
    <x v="26"/>
    <x v="254"/>
    <x v="1"/>
    <x v="1"/>
    <x v="52"/>
    <x v="58"/>
    <n v="862448066334838"/>
    <m/>
    <m/>
    <x v="1"/>
    <m/>
    <x v="1"/>
    <x v="1"/>
    <x v="0"/>
    <x v="2"/>
    <x v="1"/>
    <x v="1"/>
    <x v="2"/>
    <m/>
    <x v="2"/>
    <x v="2"/>
    <x v="2"/>
    <x v="4"/>
    <x v="1"/>
    <m/>
    <m/>
    <x v="0"/>
    <x v="0"/>
    <s v="09961825"/>
    <s v="0000001576"/>
    <x v="88"/>
    <x v="68"/>
    <x v="31"/>
    <x v="5"/>
    <x v="0"/>
  </r>
  <r>
    <n v="263"/>
    <m/>
    <m/>
    <m/>
    <m/>
    <x v="3"/>
    <x v="0"/>
    <x v="1"/>
    <x v="25"/>
    <x v="255"/>
    <x v="1"/>
    <x v="1"/>
    <x v="53"/>
    <x v="59"/>
    <m/>
    <m/>
    <m/>
    <x v="1"/>
    <m/>
    <x v="1"/>
    <x v="1"/>
    <x v="0"/>
    <x v="2"/>
    <x v="1"/>
    <x v="1"/>
    <x v="2"/>
    <m/>
    <x v="2"/>
    <x v="2"/>
    <x v="2"/>
    <x v="4"/>
    <x v="1"/>
    <m/>
    <m/>
    <x v="0"/>
    <x v="0"/>
    <s v="60005193"/>
    <s v="0000001441"/>
    <x v="119"/>
    <x v="34"/>
    <x v="32"/>
    <x v="1"/>
    <x v="0"/>
  </r>
  <r>
    <n v="264"/>
    <m/>
    <m/>
    <m/>
    <m/>
    <x v="3"/>
    <x v="0"/>
    <x v="13"/>
    <x v="51"/>
    <x v="256"/>
    <x v="1"/>
    <x v="1"/>
    <x v="54"/>
    <x v="60"/>
    <n v="866317068523167"/>
    <m/>
    <m/>
    <x v="1"/>
    <m/>
    <x v="1"/>
    <x v="1"/>
    <x v="0"/>
    <x v="2"/>
    <x v="1"/>
    <x v="1"/>
    <x v="2"/>
    <m/>
    <x v="2"/>
    <x v="2"/>
    <x v="2"/>
    <x v="4"/>
    <x v="1"/>
    <m/>
    <m/>
    <x v="0"/>
    <x v="0"/>
    <s v="74404325"/>
    <s v="0000001513"/>
    <x v="120"/>
    <x v="89"/>
    <x v="38"/>
    <x v="8"/>
    <x v="0"/>
  </r>
  <r>
    <n v="265"/>
    <m/>
    <m/>
    <m/>
    <m/>
    <x v="3"/>
    <x v="0"/>
    <x v="2"/>
    <x v="28"/>
    <x v="257"/>
    <x v="1"/>
    <x v="1"/>
    <x v="55"/>
    <x v="61"/>
    <m/>
    <m/>
    <m/>
    <x v="1"/>
    <m/>
    <x v="1"/>
    <x v="1"/>
    <x v="0"/>
    <x v="2"/>
    <x v="1"/>
    <x v="1"/>
    <x v="13"/>
    <m/>
    <x v="10"/>
    <x v="2"/>
    <x v="2"/>
    <x v="4"/>
    <x v="1"/>
    <m/>
    <m/>
    <x v="0"/>
    <x v="0"/>
    <s v="Puerta 5"/>
    <s v="Puerta 5"/>
    <x v="49"/>
    <x v="8"/>
    <x v="5"/>
    <x v="5"/>
    <x v="0"/>
  </r>
  <r>
    <n v="266"/>
    <m/>
    <m/>
    <m/>
    <m/>
    <x v="3"/>
    <x v="0"/>
    <x v="1"/>
    <x v="25"/>
    <x v="258"/>
    <x v="1"/>
    <x v="1"/>
    <x v="56"/>
    <x v="62"/>
    <m/>
    <m/>
    <m/>
    <x v="1"/>
    <m/>
    <x v="1"/>
    <x v="1"/>
    <x v="0"/>
    <x v="2"/>
    <x v="1"/>
    <x v="1"/>
    <x v="2"/>
    <m/>
    <x v="2"/>
    <x v="2"/>
    <x v="2"/>
    <x v="4"/>
    <x v="1"/>
    <m/>
    <m/>
    <x v="0"/>
    <x v="0"/>
    <s v="46815301"/>
    <s v="0000001791"/>
    <x v="14"/>
    <x v="13"/>
    <x v="9"/>
    <x v="7"/>
    <x v="0"/>
  </r>
  <r>
    <n v="267"/>
    <m/>
    <m/>
    <m/>
    <m/>
    <x v="3"/>
    <x v="0"/>
    <x v="1"/>
    <x v="29"/>
    <x v="259"/>
    <x v="1"/>
    <x v="1"/>
    <x v="57"/>
    <x v="63"/>
    <m/>
    <m/>
    <m/>
    <x v="1"/>
    <m/>
    <x v="1"/>
    <x v="1"/>
    <x v="0"/>
    <x v="2"/>
    <x v="1"/>
    <x v="1"/>
    <x v="2"/>
    <m/>
    <x v="2"/>
    <x v="2"/>
    <x v="2"/>
    <x v="4"/>
    <x v="1"/>
    <m/>
    <m/>
    <x v="0"/>
    <x v="0"/>
    <s v="44826856"/>
    <n v="0"/>
    <x v="36"/>
    <x v="16"/>
    <x v="4"/>
    <x v="4"/>
    <x v="0"/>
  </r>
  <r>
    <n v="268"/>
    <m/>
    <m/>
    <m/>
    <m/>
    <x v="3"/>
    <x v="0"/>
    <x v="1"/>
    <x v="52"/>
    <x v="260"/>
    <x v="1"/>
    <x v="1"/>
    <x v="58"/>
    <x v="64"/>
    <m/>
    <m/>
    <m/>
    <x v="1"/>
    <m/>
    <x v="1"/>
    <x v="1"/>
    <x v="0"/>
    <x v="2"/>
    <x v="1"/>
    <x v="1"/>
    <x v="2"/>
    <m/>
    <x v="10"/>
    <x v="2"/>
    <x v="2"/>
    <x v="4"/>
    <x v="1"/>
    <m/>
    <m/>
    <x v="0"/>
    <x v="0"/>
    <s v="CyM"/>
    <n v="0"/>
    <x v="8"/>
    <x v="8"/>
    <x v="5"/>
    <x v="5"/>
    <x v="0"/>
  </r>
  <r>
    <n v="26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27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27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27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27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27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27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27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27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27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27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28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28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28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28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28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28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28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28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28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28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29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29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29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29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29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29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29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29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29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29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0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0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0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0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0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0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0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0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0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0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1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1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1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1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1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1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1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1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1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1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2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2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2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2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2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2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2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2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2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2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3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3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3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3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3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3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3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3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3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3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4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4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4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4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4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4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4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4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4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4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5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5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5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5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5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5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5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5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5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5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6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6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6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6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6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6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6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6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6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6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7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7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7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7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7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7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7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7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7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7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8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8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8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8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8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8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8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8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8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8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9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9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9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9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9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9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9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9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9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39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0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0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0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0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0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0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0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0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0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0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1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1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1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1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1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1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1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1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1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1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2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2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2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2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2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2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2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2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2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2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3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3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3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3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3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3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3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3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3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3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4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4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4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4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4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4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4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4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4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4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5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5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5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5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5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5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5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5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5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5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6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6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6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6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6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6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6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6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6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6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7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7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7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7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7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7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7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7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7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7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8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8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8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8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8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8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8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8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8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8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9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9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9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9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9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9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9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9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9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49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0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0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0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0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0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0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0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0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0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0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1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1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1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1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1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1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1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1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1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1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2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2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2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2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2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2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2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2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2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2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3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3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3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3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3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3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3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3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3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3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4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4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4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4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4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4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4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4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4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4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5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5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5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5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5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5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5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5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5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5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6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6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6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6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6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6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6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6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6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6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7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7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7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7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7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7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7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7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7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7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8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8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8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8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8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8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8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8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8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8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9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9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9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9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9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9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9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9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9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59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0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0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0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0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0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0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0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0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0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0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1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1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1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1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1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1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1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1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1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1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2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2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2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2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2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2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2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2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2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2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3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3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3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3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3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3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3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3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3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3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4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4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4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4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4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4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4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4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4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4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5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5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5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5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5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5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5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5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5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5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6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6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6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6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6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6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6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6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6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6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7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7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7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7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7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7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7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7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7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7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8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8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8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8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8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8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8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8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8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8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9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91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92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93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94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95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96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97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98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699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  <r>
    <n v="700"/>
    <m/>
    <m/>
    <m/>
    <m/>
    <x v="9"/>
    <x v="2"/>
    <x v="16"/>
    <x v="11"/>
    <x v="51"/>
    <x v="1"/>
    <x v="0"/>
    <x v="0"/>
    <x v="0"/>
    <m/>
    <m/>
    <m/>
    <x v="1"/>
    <m/>
    <x v="1"/>
    <x v="1"/>
    <x v="0"/>
    <x v="1"/>
    <x v="1"/>
    <x v="1"/>
    <x v="1"/>
    <m/>
    <x v="1"/>
    <x v="2"/>
    <x v="1"/>
    <x v="1"/>
    <x v="1"/>
    <m/>
    <m/>
    <x v="2"/>
    <x v="5"/>
    <m/>
    <e v="#N/A"/>
    <x v="13"/>
    <x v="12"/>
    <x v="8"/>
    <x v="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22ADED-D81A-4090-B4E4-DFF219634C31}" name="TablaDinámica1" cacheId="855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A3:R122" firstHeaderRow="1" firstDataRow="1" firstDataCol="17"/>
  <pivotFields count="4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 defaultSubtotal="0">
      <items count="10">
        <item h="1" x="9"/>
        <item h="1" x="5"/>
        <item h="1" x="8"/>
        <item x="4"/>
        <item h="1" x="2"/>
        <item h="1" x="1"/>
        <item h="1" x="7"/>
        <item x="0"/>
        <item h="1" x="6"/>
        <item h="1" x="3"/>
      </items>
    </pivotField>
    <pivotField axis="axisRow" compact="0" outline="0" showAll="0" defaultSubtotal="0">
      <items count="3">
        <item x="1"/>
        <item x="0"/>
        <item x="2"/>
      </items>
    </pivotField>
    <pivotField axis="axisRow" compact="0" outline="0" showAll="0" defaultSubtotal="0">
      <items count="18">
        <item x="9"/>
        <item x="5"/>
        <item x="8"/>
        <item x="6"/>
        <item x="0"/>
        <item x="4"/>
        <item x="1"/>
        <item x="3"/>
        <item x="2"/>
        <item x="16"/>
        <item x="10"/>
        <item m="1" x="17"/>
        <item x="7"/>
        <item x="11"/>
        <item x="12"/>
        <item x="13"/>
        <item x="14"/>
        <item x="15"/>
      </items>
    </pivotField>
    <pivotField compact="0" outline="0" showAll="0"/>
    <pivotField axis="axisRow" compact="0" outline="0" showAll="0" defaultSubtotal="0">
      <items count="262">
        <item m="1" x="261"/>
        <item x="18"/>
        <item x="25"/>
        <item x="2"/>
        <item x="1"/>
        <item x="98"/>
        <item x="104"/>
        <item x="95"/>
        <item x="75"/>
        <item x="62"/>
        <item x="67"/>
        <item x="7"/>
        <item x="92"/>
        <item x="91"/>
        <item x="63"/>
        <item x="82"/>
        <item x="64"/>
        <item x="99"/>
        <item x="96"/>
        <item x="57"/>
        <item x="23"/>
        <item x="58"/>
        <item x="24"/>
        <item x="0"/>
        <item x="11"/>
        <item x="56"/>
        <item x="68"/>
        <item x="90"/>
        <item x="60"/>
        <item x="87"/>
        <item x="9"/>
        <item x="103"/>
        <item x="14"/>
        <item x="61"/>
        <item x="102"/>
        <item x="70"/>
        <item x="55"/>
        <item x="74"/>
        <item x="15"/>
        <item x="72"/>
        <item x="66"/>
        <item x="89"/>
        <item x="81"/>
        <item x="105"/>
        <item x="8"/>
        <item x="78"/>
        <item x="73"/>
        <item x="65"/>
        <item x="88"/>
        <item x="10"/>
        <item x="100"/>
        <item x="53"/>
        <item x="59"/>
        <item x="69"/>
        <item x="77"/>
        <item x="86"/>
        <item x="93"/>
        <item x="12"/>
        <item x="13"/>
        <item x="84"/>
        <item x="101"/>
        <item x="49"/>
        <item x="80"/>
        <item x="76"/>
        <item x="54"/>
        <item x="85"/>
        <item x="71"/>
        <item x="16"/>
        <item x="83"/>
        <item x="48"/>
        <item x="79"/>
        <item x="52"/>
        <item x="106"/>
        <item x="17"/>
        <item x="94"/>
        <item x="50"/>
        <item x="97"/>
        <item x="26"/>
        <item x="36"/>
        <item x="34"/>
        <item x="32"/>
        <item x="43"/>
        <item x="28"/>
        <item x="41"/>
        <item x="33"/>
        <item x="37"/>
        <item x="45"/>
        <item x="44"/>
        <item x="29"/>
        <item x="46"/>
        <item x="40"/>
        <item x="31"/>
        <item x="4"/>
        <item x="21"/>
        <item x="5"/>
        <item x="22"/>
        <item x="6"/>
        <item x="20"/>
        <item x="51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30"/>
        <item x="42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7"/>
        <item x="146"/>
        <item x="148"/>
        <item x="149"/>
        <item x="150"/>
        <item x="151"/>
        <item x="145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3"/>
        <item x="163"/>
        <item x="164"/>
        <item x="165"/>
        <item x="166"/>
        <item x="167"/>
        <item x="168"/>
        <item x="169"/>
        <item x="170"/>
        <item x="27"/>
        <item x="38"/>
        <item x="39"/>
        <item x="47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19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35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43">
        <item x="66"/>
        <item x="92"/>
        <item x="9"/>
        <item x="54"/>
        <item x="84"/>
        <item x="8"/>
        <item x="51"/>
        <item x="36"/>
        <item x="82"/>
        <item x="10"/>
        <item x="90"/>
        <item m="1" x="136"/>
        <item x="45"/>
        <item x="58"/>
        <item x="60"/>
        <item m="1" x="139"/>
        <item x="86"/>
        <item x="95"/>
        <item x="71"/>
        <item x="3"/>
        <item x="93"/>
        <item x="48"/>
        <item x="34"/>
        <item x="61"/>
        <item x="46"/>
        <item x="67"/>
        <item x="44"/>
        <item x="11"/>
        <item x="47"/>
        <item m="1" x="133"/>
        <item x="30"/>
        <item x="53"/>
        <item x="96"/>
        <item x="43"/>
        <item x="85"/>
        <item x="40"/>
        <item x="91"/>
        <item m="1" x="140"/>
        <item x="57"/>
        <item x="68"/>
        <item x="59"/>
        <item x="73"/>
        <item x="62"/>
        <item x="63"/>
        <item x="69"/>
        <item x="52"/>
        <item x="64"/>
        <item x="83"/>
        <item x="81"/>
        <item x="35"/>
        <item m="1" x="142"/>
        <item x="79"/>
        <item x="13"/>
        <item x="15"/>
        <item x="24"/>
        <item x="19"/>
        <item x="25"/>
        <item x="17"/>
        <item x="12"/>
        <item x="20"/>
        <item x="28"/>
        <item x="22"/>
        <item x="31"/>
        <item x="32"/>
        <item x="26"/>
        <item x="16"/>
        <item x="23"/>
        <item x="21"/>
        <item x="27"/>
        <item x="29"/>
        <item x="14"/>
        <item x="18"/>
        <item x="55"/>
        <item x="1"/>
        <item x="56"/>
        <item x="33"/>
        <item x="41"/>
        <item x="97"/>
        <item x="76"/>
        <item m="1" x="137"/>
        <item x="38"/>
        <item x="98"/>
        <item x="72"/>
        <item m="1" x="135"/>
        <item x="100"/>
        <item x="101"/>
        <item x="70"/>
        <item m="1" x="138"/>
        <item x="102"/>
        <item x="75"/>
        <item x="88"/>
        <item x="39"/>
        <item x="106"/>
        <item x="103"/>
        <item x="99"/>
        <item m="1" x="141"/>
        <item x="113"/>
        <item x="37"/>
        <item x="89"/>
        <item x="104"/>
        <item x="42"/>
        <item x="80"/>
        <item x="94"/>
        <item x="77"/>
        <item x="78"/>
        <item x="50"/>
        <item x="105"/>
        <item x="6"/>
        <item m="1" x="134"/>
        <item x="5"/>
        <item x="87"/>
        <item m="1" x="132"/>
        <item n="10.72.10.121" m="1" x="131"/>
        <item x="107"/>
        <item x="0"/>
        <item x="4"/>
        <item x="65"/>
        <item x="109"/>
        <item x="2"/>
        <item m="1" x="130"/>
        <item n="10.72.10." x="74"/>
        <item x="7"/>
        <item x="112"/>
        <item x="114"/>
        <item x="115"/>
        <item x="116"/>
        <item x="117"/>
        <item x="118"/>
        <item x="119"/>
        <item x="120"/>
        <item x="121"/>
        <item x="108"/>
        <item x="110"/>
        <item x="111"/>
        <item x="122"/>
        <item x="123"/>
        <item x="124"/>
        <item x="125"/>
        <item x="126"/>
        <item x="49"/>
        <item x="127"/>
        <item x="128"/>
        <item x="129"/>
      </items>
    </pivotField>
    <pivotField axis="axisRow" compact="0" outline="0" showAll="0" defaultSubtotal="0">
      <items count="89">
        <item x="9"/>
        <item x="4"/>
        <item x="2"/>
        <item x="12"/>
        <item x="13"/>
        <item x="5"/>
        <item x="8"/>
        <item x="15"/>
        <item x="7"/>
        <item x="3"/>
        <item x="14"/>
        <item x="6"/>
        <item x="11"/>
        <item x="17"/>
        <item x="16"/>
        <item x="10"/>
        <item x="22"/>
        <item x="23"/>
        <item x="24"/>
        <item x="25"/>
        <item x="26"/>
        <item x="27"/>
        <item x="20"/>
        <item x="28"/>
        <item x="29"/>
        <item x="30"/>
        <item x="80"/>
        <item x="40"/>
        <item x="41"/>
        <item x="68"/>
        <item x="42"/>
        <item x="43"/>
        <item x="44"/>
        <item x="45"/>
        <item x="46"/>
        <item x="47"/>
        <item x="48"/>
        <item x="49"/>
        <item x="50"/>
        <item x="51"/>
        <item m="1" x="86"/>
        <item x="52"/>
        <item x="53"/>
        <item x="54"/>
        <item x="55"/>
        <item x="56"/>
        <item x="57"/>
        <item x="67"/>
        <item x="59"/>
        <item x="60"/>
        <item x="58"/>
        <item x="70"/>
        <item x="61"/>
        <item x="78"/>
        <item x="79"/>
        <item x="77"/>
        <item x="62"/>
        <item x="19"/>
        <item m="1" x="88"/>
        <item x="63"/>
        <item x="21"/>
        <item x="71"/>
        <item x="64"/>
        <item x="73"/>
        <item x="65"/>
        <item x="69"/>
        <item x="72"/>
        <item x="75"/>
        <item x="66"/>
        <item x="74"/>
        <item x="81"/>
        <item x="31"/>
        <item x="39"/>
        <item x="32"/>
        <item x="33"/>
        <item x="34"/>
        <item x="35"/>
        <item x="36"/>
        <item x="37"/>
        <item m="1" x="85"/>
        <item x="83"/>
        <item m="1" x="87"/>
        <item x="84"/>
        <item x="82"/>
        <item x="1"/>
        <item x="76"/>
        <item x="0"/>
        <item x="18"/>
        <item x="38"/>
      </items>
    </pivotField>
    <pivotField name="Host" axis="axisRow" compact="0" outline="0" showAll="0" defaultSubtotal="0">
      <items count="111">
        <item x="31"/>
        <item x="47"/>
        <item x="32"/>
        <item x="61"/>
        <item x="38"/>
        <item x="40"/>
        <item x="37"/>
        <item x="8"/>
        <item x="35"/>
        <item x="7"/>
        <item x="30"/>
        <item x="72"/>
        <item x="49"/>
        <item x="34"/>
        <item x="17"/>
        <item x="29"/>
        <item x="78"/>
        <item x="75"/>
        <item x="74"/>
        <item x="73"/>
        <item x="18"/>
        <item x="19"/>
        <item x="21"/>
        <item x="51"/>
        <item x="36"/>
        <item x="41"/>
        <item x="45"/>
        <item x="42"/>
        <item x="44"/>
        <item x="13"/>
        <item x="11"/>
        <item x="10"/>
        <item x="2"/>
        <item x="80"/>
        <item x="81"/>
        <item x="59"/>
        <item x="15"/>
        <item x="76"/>
        <item x="48"/>
        <item x="69"/>
        <item x="43"/>
        <item x="39"/>
        <item x="77"/>
        <item x="9"/>
        <item x="14"/>
        <item x="66"/>
        <item x="16"/>
        <item x="26"/>
        <item x="24"/>
        <item x="60"/>
        <item x="25"/>
        <item x="23"/>
        <item x="65"/>
        <item x="0"/>
        <item x="82"/>
        <item x="50"/>
        <item m="1" x="110"/>
        <item x="70"/>
        <item x="20"/>
        <item x="22"/>
        <item x="55"/>
        <item x="56"/>
        <item x="53"/>
        <item x="58"/>
        <item x="28"/>
        <item m="1" x="109"/>
        <item x="71"/>
        <item x="4"/>
        <item x="54"/>
        <item x="62"/>
        <item x="67"/>
        <item x="64"/>
        <item x="63"/>
        <item x="83"/>
        <item m="1" x="108"/>
        <item x="52"/>
        <item x="85"/>
        <item x="5"/>
        <item x="86"/>
        <item m="1" x="107"/>
        <item x="12"/>
        <item x="3"/>
        <item x="79"/>
        <item x="84"/>
        <item x="87"/>
        <item x="88"/>
        <item x="46"/>
        <item x="1"/>
        <item x="68"/>
        <item x="6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57"/>
        <item x="27"/>
        <item x="103"/>
        <item x="104"/>
        <item x="105"/>
        <item m="1" x="106"/>
        <item x="33"/>
      </items>
    </pivotField>
    <pivotField compact="0" outline="0" showAll="0"/>
    <pivotField compact="0" outline="0" showAll="0"/>
    <pivotField compact="0" outline="0" showAll="0"/>
    <pivotField axis="axisRow" compact="0" outline="0" showAll="0" defaultSubtotal="0">
      <items count="19">
        <item x="7"/>
        <item x="8"/>
        <item x="9"/>
        <item x="0"/>
        <item x="5"/>
        <item m="1" x="17"/>
        <item x="3"/>
        <item x="1"/>
        <item x="10"/>
        <item x="11"/>
        <item x="4"/>
        <item x="6"/>
        <item x="2"/>
        <item x="13"/>
        <item m="1" x="18"/>
        <item x="12"/>
        <item x="14"/>
        <item x="15"/>
        <item x="16"/>
      </items>
    </pivotField>
    <pivotField compact="0" outline="0" showAll="0"/>
    <pivotField axis="axisRow" compact="0" outline="0" showAll="0" defaultSubtotal="0">
      <items count="17">
        <item x="4"/>
        <item x="2"/>
        <item x="5"/>
        <item x="7"/>
        <item x="0"/>
        <item x="6"/>
        <item n="500 HDD" x="3"/>
        <item x="8"/>
        <item x="1"/>
        <item x="9"/>
        <item x="10"/>
        <item x="11"/>
        <item m="1" x="16"/>
        <item x="12"/>
        <item x="13"/>
        <item x="14"/>
        <item x="15"/>
      </items>
    </pivotField>
    <pivotField compact="0" outline="0" showAll="0"/>
    <pivotField axis="axisRow" dataField="1" compact="0" outline="0" showAll="0" defaultSubtotal="0">
      <items count="14">
        <item x="2"/>
        <item x="3"/>
        <item x="0"/>
        <item x="1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8">
        <item h="1" x="4"/>
        <item h="1" x="3"/>
        <item h="1" x="1"/>
        <item h="1" m="1" x="7"/>
        <item h="1" x="2"/>
        <item x="0"/>
        <item h="1" x="5"/>
        <item h="1" m="1" x="6"/>
      </items>
    </pivotField>
    <pivotField compact="0" outline="0" showAll="0"/>
    <pivotField compact="0" outline="0" showAll="0"/>
    <pivotField axis="axisRow" compact="0" outline="0" showAll="0" sortType="ascending" defaultSubtotal="0">
      <items count="123">
        <item m="1" x="122"/>
        <item x="41"/>
        <item x="105"/>
        <item x="3"/>
        <item x="30"/>
        <item x="109"/>
        <item x="23"/>
        <item x="72"/>
        <item x="36"/>
        <item x="77"/>
        <item x="106"/>
        <item x="111"/>
        <item x="107"/>
        <item x="110"/>
        <item x="108"/>
        <item x="42"/>
        <item x="63"/>
        <item x="44"/>
        <item x="37"/>
        <item x="52"/>
        <item x="51"/>
        <item x="55"/>
        <item x="75"/>
        <item x="57"/>
        <item x="102"/>
        <item x="28"/>
        <item x="81"/>
        <item x="17"/>
        <item x="46"/>
        <item x="24"/>
        <item x="8"/>
        <item x="115"/>
        <item x="70"/>
        <item x="118"/>
        <item x="117"/>
        <item x="98"/>
        <item x="1"/>
        <item x="99"/>
        <item x="90"/>
        <item x="91"/>
        <item x="11"/>
        <item x="4"/>
        <item x="53"/>
        <item x="32"/>
        <item x="84"/>
        <item x="54"/>
        <item x="112"/>
        <item x="96"/>
        <item x="50"/>
        <item x="64"/>
        <item x="65"/>
        <item x="116"/>
        <item x="43"/>
        <item x="103"/>
        <item x="93"/>
        <item x="97"/>
        <item x="95"/>
        <item x="40"/>
        <item x="87"/>
        <item x="21"/>
        <item x="100"/>
        <item x="114"/>
        <item x="104"/>
        <item x="48"/>
        <item x="83"/>
        <item x="38"/>
        <item x="59"/>
        <item x="86"/>
        <item x="14"/>
        <item x="88"/>
        <item x="45"/>
        <item x="68"/>
        <item x="9"/>
        <item x="58"/>
        <item x="89"/>
        <item x="7"/>
        <item x="39"/>
        <item x="34"/>
        <item x="18"/>
        <item x="19"/>
        <item x="85"/>
        <item x="26"/>
        <item x="113"/>
        <item x="33"/>
        <item x="56"/>
        <item x="119"/>
        <item x="71"/>
        <item x="27"/>
        <item x="20"/>
        <item x="76"/>
        <item x="49"/>
        <item x="62"/>
        <item x="73"/>
        <item x="6"/>
        <item x="60"/>
        <item x="16"/>
        <item x="92"/>
        <item x="120"/>
        <item x="78"/>
        <item x="101"/>
        <item x="29"/>
        <item x="0"/>
        <item x="66"/>
        <item x="79"/>
        <item x="25"/>
        <item x="2"/>
        <item x="61"/>
        <item x="22"/>
        <item x="80"/>
        <item x="10"/>
        <item x="35"/>
        <item x="47"/>
        <item x="82"/>
        <item x="69"/>
        <item x="31"/>
        <item x="12"/>
        <item x="94"/>
        <item x="5"/>
        <item x="74"/>
        <item x="67"/>
        <item x="15"/>
        <item x="13"/>
        <item x="121"/>
      </items>
    </pivotField>
    <pivotField axis="axisRow" compact="0" outline="0" showAll="0" defaultSubtotal="0">
      <items count="96">
        <item x="27"/>
        <item x="0"/>
        <item m="1" x="93"/>
        <item x="46"/>
        <item x="44"/>
        <item x="31"/>
        <item x="30"/>
        <item x="45"/>
        <item x="47"/>
        <item x="43"/>
        <item x="32"/>
        <item x="48"/>
        <item x="51"/>
        <item x="19"/>
        <item x="16"/>
        <item x="26"/>
        <item x="8"/>
        <item x="20"/>
        <item x="18"/>
        <item x="40"/>
        <item x="24"/>
        <item x="10"/>
        <item x="50"/>
        <item x="52"/>
        <item x="14"/>
        <item x="36"/>
        <item x="29"/>
        <item x="80"/>
        <item m="1" x="91"/>
        <item x="42"/>
        <item x="25"/>
        <item x="28"/>
        <item x="7"/>
        <item x="4"/>
        <item x="37"/>
        <item x="21"/>
        <item x="34"/>
        <item x="38"/>
        <item x="49"/>
        <item x="11"/>
        <item x="1"/>
        <item x="41"/>
        <item x="39"/>
        <item x="12"/>
        <item x="90"/>
        <item x="53"/>
        <item x="9"/>
        <item x="35"/>
        <item x="54"/>
        <item m="1" x="92"/>
        <item x="55"/>
        <item x="56"/>
        <item x="57"/>
        <item x="58"/>
        <item x="59"/>
        <item m="1" x="95"/>
        <item m="1" x="94"/>
        <item x="62"/>
        <item x="64"/>
        <item x="65"/>
        <item x="66"/>
        <item x="67"/>
        <item x="68"/>
        <item x="69"/>
        <item x="70"/>
        <item x="17"/>
        <item x="71"/>
        <item x="60"/>
        <item x="77"/>
        <item x="72"/>
        <item x="73"/>
        <item x="61"/>
        <item x="23"/>
        <item x="2"/>
        <item x="22"/>
        <item x="75"/>
        <item x="76"/>
        <item x="6"/>
        <item x="15"/>
        <item x="78"/>
        <item x="74"/>
        <item x="13"/>
        <item x="33"/>
        <item x="5"/>
        <item x="63"/>
        <item x="87"/>
        <item x="88"/>
        <item x="83"/>
        <item x="84"/>
        <item x="3"/>
        <item x="79"/>
        <item x="81"/>
        <item x="82"/>
        <item x="85"/>
        <item x="86"/>
        <item x="89"/>
      </items>
    </pivotField>
    <pivotField axis="axisRow" compact="0" outline="0" showAll="0" defaultSubtotal="0">
      <items count="40">
        <item x="16"/>
        <item x="1"/>
        <item x="27"/>
        <item x="12"/>
        <item x="18"/>
        <item x="11"/>
        <item x="13"/>
        <item x="2"/>
        <item x="29"/>
        <item x="5"/>
        <item x="6"/>
        <item x="28"/>
        <item x="19"/>
        <item x="23"/>
        <item x="32"/>
        <item x="22"/>
        <item x="26"/>
        <item x="21"/>
        <item x="24"/>
        <item x="17"/>
        <item x="14"/>
        <item x="25"/>
        <item x="3"/>
        <item x="10"/>
        <item x="15"/>
        <item x="20"/>
        <item x="7"/>
        <item x="0"/>
        <item x="4"/>
        <item x="8"/>
        <item x="39"/>
        <item x="9"/>
        <item x="31"/>
        <item x="33"/>
        <item x="34"/>
        <item x="30"/>
        <item x="35"/>
        <item x="36"/>
        <item x="37"/>
        <item x="38"/>
      </items>
    </pivotField>
    <pivotField axis="axisRow" compact="0" outline="0" showAll="0">
      <items count="15">
        <item x="1"/>
        <item x="8"/>
        <item x="9"/>
        <item x="2"/>
        <item x="5"/>
        <item x="3"/>
        <item x="11"/>
        <item x="10"/>
        <item x="0"/>
        <item x="4"/>
        <item x="6"/>
        <item x="12"/>
        <item x="7"/>
        <item m="1" x="13"/>
        <item t="default"/>
      </items>
    </pivotField>
    <pivotField compact="0" outline="0" showAll="0"/>
  </pivotFields>
  <rowFields count="17">
    <field x="34"/>
    <field x="41"/>
    <field x="40"/>
    <field x="38"/>
    <field x="39"/>
    <field x="5"/>
    <field x="21"/>
    <field x="20"/>
    <field x="19"/>
    <field x="6"/>
    <field x="7"/>
    <field x="9"/>
    <field x="35"/>
    <field x="25"/>
    <field x="27"/>
    <field x="29"/>
    <field x="31"/>
  </rowFields>
  <rowItems count="119">
    <i>
      <x/>
      <x/>
      <x v="1"/>
      <x v="36"/>
      <x v="40"/>
      <x v="3"/>
      <x/>
      <x v="77"/>
      <x v="45"/>
      <x v="1"/>
      <x v="1"/>
      <x v="37"/>
      <x v="5"/>
      <x/>
      <x v="4"/>
      <x v="2"/>
      <x/>
    </i>
    <i r="3">
      <x v="48"/>
      <x v="9"/>
      <x v="3"/>
      <x v="1"/>
      <x v="41"/>
      <x/>
      <x v="1"/>
      <x v="1"/>
      <x v="13"/>
      <x v="5"/>
      <x/>
      <x v="4"/>
      <x v="2"/>
      <x/>
    </i>
    <i r="2">
      <x v="10"/>
      <x v="59"/>
      <x v="13"/>
      <x v="3"/>
      <x v="53"/>
      <x v="60"/>
      <x v="91"/>
      <x v="1"/>
      <x v="1"/>
      <x v="25"/>
      <x v="5"/>
      <x/>
      <x v="4"/>
      <x v="2"/>
      <x/>
    </i>
    <i r="3">
      <x v="72"/>
      <x v="46"/>
      <x v="3"/>
      <x v="7"/>
      <x v="84"/>
      <x v="2"/>
      <x v="1"/>
      <x v="1"/>
      <x v="32"/>
      <x v="5"/>
      <x/>
      <x v="4"/>
      <x v="2"/>
      <x v="1"/>
    </i>
    <i r="3">
      <x v="95"/>
      <x v="78"/>
      <x v="3"/>
      <x v="29"/>
      <x v="84"/>
      <x v="49"/>
      <x v="1"/>
      <x v="1"/>
      <x v="71"/>
      <x v="5"/>
      <x/>
      <x v="4"/>
      <x v="2"/>
      <x/>
    </i>
    <i r="3">
      <x v="98"/>
      <x v="71"/>
      <x v="3"/>
      <x v="57"/>
      <x v="84"/>
      <x v="24"/>
      <x v="1"/>
      <x v="1"/>
      <x v="139"/>
      <x v="5"/>
      <x/>
      <x v="4"/>
      <x v="2"/>
      <x v="1"/>
    </i>
    <i r="2">
      <x v="15"/>
      <x v="52"/>
      <x v="34"/>
      <x v="3"/>
      <x v="5"/>
      <x v="33"/>
      <x v="40"/>
      <x v="1"/>
      <x v="1"/>
      <x v="68"/>
      <x v="5"/>
      <x/>
      <x v="4"/>
      <x v="2"/>
      <x/>
    </i>
    <i r="2">
      <x v="17"/>
      <x v="1"/>
      <x v="47"/>
      <x v="3"/>
      <x v="4"/>
      <x v="31"/>
      <x v="38"/>
      <x v="1"/>
      <x v="1"/>
      <x v="42"/>
      <x v="5"/>
      <x/>
      <x v="4"/>
      <x v="2"/>
      <x/>
    </i>
    <i r="3">
      <x v="50"/>
      <x v="47"/>
      <x v="3"/>
      <x v="3"/>
      <x v="84"/>
      <x v="8"/>
      <x v="1"/>
      <x v="1"/>
      <x v="115"/>
      <x v="5"/>
      <x/>
      <x v="4"/>
      <x v="2"/>
      <x v="1"/>
    </i>
    <i r="2">
      <x v="19"/>
      <x v="110"/>
      <x v="40"/>
      <x v="3"/>
      <x v="2"/>
      <x v="78"/>
      <x v="31"/>
      <x v="1"/>
      <x v="1"/>
      <x v="8"/>
      <x v="5"/>
      <x/>
      <x v="4"/>
      <x v="2"/>
      <x/>
    </i>
    <i r="2">
      <x v="25"/>
      <x v="57"/>
      <x v="36"/>
      <x v="3"/>
      <x v="6"/>
      <x v="30"/>
      <x v="74"/>
      <x v="1"/>
      <x v="1"/>
      <x v="62"/>
      <x v="5"/>
      <x/>
      <x v="4"/>
      <x v="2"/>
      <x/>
    </i>
    <i r="2">
      <x v="26"/>
      <x v="115"/>
      <x v="39"/>
      <x v="3"/>
      <x v="30"/>
      <x v="84"/>
      <x v="75"/>
      <x v="1"/>
      <x v="1"/>
      <x v="69"/>
      <x v="5"/>
      <x/>
      <x v="4"/>
      <x v="2"/>
      <x/>
    </i>
    <i r="2">
      <x v="33"/>
      <x v="96"/>
      <x v="47"/>
      <x v="3"/>
      <x v="53"/>
      <x v="70"/>
      <x v="99"/>
      <x v="1"/>
      <x v="4"/>
      <x v="158"/>
      <x v="5"/>
      <x v="11"/>
      <x v="3"/>
      <x v="2"/>
      <x/>
    </i>
    <i t="default" r="1">
      <x/>
    </i>
    <i r="1">
      <x v="1"/>
      <x v="3"/>
      <x v="2"/>
      <x v="27"/>
      <x v="3"/>
      <x v="83"/>
      <x v="84"/>
      <x v="73"/>
      <x v="1"/>
      <x v="4"/>
      <x v="213"/>
      <x v="5"/>
      <x v="9"/>
      <x v="3"/>
      <x v="2"/>
      <x v="1"/>
    </i>
    <i r="3">
      <x v="29"/>
      <x v="74"/>
      <x v="3"/>
      <x v="21"/>
      <x v="84"/>
      <x v="80"/>
      <x v="1"/>
      <x v="1"/>
      <x v="33"/>
      <x v="5"/>
      <x/>
      <x v="4"/>
      <x v="2"/>
      <x v="1"/>
    </i>
    <i r="2">
      <x v="4"/>
      <x v="65"/>
      <x v="10"/>
      <x v="3"/>
      <x v="8"/>
      <x v="27"/>
      <x v="3"/>
      <x v="1"/>
      <x v="1"/>
      <x v="45"/>
      <x v="5"/>
      <x/>
      <x v="4"/>
      <x v="2"/>
      <x v="1"/>
    </i>
    <i r="3">
      <x v="108"/>
      <x v="57"/>
      <x v="3"/>
      <x v="18"/>
      <x v="84"/>
      <x v="32"/>
      <x v="1"/>
      <x v="1"/>
      <x v="144"/>
      <x v="5"/>
      <x/>
      <x v="4"/>
      <x v="2"/>
      <x v="1"/>
    </i>
    <i r="2">
      <x v="5"/>
      <x v="6"/>
      <x v="35"/>
      <x v="3"/>
      <x v="19"/>
      <x v="53"/>
      <x v="17"/>
      <x v="1"/>
      <x v="1"/>
      <x v="143"/>
      <x v="5"/>
      <x/>
      <x v="3"/>
      <x v="2"/>
      <x/>
    </i>
    <i r="6">
      <x v="20"/>
      <x v="17"/>
      <x v="76"/>
      <x v="1"/>
      <x v="1"/>
      <x v="28"/>
      <x v="5"/>
      <x/>
      <x v="4"/>
      <x v="2"/>
      <x/>
    </i>
    <i r="2">
      <x v="35"/>
      <x v="26"/>
      <x v="84"/>
      <x v="3"/>
      <x v="17"/>
      <x v="53"/>
      <x v="77"/>
      <x v="1"/>
      <x v="1"/>
      <x v="148"/>
      <x v="5"/>
      <x v="11"/>
      <x v="4"/>
      <x v="2"/>
      <x v="1"/>
    </i>
    <i t="default" r="1">
      <x v="1"/>
    </i>
    <i r="1">
      <x v="2"/>
      <x v="6"/>
      <x v="22"/>
      <x v="53"/>
      <x v="7"/>
      <x v="88"/>
      <x v="84"/>
      <x v="1"/>
      <x v="1"/>
      <x v="5"/>
      <x v="145"/>
      <x v="5"/>
      <x v="15"/>
      <x/>
      <x v="2"/>
      <x v="1"/>
    </i>
    <i r="3">
      <x v="81"/>
      <x v="20"/>
      <x v="3"/>
      <x v="22"/>
      <x v="19"/>
      <x v="33"/>
      <x v="1"/>
      <x v="1"/>
      <x v="14"/>
      <x v="5"/>
      <x/>
      <x v="4"/>
      <x v="2"/>
      <x/>
    </i>
    <i t="default" r="1">
      <x v="2"/>
    </i>
    <i r="1">
      <x v="3"/>
      <x/>
      <x v="77"/>
      <x v="6"/>
      <x v="3"/>
      <x v="10"/>
      <x v="76"/>
      <x v="80"/>
      <x v="1"/>
      <x v="1"/>
      <x v="46"/>
      <x v="5"/>
      <x/>
      <x v="4"/>
      <x v="2"/>
      <x/>
    </i>
    <i r="6">
      <x v="11"/>
      <x v="84"/>
      <x v="102"/>
      <x v="1"/>
      <x v="1"/>
      <x v="142"/>
      <x v="5"/>
      <x/>
      <x v="4"/>
      <x v="2"/>
      <x/>
    </i>
    <i r="2">
      <x v="2"/>
      <x v="19"/>
      <x v="7"/>
      <x v="3"/>
      <x v="12"/>
      <x v="45"/>
      <x v="44"/>
      <x v="1"/>
      <x v="1"/>
      <x v="7"/>
      <x v="5"/>
      <x/>
      <x v="4"/>
      <x v="2"/>
      <x/>
    </i>
    <i r="2">
      <x v="7"/>
      <x v="3"/>
      <x v="89"/>
      <x v="3"/>
      <x v="87"/>
      <x v="84"/>
      <x v="118"/>
      <x v="1"/>
      <x v="5"/>
      <x v="94"/>
      <x v="5"/>
      <x v="10"/>
      <x v="4"/>
      <x v="2"/>
      <x v="1"/>
    </i>
    <i r="3">
      <x v="18"/>
      <x v="5"/>
      <x v="3"/>
      <x v="13"/>
      <x v="72"/>
      <x v="12"/>
      <x v="1"/>
      <x v="1"/>
      <x v="54"/>
      <x v="5"/>
      <x/>
      <x v="4"/>
      <x v="2"/>
      <x/>
    </i>
    <i r="6">
      <x v="85"/>
      <x v="84"/>
      <x v="73"/>
      <x v="1"/>
      <x v="4"/>
      <x v="230"/>
      <x v="5"/>
      <x v="10"/>
      <x/>
      <x v="2"/>
      <x v="1"/>
    </i>
    <i r="3">
      <x v="38"/>
      <x v="64"/>
      <x v="3"/>
      <x v="34"/>
      <x v="84"/>
      <x v="93"/>
      <x v="1"/>
      <x v="5"/>
      <x v="98"/>
      <x v="5"/>
      <x v="10"/>
      <x/>
      <x v="2"/>
      <x v="1"/>
    </i>
    <i r="3">
      <x v="58"/>
      <x v="32"/>
      <x v="3"/>
      <x v="16"/>
      <x v="84"/>
      <x v="88"/>
      <x v="1"/>
      <x v="1"/>
      <x v="154"/>
      <x v="5"/>
      <x/>
      <x v="4"/>
      <x v="2"/>
      <x/>
    </i>
    <i r="3">
      <x v="75"/>
      <x v="32"/>
      <x v="3"/>
      <x v="77"/>
      <x v="84"/>
      <x v="107"/>
      <x v="1"/>
      <x v="1"/>
      <x v="30"/>
      <x v="5"/>
      <x/>
      <x v="4"/>
      <x v="2"/>
      <x v="2"/>
    </i>
    <i r="3">
      <x v="83"/>
      <x v="32"/>
      <x v="3"/>
      <x v="15"/>
      <x v="75"/>
      <x v="6"/>
      <x v="1"/>
      <x v="1"/>
      <x v="39"/>
      <x v="5"/>
      <x/>
      <x v="4"/>
      <x v="2"/>
      <x/>
    </i>
    <i r="3">
      <x v="84"/>
      <x v="11"/>
      <x v="3"/>
      <x v="53"/>
      <x v="49"/>
      <x v="41"/>
      <x v="1"/>
      <x v="1"/>
      <x v="17"/>
      <x v="5"/>
      <x v="4"/>
      <x v="7"/>
      <x v="2"/>
      <x/>
    </i>
    <i r="3">
      <x v="102"/>
      <x v="48"/>
      <x v="3"/>
      <x v="53"/>
      <x v="51"/>
      <x v="47"/>
      <x v="1"/>
      <x v="1"/>
      <x v="121"/>
      <x v="5"/>
      <x v="4"/>
      <x v="7"/>
      <x v="2"/>
      <x/>
    </i>
    <i r="3">
      <x v="104"/>
      <x v="72"/>
      <x v="3"/>
      <x v="58"/>
      <x v="18"/>
      <x v="100"/>
      <x v="1"/>
      <x v="1"/>
      <x v="9"/>
      <x v="5"/>
      <x v="6"/>
      <x v="3"/>
      <x v="1"/>
      <x/>
    </i>
    <i r="3">
      <x v="107"/>
      <x v="17"/>
      <x v="3"/>
      <x v="14"/>
      <x v="16"/>
      <x v="35"/>
      <x v="1"/>
      <x v="1"/>
      <x v="52"/>
      <x v="5"/>
      <x/>
      <x v="4"/>
      <x v="2"/>
      <x v="1"/>
    </i>
    <i r="2">
      <x v="8"/>
      <x v="89"/>
      <x v="54"/>
      <x v="7"/>
      <x v="53"/>
      <x v="84"/>
      <x v="73"/>
      <x v="1"/>
      <x v="5"/>
      <x v="98"/>
      <x v="5"/>
      <x v="9"/>
      <x v="3"/>
      <x v="2"/>
      <x v="1"/>
    </i>
    <i t="default" r="1">
      <x v="3"/>
    </i>
    <i r="1">
      <x v="4"/>
      <x v="9"/>
      <x v="30"/>
      <x v="16"/>
      <x v="3"/>
      <x v="9"/>
      <x v="84"/>
      <x v="5"/>
      <x v="1"/>
      <x v="1"/>
      <x v="58"/>
      <x v="5"/>
      <x/>
      <x v="4"/>
      <x v="2"/>
      <x v="2"/>
    </i>
    <i r="3">
      <x v="73"/>
      <x v="22"/>
      <x v="3"/>
      <x v="53"/>
      <x v="59"/>
      <x v="73"/>
      <x v="1"/>
      <x v="1"/>
      <x v="34"/>
      <x v="5"/>
      <x/>
      <x v="4"/>
      <x v="2"/>
      <x/>
    </i>
    <i r="3">
      <x v="90"/>
      <x v="16"/>
      <x v="3"/>
      <x v="86"/>
      <x v="84"/>
      <x v="116"/>
      <x v="1"/>
      <x v="1"/>
      <x v="27"/>
      <x v="5"/>
      <x v="6"/>
      <x v="3"/>
      <x v="2"/>
      <x/>
    </i>
    <i r="2">
      <x v="32"/>
      <x v="69"/>
      <x v="62"/>
      <x v="3"/>
      <x v="82"/>
      <x v="26"/>
      <x v="49"/>
      <x v="1"/>
      <x v="1"/>
      <x v="155"/>
      <x v="5"/>
      <x v="11"/>
      <x v="4"/>
      <x v="2"/>
      <x v="1"/>
    </i>
    <i t="default" r="1">
      <x v="4"/>
    </i>
    <i r="1">
      <x v="5"/>
      <x v="12"/>
      <x v="76"/>
      <x v="82"/>
      <x v="3"/>
      <x v="24"/>
      <x v="28"/>
      <x v="72"/>
      <x v="1"/>
      <x v="1"/>
      <x v="70"/>
      <x v="5"/>
      <x/>
      <x v="4"/>
      <x v="2"/>
      <x v="1"/>
    </i>
    <i r="6">
      <x v="53"/>
      <x v="61"/>
      <x v="4"/>
      <x v="1"/>
      <x v="1"/>
      <x v="131"/>
      <x v="5"/>
      <x/>
      <x v="4"/>
      <x v="2"/>
      <x v="1"/>
    </i>
    <i r="2">
      <x v="13"/>
      <x v="17"/>
      <x v="37"/>
      <x v="3"/>
      <x v="25"/>
      <x v="34"/>
      <x v="14"/>
      <x v="1"/>
      <x v="1"/>
      <x v="59"/>
      <x v="5"/>
      <x/>
      <x v="4"/>
      <x v="2"/>
      <x/>
    </i>
    <i r="3">
      <x v="63"/>
      <x v="29"/>
      <x v="3"/>
      <x v="26"/>
      <x v="39"/>
      <x v="46"/>
      <x v="1"/>
      <x v="1"/>
      <x v="41"/>
      <x v="5"/>
      <x/>
      <x v="4"/>
      <x v="2"/>
      <x v="1"/>
    </i>
    <i r="3">
      <x v="103"/>
      <x v="37"/>
      <x v="3"/>
      <x v="66"/>
      <x v="55"/>
      <x v="20"/>
      <x v="1"/>
      <x v="1"/>
      <x v="141"/>
      <x v="5"/>
      <x/>
      <x v="3"/>
      <x v="2"/>
      <x/>
    </i>
    <i r="2">
      <x v="16"/>
      <x v="23"/>
      <x v="38"/>
      <x v="3"/>
      <x v="75"/>
      <x v="56"/>
      <x v="120"/>
      <x v="1"/>
      <x v="1"/>
      <x v="60"/>
      <x v="5"/>
      <x/>
      <x v="3"/>
      <x v="2"/>
      <x/>
    </i>
    <i r="3">
      <x v="111"/>
      <x v="41"/>
      <x v="3"/>
      <x v="28"/>
      <x v="38"/>
      <x v="43"/>
      <x v="1"/>
      <x v="1"/>
      <x v="48"/>
      <x v="5"/>
      <x/>
      <x v="4"/>
      <x v="2"/>
      <x/>
    </i>
    <i r="2">
      <x v="18"/>
      <x v="70"/>
      <x v="42"/>
      <x v="3"/>
      <x v="27"/>
      <x v="35"/>
      <x v="23"/>
      <x v="1"/>
      <x v="1"/>
      <x v="65"/>
      <x v="5"/>
      <x/>
      <x v="4"/>
      <x v="2"/>
      <x/>
    </i>
    <i r="2">
      <x v="22"/>
      <x v="15"/>
      <x v="25"/>
      <x v="3"/>
      <x v="41"/>
      <x v="32"/>
      <x v="13"/>
      <x v="1"/>
      <x v="1"/>
      <x v="15"/>
      <x v="5"/>
      <x/>
      <x v="4"/>
      <x v="2"/>
      <x/>
    </i>
    <i r="3">
      <x v="21"/>
      <x v="8"/>
      <x v="3"/>
      <x v="23"/>
      <x v="48"/>
      <x v="82"/>
      <x v="1"/>
      <x v="1"/>
      <x v="5"/>
      <x v="5"/>
      <x/>
      <x v="4"/>
      <x v="2"/>
      <x/>
    </i>
    <i r="3">
      <x v="40"/>
      <x v="33"/>
      <x v="3"/>
      <x v="31"/>
      <x v="84"/>
      <x v="27"/>
      <x v="1"/>
      <x v="5"/>
      <x v="95"/>
      <x v="5"/>
      <x v="4"/>
      <x/>
      <x v="2"/>
      <x/>
    </i>
    <i r="3">
      <x v="41"/>
      <x v="33"/>
      <x v="3"/>
      <x v="32"/>
      <x v="84"/>
      <x v="19"/>
      <x v="1"/>
      <x v="5"/>
      <x v="96"/>
      <x v="5"/>
      <x v="4"/>
      <x/>
      <x v="2"/>
      <x/>
    </i>
    <i r="3">
      <x v="42"/>
      <x v="33"/>
      <x v="3"/>
      <x v="53"/>
      <x v="46"/>
      <x v="86"/>
      <x v="1"/>
      <x v="1"/>
      <x v="18"/>
      <x v="5"/>
      <x v="4"/>
      <x v="7"/>
      <x v="2"/>
      <x/>
    </i>
    <i r="3">
      <x v="43"/>
      <x v="33"/>
      <x v="3"/>
      <x v="64"/>
      <x v="73"/>
      <x v="105"/>
      <x v="1"/>
      <x v="5"/>
      <x v="97"/>
      <x v="5"/>
      <x v="4"/>
      <x/>
      <x v="2"/>
      <x/>
    </i>
    <i r="3">
      <x v="56"/>
      <x v="70"/>
      <x v="3"/>
      <x v="54"/>
      <x v="84"/>
      <x v="16"/>
      <x v="1"/>
      <x v="4"/>
      <x v="165"/>
      <x v="5"/>
      <x/>
      <x v="4"/>
      <x v="2"/>
      <x/>
    </i>
    <i r="3">
      <x v="67"/>
      <x v="61"/>
      <x v="3"/>
      <x v="53"/>
      <x v="54"/>
      <x v="85"/>
      <x v="1"/>
      <x v="1"/>
      <x v="153"/>
      <x v="5"/>
      <x/>
      <x v="4"/>
      <x v="2"/>
      <x/>
    </i>
    <i r="3">
      <x v="80"/>
      <x v="33"/>
      <x v="3"/>
      <x v="42"/>
      <x v="84"/>
      <x v="84"/>
      <x v="1"/>
      <x v="1"/>
      <x v="152"/>
      <x v="5"/>
      <x/>
      <x v="4"/>
      <x v="2"/>
      <x/>
    </i>
    <i t="default" r="1">
      <x v="5"/>
    </i>
    <i r="1">
      <x v="6"/>
      <x v="11"/>
      <x v="45"/>
      <x v="3"/>
      <x v="3"/>
      <x v="55"/>
      <x v="50"/>
      <x v="18"/>
      <x v="1"/>
      <x v="4"/>
      <x v="76"/>
      <x v="5"/>
      <x v="2"/>
      <x v="7"/>
      <x v="2"/>
      <x/>
    </i>
    <i t="default" r="1">
      <x v="6"/>
    </i>
    <i r="1">
      <x v="7"/>
      <x v="21"/>
      <x v="9"/>
      <x v="67"/>
      <x v="3"/>
      <x v="39"/>
      <x v="84"/>
      <x v="43"/>
      <x v="1"/>
      <x v="1"/>
      <x v="140"/>
      <x v="5"/>
      <x/>
      <x v="4"/>
      <x v="2"/>
      <x v="1"/>
    </i>
    <i r="3">
      <x v="16"/>
      <x v="45"/>
      <x v="3"/>
      <x v="35"/>
      <x v="84"/>
      <x v="48"/>
      <x v="1"/>
      <x v="1"/>
      <x v="106"/>
      <x v="5"/>
      <x/>
      <x v="4"/>
      <x v="2"/>
      <x v="1"/>
    </i>
    <i r="3">
      <x v="20"/>
      <x v="4"/>
      <x v="3"/>
      <x v="38"/>
      <x v="44"/>
      <x v="39"/>
      <x v="1"/>
      <x v="4"/>
      <x v="74"/>
      <x v="5"/>
      <x v="8"/>
      <x v="4"/>
      <x v="2"/>
      <x v="1"/>
    </i>
    <i r="3">
      <x v="28"/>
      <x v="19"/>
      <x v="3"/>
      <x v="40"/>
      <x v="37"/>
      <x v="42"/>
      <x v="1"/>
      <x v="1"/>
      <x v="29"/>
      <x v="5"/>
      <x/>
      <x v="4"/>
      <x v="2"/>
      <x v="1"/>
    </i>
    <i r="3">
      <x v="106"/>
      <x v="23"/>
      <x v="3"/>
      <x v="61"/>
      <x v="47"/>
      <x v="104"/>
      <x v="1"/>
      <x v="1"/>
      <x v="72"/>
      <x v="5"/>
      <x v="4"/>
      <x v="9"/>
      <x v="2"/>
      <x v="1"/>
    </i>
    <i t="default" r="1">
      <x v="7"/>
    </i>
    <i r="1">
      <x v="8"/>
      <x v="27"/>
      <x v="101"/>
      <x v="1"/>
      <x v="7"/>
      <x v="53"/>
      <x v="86"/>
      <x v="114"/>
      <x v="1"/>
      <x v="4"/>
      <x v="23"/>
      <x v="5"/>
      <x v="3"/>
      <x v="4"/>
      <x v="2"/>
      <x/>
    </i>
    <i r="3">
      <x v="105"/>
      <x v="73"/>
      <x v="3"/>
      <x v="73"/>
      <x v="80"/>
      <x v="73"/>
      <x v="1"/>
      <x v="5"/>
      <x v="212"/>
      <x v="5"/>
      <x v="15"/>
      <x/>
      <x v="2"/>
      <x v="1"/>
    </i>
    <i r="6">
      <x v="76"/>
      <x v="82"/>
      <x v="73"/>
      <x v="1"/>
      <x v="5"/>
      <x v="214"/>
      <x v="5"/>
      <x v="15"/>
      <x/>
      <x v="2"/>
      <x v="1"/>
    </i>
    <i r="6">
      <x v="78"/>
      <x v="84"/>
      <x v="122"/>
      <x/>
      <x v="1"/>
      <x v="223"/>
      <x v="5"/>
      <x v="6"/>
      <x v="4"/>
      <x v="2"/>
      <x v="2"/>
    </i>
    <i r="6">
      <x v="89"/>
      <x v="84"/>
      <x v="121"/>
      <x/>
      <x v="1"/>
      <x v="49"/>
      <x v="5"/>
      <x v="11"/>
      <x v="4"/>
      <x v="2"/>
      <x/>
    </i>
    <i r="6">
      <x v="90"/>
      <x v="84"/>
      <x v="123"/>
      <x/>
      <x v="1"/>
      <x v="235"/>
      <x v="5"/>
      <x v="6"/>
      <x v="6"/>
      <x v="1"/>
      <x v="2"/>
    </i>
    <i r="6">
      <x v="98"/>
      <x v="84"/>
      <x v="134"/>
      <x/>
      <x v="4"/>
      <x v="243"/>
      <x v="5"/>
      <x v="10"/>
      <x v="15"/>
      <x v="2"/>
      <x v="2"/>
    </i>
    <i r="6">
      <x v="103"/>
      <x v="84"/>
      <x v="138"/>
      <x/>
      <x v="1"/>
      <x v="248"/>
      <x v="5"/>
      <x v="6"/>
      <x v="6"/>
      <x v="9"/>
      <x v="2"/>
    </i>
    <i r="6">
      <x v="104"/>
      <x v="29"/>
      <x v="51"/>
      <x/>
      <x v="1"/>
      <x v="99"/>
      <x v="5"/>
      <x v="6"/>
      <x v="6"/>
      <x v="1"/>
      <x/>
    </i>
    <i r="6">
      <x v="105"/>
      <x v="71"/>
      <x v="139"/>
      <x/>
      <x v="1"/>
      <x v="35"/>
      <x v="5"/>
      <x v="6"/>
      <x v="6"/>
      <x v="1"/>
      <x/>
    </i>
    <i r="6">
      <x v="106"/>
      <x v="84"/>
      <x v="140"/>
      <x/>
      <x v="1"/>
      <x v="249"/>
      <x v="5"/>
      <x v="6"/>
      <x v="6"/>
      <x v="4"/>
      <x v="2"/>
    </i>
    <i r="3">
      <x v="120"/>
      <x v="24"/>
      <x v="3"/>
      <x v="53"/>
      <x v="42"/>
      <x v="25"/>
      <x v="1"/>
      <x v="1"/>
      <x v="12"/>
      <x v="5"/>
      <x v="6"/>
      <x v="4"/>
      <x v="1"/>
      <x/>
    </i>
    <i r="7">
      <x v="57"/>
      <x v="73"/>
      <x v="1"/>
      <x v="4"/>
      <x v="75"/>
      <x v="5"/>
      <x v="2"/>
      <x v="5"/>
      <x v="2"/>
      <x/>
    </i>
    <i t="default" r="1">
      <x v="8"/>
    </i>
    <i r="1">
      <x v="9"/>
      <x v="20"/>
      <x v="87"/>
      <x v="30"/>
      <x v="3"/>
      <x v="59"/>
      <x v="20"/>
      <x v="9"/>
      <x v="1"/>
      <x v="1"/>
      <x v="16"/>
      <x v="5"/>
      <x v="4"/>
      <x/>
      <x v="2"/>
      <x/>
    </i>
    <i r="6">
      <x v="60"/>
      <x v="68"/>
      <x v="103"/>
      <x v="1"/>
      <x v="1"/>
      <x v="43"/>
      <x v="5"/>
      <x/>
      <x v="4"/>
      <x v="2"/>
      <x/>
    </i>
    <i r="2">
      <x v="23"/>
      <x v="49"/>
      <x/>
      <x v="3"/>
      <x v="49"/>
      <x v="84"/>
      <x v="41"/>
      <x v="1"/>
      <x v="1"/>
      <x v="111"/>
      <x v="5"/>
      <x/>
      <x v="4"/>
      <x v="2"/>
      <x/>
    </i>
    <i r="3">
      <x v="88"/>
      <x v="18"/>
      <x v="3"/>
      <x v="46"/>
      <x v="22"/>
      <x v="80"/>
      <x v="1"/>
      <x v="1"/>
      <x v="36"/>
      <x v="5"/>
      <x/>
      <x v="4"/>
      <x v="2"/>
      <x/>
    </i>
    <i r="3">
      <x v="100"/>
      <x/>
      <x v="3"/>
      <x v="48"/>
      <x v="23"/>
      <x v="24"/>
      <x v="1"/>
      <x v="1"/>
      <x v="10"/>
      <x v="5"/>
      <x/>
      <x v="4"/>
      <x v="2"/>
      <x/>
    </i>
    <i r="2">
      <x v="24"/>
      <x v="4"/>
      <x v="31"/>
      <x v="3"/>
      <x v="50"/>
      <x v="24"/>
      <x v="28"/>
      <x v="1"/>
      <x v="1"/>
      <x v="26"/>
      <x v="5"/>
      <x/>
      <x v="4"/>
      <x v="2"/>
      <x/>
    </i>
    <i r="3">
      <x v="118"/>
      <x v="52"/>
      <x v="7"/>
      <x v="53"/>
      <x v="84"/>
      <x v="73"/>
      <x v="1"/>
      <x v="5"/>
      <x v="98"/>
      <x v="5"/>
      <x v="9"/>
      <x v="3"/>
      <x v="2"/>
      <x v="1"/>
    </i>
    <i r="2">
      <x v="28"/>
      <x v="7"/>
      <x v="51"/>
      <x v="3"/>
      <x v="45"/>
      <x v="84"/>
      <x v="10"/>
      <x v="1"/>
      <x v="1"/>
      <x v="137"/>
      <x v="5"/>
      <x/>
      <x v="4"/>
      <x v="2"/>
      <x/>
    </i>
    <i r="3">
      <x v="8"/>
      <x v="14"/>
      <x v="3"/>
      <x v="110"/>
      <x v="88"/>
      <x v="73"/>
      <x v="1"/>
      <x v="1"/>
      <x v="63"/>
      <x v="5"/>
      <x v="11"/>
      <x v="3"/>
      <x v="2"/>
      <x/>
    </i>
    <i r="3">
      <x v="25"/>
      <x v="15"/>
      <x v="3"/>
      <x v="51"/>
      <x v="21"/>
      <x v="26"/>
      <x v="1"/>
      <x v="1"/>
      <x v="47"/>
      <x v="5"/>
      <x/>
      <x v="4"/>
      <x v="2"/>
      <x/>
    </i>
    <i r="3">
      <x v="27"/>
      <x v="14"/>
      <x v="3"/>
      <x v="44"/>
      <x v="84"/>
      <x v="7"/>
      <x v="1"/>
      <x v="1"/>
      <x v="51"/>
      <x v="5"/>
      <x/>
      <x v="4"/>
      <x v="2"/>
      <x/>
    </i>
    <i r="3">
      <x v="32"/>
      <x v="50"/>
      <x v="3"/>
      <x v="53"/>
      <x v="67"/>
      <x v="90"/>
      <x v="1"/>
      <x v="1"/>
      <x v="135"/>
      <x v="5"/>
      <x/>
      <x v="4"/>
      <x v="2"/>
      <x/>
    </i>
    <i r="3">
      <x v="55"/>
      <x v="80"/>
      <x v="7"/>
      <x v="84"/>
      <x v="84"/>
      <x v="73"/>
      <x v="1"/>
      <x v="5"/>
      <x v="229"/>
      <x v="5"/>
      <x v="10"/>
      <x/>
      <x v="2"/>
      <x v="1"/>
    </i>
    <i r="3">
      <x v="66"/>
      <x v="14"/>
      <x v="3"/>
      <x v="62"/>
      <x v="62"/>
      <x v="89"/>
      <x v="1"/>
      <x v="1"/>
      <x v="31"/>
      <x v="5"/>
      <x/>
      <x v="4"/>
      <x v="2"/>
      <x/>
    </i>
    <i r="3">
      <x v="71"/>
      <x v="14"/>
      <x v="3"/>
      <x v="72"/>
      <x v="63"/>
      <x v="16"/>
      <x v="1"/>
      <x v="1"/>
      <x v="133"/>
      <x v="5"/>
      <x/>
      <x v="4"/>
      <x v="2"/>
      <x/>
    </i>
    <i r="3">
      <x v="86"/>
      <x v="15"/>
      <x v="3"/>
      <x v="52"/>
      <x v="84"/>
      <x v="98"/>
      <x v="1"/>
      <x v="1"/>
      <x v="136"/>
      <x v="5"/>
      <x/>
      <x v="4"/>
      <x v="2"/>
      <x/>
    </i>
    <i r="3">
      <x v="91"/>
      <x v="14"/>
      <x v="3"/>
      <x v="63"/>
      <x v="65"/>
      <x v="101"/>
      <x v="1"/>
      <x v="1"/>
      <x v="103"/>
      <x v="5"/>
      <x/>
      <x v="4"/>
      <x v="2"/>
      <x v="1"/>
    </i>
    <i r="3">
      <x v="92"/>
      <x v="12"/>
      <x v="3"/>
      <x v="70"/>
      <x v="85"/>
      <x v="36"/>
      <x v="1"/>
      <x v="1"/>
      <x v="138"/>
      <x v="5"/>
      <x/>
      <x v="4"/>
      <x v="2"/>
      <x/>
    </i>
    <i r="3">
      <x v="93"/>
      <x v="77"/>
      <x v="3"/>
      <x v="67"/>
      <x v="84"/>
      <x v="109"/>
      <x v="1"/>
      <x v="1"/>
      <x v="44"/>
      <x v="5"/>
      <x v="6"/>
      <x v="4"/>
      <x v="2"/>
      <x/>
    </i>
    <i r="3">
      <x v="94"/>
      <x v="12"/>
      <x v="3"/>
      <x v="68"/>
      <x v="64"/>
      <x v="78"/>
      <x v="1"/>
      <x v="1"/>
      <x v="6"/>
      <x v="5"/>
      <x/>
      <x v="4"/>
      <x v="2"/>
      <x/>
    </i>
    <i r="3">
      <x v="109"/>
      <x v="21"/>
      <x v="3"/>
      <x v="43"/>
      <x v="84"/>
      <x v="9"/>
      <x v="1"/>
      <x v="1"/>
      <x v="38"/>
      <x v="5"/>
      <x/>
      <x v="4"/>
      <x v="2"/>
      <x/>
    </i>
    <i r="3">
      <x v="113"/>
      <x v="14"/>
      <x v="3"/>
      <x v="71"/>
      <x v="69"/>
      <x v="110"/>
      <x v="1"/>
      <x v="1"/>
      <x v="134"/>
      <x v="5"/>
      <x/>
      <x v="4"/>
      <x v="2"/>
      <x/>
    </i>
    <i r="3">
      <x v="114"/>
      <x v="26"/>
      <x v="3"/>
      <x v="47"/>
      <x v="25"/>
      <x v="21"/>
      <x v="1"/>
      <x v="1"/>
      <x v="53"/>
      <x v="5"/>
      <x/>
      <x v="4"/>
      <x v="2"/>
      <x v="1"/>
    </i>
    <i r="3">
      <x v="117"/>
      <x v="83"/>
      <x v="3"/>
      <x v="81"/>
      <x v="84"/>
      <x v="115"/>
      <x v="1"/>
      <x v="1"/>
      <x v="11"/>
      <x v="5"/>
      <x v="11"/>
      <x v="4"/>
      <x v="2"/>
      <x/>
    </i>
    <i r="3">
      <x v="119"/>
      <x v="12"/>
      <x v="3"/>
      <x v="69"/>
      <x v="66"/>
      <x v="34"/>
      <x v="1"/>
      <x v="1"/>
      <x v="132"/>
      <x v="5"/>
      <x/>
      <x v="4"/>
      <x v="2"/>
      <x/>
    </i>
    <i t="default" r="1">
      <x v="9"/>
    </i>
    <i r="1">
      <x v="12"/>
      <x v="31"/>
      <x v="44"/>
      <x v="60"/>
      <x v="3"/>
      <x v="53"/>
      <x v="84"/>
      <x v="73"/>
      <x v="1"/>
      <x v="4"/>
      <x v="151"/>
      <x v="5"/>
      <x v="6"/>
      <x v="6"/>
      <x v="4"/>
      <x/>
    </i>
    <i r="3">
      <x v="64"/>
      <x v="59"/>
      <x v="3"/>
      <x v="53"/>
      <x v="84"/>
      <x v="94"/>
      <x v="1"/>
      <x v="1"/>
      <x v="150"/>
      <x v="5"/>
      <x/>
      <x v="4"/>
      <x v="2"/>
      <x/>
    </i>
    <i r="3">
      <x v="68"/>
      <x v="81"/>
      <x v="3"/>
      <x v="80"/>
      <x v="87"/>
      <x v="22"/>
      <x v="1"/>
      <x v="1"/>
      <x v="61"/>
      <x v="5"/>
      <x v="11"/>
      <x v="4"/>
      <x v="2"/>
      <x v="1"/>
    </i>
    <i r="3">
      <x v="79"/>
      <x v="65"/>
      <x v="3"/>
      <x v="36"/>
      <x v="84"/>
      <x v="97"/>
      <x v="1"/>
      <x v="1"/>
      <x v="64"/>
      <x v="5"/>
      <x v="11"/>
      <x v="4"/>
      <x v="2"/>
      <x v="1"/>
    </i>
    <i r="3">
      <x v="112"/>
      <x v="58"/>
      <x v="3"/>
      <x v="37"/>
      <x v="84"/>
      <x v="81"/>
      <x v="1"/>
      <x v="1"/>
      <x v="149"/>
      <x v="5"/>
      <x/>
      <x v="4"/>
      <x v="2"/>
      <x/>
    </i>
    <i t="default" r="1">
      <x v="12"/>
    </i>
    <i t="grand">
      <x/>
    </i>
  </rowItems>
  <colItems count="1">
    <i/>
  </colItems>
  <dataFields count="1">
    <dataField name="Cuenta Equipos" fld="29" subtotal="count" baseField="27" baseItem="1"/>
  </dataFields>
  <formats count="89">
    <format dxfId="517">
      <pivotArea field="34" type="button" dataOnly="0" labelOnly="1" outline="0" axis="axisRow" fieldPosition="0"/>
    </format>
    <format dxfId="516">
      <pivotArea field="41" type="button" dataOnly="0" labelOnly="1" outline="0" axis="axisRow" fieldPosition="1"/>
    </format>
    <format dxfId="515">
      <pivotArea field="38" type="button" dataOnly="0" labelOnly="1" outline="0" axis="axisRow" fieldPosition="3"/>
    </format>
    <format dxfId="514">
      <pivotArea field="39" type="button" dataOnly="0" labelOnly="1" outline="0" axis="axisRow" fieldPosition="4"/>
    </format>
    <format dxfId="513">
      <pivotArea field="5" type="button" dataOnly="0" labelOnly="1" outline="0" axis="axisRow" fieldPosition="5"/>
    </format>
    <format dxfId="512">
      <pivotArea field="7" type="button" dataOnly="0" labelOnly="1" outline="0" axis="axisRow" fieldPosition="10"/>
    </format>
    <format dxfId="511">
      <pivotArea field="9" type="button" dataOnly="0" labelOnly="1" outline="0" axis="axisRow" fieldPosition="11"/>
    </format>
    <format dxfId="510">
      <pivotArea field="35" type="button" dataOnly="0" labelOnly="1" outline="0" axis="axisRow" fieldPosition="12"/>
    </format>
    <format dxfId="509">
      <pivotArea field="27" type="button" dataOnly="0" labelOnly="1" outline="0" axis="axisRow" fieldPosition="14"/>
    </format>
    <format dxfId="508">
      <pivotArea field="29" type="button" dataOnly="0" labelOnly="1" outline="0" axis="axisRow" fieldPosition="15"/>
    </format>
    <format dxfId="507">
      <pivotArea dataOnly="0" labelOnly="1" outline="0" axis="axisValues" fieldPosition="0"/>
    </format>
    <format dxfId="506">
      <pivotArea dataOnly="0" outline="0" fieldPosition="0">
        <references count="1">
          <reference field="39" count="1">
            <x v="7"/>
          </reference>
        </references>
      </pivotArea>
    </format>
    <format dxfId="505">
      <pivotArea dataOnly="0" outline="0" fieldPosition="0">
        <references count="1">
          <reference field="29" count="0"/>
        </references>
      </pivotArea>
    </format>
    <format dxfId="504">
      <pivotArea dataOnly="0" outline="0" fieldPosition="0">
        <references count="3">
          <reference field="25" count="1">
            <x v="6"/>
          </reference>
          <reference field="27" count="0" defaultSubtotal="1" sumSubtotal="1" countASubtotal="1" avgSubtotal="1" maxSubtotal="1" minSubtotal="1" productSubtotal="1" countSubtotal="1" stdDevSubtotal="1" stdDevPSubtotal="1" varSubtotal="1" varPSubtotal="1"/>
          <reference field="29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503">
      <pivotArea dataOnly="0" labelOnly="1" grandRow="1" outline="0" offset="G256:K256" fieldPosition="0"/>
    </format>
    <format dxfId="502">
      <pivotArea dataOnly="0" labelOnly="1" outline="0" offset="F256:J256" fieldPosition="0">
        <references count="2">
          <reference field="34" count="1" selected="0">
            <x v="0"/>
          </reference>
          <reference field="41" count="1" defaultSubtotal="1">
            <x v="1"/>
          </reference>
        </references>
      </pivotArea>
    </format>
    <format dxfId="501">
      <pivotArea dataOnly="0" labelOnly="1" outline="0" offset="F256:J256" fieldPosition="0">
        <references count="2">
          <reference field="34" count="1" selected="0">
            <x v="0"/>
          </reference>
          <reference field="41" count="1" defaultSubtotal="1">
            <x v="2"/>
          </reference>
        </references>
      </pivotArea>
    </format>
    <format dxfId="500">
      <pivotArea dataOnly="0" labelOnly="1" outline="0" offset="F256:J256" fieldPosition="0">
        <references count="2">
          <reference field="34" count="1" selected="0">
            <x v="0"/>
          </reference>
          <reference field="41" count="1" defaultSubtotal="1">
            <x v="3"/>
          </reference>
        </references>
      </pivotArea>
    </format>
    <format dxfId="499">
      <pivotArea dataOnly="0" labelOnly="1" outline="0" offset="F256:J256" fieldPosition="0">
        <references count="2">
          <reference field="34" count="1" selected="0">
            <x v="0"/>
          </reference>
          <reference field="41" count="1" defaultSubtotal="1">
            <x v="4"/>
          </reference>
        </references>
      </pivotArea>
    </format>
    <format dxfId="498">
      <pivotArea dataOnly="0" labelOnly="1" outline="0" offset="F256:J256" fieldPosition="0">
        <references count="2">
          <reference field="34" count="1" selected="0">
            <x v="0"/>
          </reference>
          <reference field="41" count="1" defaultSubtotal="1">
            <x v="5"/>
          </reference>
        </references>
      </pivotArea>
    </format>
    <format dxfId="497">
      <pivotArea dataOnly="0" labelOnly="1" outline="0" offset="F256:J256" fieldPosition="0">
        <references count="2">
          <reference field="34" count="1" selected="0">
            <x v="0"/>
          </reference>
          <reference field="41" count="1" defaultSubtotal="1">
            <x v="6"/>
          </reference>
        </references>
      </pivotArea>
    </format>
    <format dxfId="496">
      <pivotArea dataOnly="0" labelOnly="1" outline="0" offset="F256:J256" fieldPosition="0">
        <references count="2">
          <reference field="34" count="1" selected="0">
            <x v="0"/>
          </reference>
          <reference field="41" count="1" defaultSubtotal="1">
            <x v="7"/>
          </reference>
        </references>
      </pivotArea>
    </format>
    <format dxfId="495">
      <pivotArea dataOnly="0" labelOnly="1" outline="0" offset="F256:J256" fieldPosition="0">
        <references count="2">
          <reference field="34" count="1" selected="0">
            <x v="0"/>
          </reference>
          <reference field="41" count="1" defaultSubtotal="1">
            <x v="9"/>
          </reference>
        </references>
      </pivotArea>
    </format>
    <format dxfId="494">
      <pivotArea dataOnly="0" labelOnly="1" outline="0" offset="E256" fieldPosition="0">
        <references count="2">
          <reference field="34" count="1" selected="0">
            <x v="0"/>
          </reference>
          <reference field="41" count="1" defaultSubtotal="1">
            <x v="4"/>
          </reference>
        </references>
      </pivotArea>
    </format>
    <format dxfId="493">
      <pivotArea dataOnly="0" labelOnly="1" outline="0" offset="I256:K256" fieldPosition="0">
        <references count="2">
          <reference field="34" count="1" selected="0">
            <x v="0"/>
          </reference>
          <reference field="41" count="1" defaultSubtotal="1">
            <x v="3"/>
          </reference>
        </references>
      </pivotArea>
    </format>
    <format dxfId="492">
      <pivotArea dataOnly="0" outline="0" fieldPosition="0">
        <references count="1">
          <reference field="29" count="1">
            <x v="2"/>
          </reference>
        </references>
      </pivotArea>
    </format>
    <format dxfId="491">
      <pivotArea dataOnly="0" outline="0" fieldPosition="0">
        <references count="1">
          <reference field="29" count="1">
            <x v="2"/>
          </reference>
        </references>
      </pivotArea>
    </format>
    <format dxfId="490">
      <pivotArea dataOnly="0" outline="0" fieldPosition="0">
        <references count="1">
          <reference field="35" count="0"/>
        </references>
      </pivotArea>
    </format>
    <format dxfId="489">
      <pivotArea dataOnly="0" labelOnly="1" outline="0" fieldPosition="0">
        <references count="1">
          <reference field="29" count="0"/>
        </references>
      </pivotArea>
    </format>
    <format dxfId="488">
      <pivotArea field="19" type="button" dataOnly="0" labelOnly="1" outline="0" axis="axisRow" fieldPosition="8"/>
    </format>
    <format dxfId="487">
      <pivotArea field="34" type="button" dataOnly="0" labelOnly="1" outline="0" axis="axisRow" fieldPosition="0"/>
    </format>
    <format dxfId="486">
      <pivotArea field="41" type="button" dataOnly="0" labelOnly="1" outline="0" axis="axisRow" fieldPosition="1"/>
    </format>
    <format dxfId="485">
      <pivotArea field="40" type="button" dataOnly="0" labelOnly="1" outline="0" axis="axisRow" fieldPosition="2"/>
    </format>
    <format dxfId="484">
      <pivotArea field="38" type="button" dataOnly="0" labelOnly="1" outline="0" axis="axisRow" fieldPosition="3"/>
    </format>
    <format dxfId="483">
      <pivotArea field="39" type="button" dataOnly="0" labelOnly="1" outline="0" axis="axisRow" fieldPosition="4"/>
    </format>
    <format dxfId="482">
      <pivotArea field="5" type="button" dataOnly="0" labelOnly="1" outline="0" axis="axisRow" fieldPosition="5"/>
    </format>
    <format dxfId="481">
      <pivotArea field="19" type="button" dataOnly="0" labelOnly="1" outline="0" axis="axisRow" fieldPosition="8"/>
    </format>
    <format dxfId="480">
      <pivotArea field="6" type="button" dataOnly="0" labelOnly="1" outline="0" axis="axisRow" fieldPosition="9"/>
    </format>
    <format dxfId="479">
      <pivotArea field="7" type="button" dataOnly="0" labelOnly="1" outline="0" axis="axisRow" fieldPosition="10"/>
    </format>
    <format dxfId="478">
      <pivotArea field="9" type="button" dataOnly="0" labelOnly="1" outline="0" axis="axisRow" fieldPosition="11"/>
    </format>
    <format dxfId="477">
      <pivotArea field="35" type="button" dataOnly="0" labelOnly="1" outline="0" axis="axisRow" fieldPosition="12"/>
    </format>
    <format dxfId="476">
      <pivotArea field="25" type="button" dataOnly="0" labelOnly="1" outline="0" axis="axisRow" fieldPosition="13"/>
    </format>
    <format dxfId="475">
      <pivotArea field="27" type="button" dataOnly="0" labelOnly="1" outline="0" axis="axisRow" fieldPosition="14"/>
    </format>
    <format dxfId="474">
      <pivotArea field="29" type="button" dataOnly="0" labelOnly="1" outline="0" axis="axisRow" fieldPosition="15"/>
    </format>
    <format dxfId="473">
      <pivotArea dataOnly="0" labelOnly="1" outline="0" axis="axisValues" fieldPosition="0"/>
    </format>
    <format dxfId="472">
      <pivotArea dataOnly="0" labelOnly="1" outline="0" fieldPosition="0">
        <references count="4">
          <reference field="34" count="1" selected="0">
            <x v="0"/>
          </reference>
          <reference field="38" count="1">
            <x v="6"/>
          </reference>
          <reference field="40" count="1" selected="0">
            <x v="5"/>
          </reference>
          <reference field="41" count="1" selected="0">
            <x v="1"/>
          </reference>
        </references>
      </pivotArea>
    </format>
    <format dxfId="471">
      <pivotArea field="19" type="button" dataOnly="0" labelOnly="1" outline="0" axis="axisRow" fieldPosition="8"/>
    </format>
    <format dxfId="470">
      <pivotArea field="19" type="button" dataOnly="0" labelOnly="1" outline="0" axis="axisRow" fieldPosition="8"/>
    </format>
    <format dxfId="469">
      <pivotArea field="19" type="button" dataOnly="0" labelOnly="1" outline="0" axis="axisRow" fieldPosition="8"/>
    </format>
    <format dxfId="468">
      <pivotArea field="19" type="button" dataOnly="0" labelOnly="1" outline="0" axis="axisRow" fieldPosition="8"/>
    </format>
    <format dxfId="467">
      <pivotArea field="21" type="button" dataOnly="0" labelOnly="1" outline="0" axis="axisRow" fieldPosition="6"/>
    </format>
    <format dxfId="466">
      <pivotArea field="34" type="button" dataOnly="0" labelOnly="1" outline="0" axis="axisRow" fieldPosition="0"/>
    </format>
    <format dxfId="465">
      <pivotArea field="41" type="button" dataOnly="0" labelOnly="1" outline="0" axis="axisRow" fieldPosition="1"/>
    </format>
    <format dxfId="464">
      <pivotArea field="40" type="button" dataOnly="0" labelOnly="1" outline="0" axis="axisRow" fieldPosition="2"/>
    </format>
    <format dxfId="463">
      <pivotArea field="38" type="button" dataOnly="0" labelOnly="1" outline="0" axis="axisRow" fieldPosition="3"/>
    </format>
    <format dxfId="462">
      <pivotArea field="39" type="button" dataOnly="0" labelOnly="1" outline="0" axis="axisRow" fieldPosition="4"/>
    </format>
    <format dxfId="461">
      <pivotArea field="5" type="button" dataOnly="0" labelOnly="1" outline="0" axis="axisRow" fieldPosition="5"/>
    </format>
    <format dxfId="460">
      <pivotArea field="21" type="button" dataOnly="0" labelOnly="1" outline="0" axis="axisRow" fieldPosition="6"/>
    </format>
    <format dxfId="459">
      <pivotArea field="19" type="button" dataOnly="0" labelOnly="1" outline="0" axis="axisRow" fieldPosition="8"/>
    </format>
    <format dxfId="458">
      <pivotArea field="6" type="button" dataOnly="0" labelOnly="1" outline="0" axis="axisRow" fieldPosition="9"/>
    </format>
    <format dxfId="457">
      <pivotArea field="7" type="button" dataOnly="0" labelOnly="1" outline="0" axis="axisRow" fieldPosition="10"/>
    </format>
    <format dxfId="456">
      <pivotArea field="9" type="button" dataOnly="0" labelOnly="1" outline="0" axis="axisRow" fieldPosition="11"/>
    </format>
    <format dxfId="455">
      <pivotArea field="35" type="button" dataOnly="0" labelOnly="1" outline="0" axis="axisRow" fieldPosition="12"/>
    </format>
    <format dxfId="454">
      <pivotArea field="25" type="button" dataOnly="0" labelOnly="1" outline="0" axis="axisRow" fieldPosition="13"/>
    </format>
    <format dxfId="453">
      <pivotArea field="27" type="button" dataOnly="0" labelOnly="1" outline="0" axis="axisRow" fieldPosition="14"/>
    </format>
    <format dxfId="452">
      <pivotArea field="29" type="button" dataOnly="0" labelOnly="1" outline="0" axis="axisRow" fieldPosition="15"/>
    </format>
    <format dxfId="451">
      <pivotArea field="31" type="button" dataOnly="0" labelOnly="1" outline="0" axis="axisRow" fieldPosition="16"/>
    </format>
    <format dxfId="450">
      <pivotArea dataOnly="0" labelOnly="1" outline="0" axis="axisValues" fieldPosition="0"/>
    </format>
    <format dxfId="449">
      <pivotArea dataOnly="0" labelOnly="1" outline="0" fieldPosition="0">
        <references count="4">
          <reference field="34" count="1" selected="0">
            <x v="0"/>
          </reference>
          <reference field="38" count="1">
            <x v="66"/>
          </reference>
          <reference field="40" count="1" selected="0">
            <x v="28"/>
          </reference>
          <reference field="41" count="0" selected="0"/>
        </references>
      </pivotArea>
    </format>
    <format dxfId="448">
      <pivotArea dataOnly="0" labelOnly="1" outline="0" fieldPosition="0">
        <references count="4">
          <reference field="34" count="1" selected="0">
            <x v="0"/>
          </reference>
          <reference field="38" count="1">
            <x v="32"/>
          </reference>
          <reference field="40" count="1" selected="0">
            <x v="28"/>
          </reference>
          <reference field="41" count="0" selected="0"/>
        </references>
      </pivotArea>
    </format>
    <format dxfId="447">
      <pivotArea dataOnly="0" outline="0" fieldPosition="0">
        <references count="1">
          <reference field="38" count="1">
            <x v="27"/>
          </reference>
        </references>
      </pivotArea>
    </format>
    <format dxfId="446">
      <pivotArea dataOnly="0" labelOnly="1" outline="0" fieldPosition="0">
        <references count="4">
          <reference field="34" count="1" selected="0">
            <x v="0"/>
          </reference>
          <reference field="38" count="1">
            <x v="25"/>
          </reference>
          <reference field="40" count="1" selected="0">
            <x v="28"/>
          </reference>
          <reference field="41" count="0" selected="0"/>
        </references>
      </pivotArea>
    </format>
    <format dxfId="445">
      <pivotArea dataOnly="0" labelOnly="1" outline="0" fieldPosition="0">
        <references count="4">
          <reference field="34" count="1" selected="0">
            <x v="0"/>
          </reference>
          <reference field="38" count="1">
            <x v="71"/>
          </reference>
          <reference field="40" count="1" selected="0">
            <x v="28"/>
          </reference>
          <reference field="41" count="0" selected="0"/>
        </references>
      </pivotArea>
    </format>
    <format dxfId="444">
      <pivotArea dataOnly="0" labelOnly="1" outline="0" fieldPosition="0">
        <references count="4">
          <reference field="34" count="1" selected="0">
            <x v="0"/>
          </reference>
          <reference field="38" count="1">
            <x v="86"/>
          </reference>
          <reference field="40" count="1" selected="0">
            <x v="28"/>
          </reference>
          <reference field="41" count="0" selected="0"/>
        </references>
      </pivotArea>
    </format>
    <format dxfId="443">
      <pivotArea dataOnly="0" labelOnly="1" outline="0" fieldPosition="0">
        <references count="4">
          <reference field="34" count="1" selected="0">
            <x v="0"/>
          </reference>
          <reference field="38" count="1">
            <x v="91"/>
          </reference>
          <reference field="40" count="1" selected="0">
            <x v="28"/>
          </reference>
          <reference field="41" count="0" selected="0"/>
        </references>
      </pivotArea>
    </format>
    <format dxfId="442">
      <pivotArea dataOnly="0" labelOnly="1" outline="0" fieldPosition="0">
        <references count="4">
          <reference field="34" count="1" selected="0">
            <x v="0"/>
          </reference>
          <reference field="38" count="1">
            <x v="92"/>
          </reference>
          <reference field="40" count="1" selected="0">
            <x v="28"/>
          </reference>
          <reference field="41" count="0" selected="0"/>
        </references>
      </pivotArea>
    </format>
    <format dxfId="441">
      <pivotArea dataOnly="0" labelOnly="1" outline="0" fieldPosition="0">
        <references count="4">
          <reference field="34" count="1" selected="0">
            <x v="0"/>
          </reference>
          <reference field="38" count="1">
            <x v="93"/>
          </reference>
          <reference field="40" count="1" selected="0">
            <x v="28"/>
          </reference>
          <reference field="41" count="1" selected="0">
            <x v="9"/>
          </reference>
        </references>
      </pivotArea>
    </format>
    <format dxfId="440">
      <pivotArea dataOnly="0" labelOnly="1" outline="0" fieldPosition="0">
        <references count="4">
          <reference field="34" count="1" selected="0">
            <x v="0"/>
          </reference>
          <reference field="38" count="1">
            <x v="25"/>
          </reference>
          <reference field="40" count="1" selected="0">
            <x v="28"/>
          </reference>
          <reference field="41" count="1" selected="0">
            <x v="9"/>
          </reference>
        </references>
      </pivotArea>
    </format>
    <format dxfId="439">
      <pivotArea dataOnly="0" labelOnly="1" outline="0" fieldPosition="0">
        <references count="4">
          <reference field="34" count="1" selected="0">
            <x v="0"/>
          </reference>
          <reference field="38" count="1">
            <x v="32"/>
          </reference>
          <reference field="40" count="1" selected="0">
            <x v="28"/>
          </reference>
          <reference field="41" count="1" selected="0">
            <x v="9"/>
          </reference>
        </references>
      </pivotArea>
    </format>
    <format dxfId="438">
      <pivotArea dataOnly="0" labelOnly="1" outline="0" fieldPosition="0">
        <references count="4">
          <reference field="34" count="1" selected="0">
            <x v="0"/>
          </reference>
          <reference field="38" count="1">
            <x v="66"/>
          </reference>
          <reference field="40" count="1" selected="0">
            <x v="28"/>
          </reference>
          <reference field="41" count="1" selected="0">
            <x v="9"/>
          </reference>
        </references>
      </pivotArea>
    </format>
    <format dxfId="437">
      <pivotArea dataOnly="0" labelOnly="1" outline="0" fieldPosition="0">
        <references count="4">
          <reference field="34" count="1" selected="0">
            <x v="0"/>
          </reference>
          <reference field="38" count="1">
            <x v="86"/>
          </reference>
          <reference field="40" count="1" selected="0">
            <x v="28"/>
          </reference>
          <reference field="41" count="1" selected="0">
            <x v="9"/>
          </reference>
        </references>
      </pivotArea>
    </format>
    <format dxfId="436">
      <pivotArea dataOnly="0" labelOnly="1" outline="0" fieldPosition="0">
        <references count="4">
          <reference field="34" count="1" selected="0">
            <x v="0"/>
          </reference>
          <reference field="38" count="1">
            <x v="104"/>
          </reference>
          <reference field="40" count="1" selected="0">
            <x v="7"/>
          </reference>
          <reference field="41" count="1" selected="0">
            <x v="3"/>
          </reference>
        </references>
      </pivotArea>
    </format>
    <format dxfId="435">
      <pivotArea dataOnly="0" labelOnly="1" outline="0" fieldPosition="0">
        <references count="4">
          <reference field="34" count="1" selected="0">
            <x v="0"/>
          </reference>
          <reference field="38" count="1">
            <x v="104"/>
          </reference>
          <reference field="40" count="1" selected="0">
            <x v="7"/>
          </reference>
          <reference field="41" count="1" selected="0">
            <x v="3"/>
          </reference>
        </references>
      </pivotArea>
    </format>
    <format dxfId="434">
      <pivotArea dataOnly="0" labelOnly="1" outline="0" fieldPosition="0">
        <references count="8">
          <reference field="5" count="1" selected="0">
            <x v="3"/>
          </reference>
          <reference field="20" count="1">
            <x v="18"/>
          </reference>
          <reference field="21" count="1" selected="0">
            <x v="58"/>
          </reference>
          <reference field="34" count="1" selected="0">
            <x v="0"/>
          </reference>
          <reference field="38" count="1" selected="0">
            <x v="104"/>
          </reference>
          <reference field="39" count="1" selected="0">
            <x v="72"/>
          </reference>
          <reference field="40" count="1" selected="0">
            <x v="7"/>
          </reference>
          <reference field="41" count="1" selected="0">
            <x v="3"/>
          </reference>
        </references>
      </pivotArea>
    </format>
    <format dxfId="433">
      <pivotArea dataOnly="0" labelOnly="1" outline="0" offset="IV256" fieldPosition="0">
        <references count="4">
          <reference field="34" count="1" selected="0">
            <x v="0"/>
          </reference>
          <reference field="38" count="1">
            <x v="87"/>
          </reference>
          <reference field="40" count="1" selected="0">
            <x v="20"/>
          </reference>
          <reference field="41" count="1" selected="0">
            <x v="9"/>
          </reference>
        </references>
      </pivotArea>
    </format>
    <format dxfId="432">
      <pivotArea dataOnly="0" labelOnly="1" outline="0" fieldPosition="0">
        <references count="4">
          <reference field="34" count="1" selected="0">
            <x v="0"/>
          </reference>
          <reference field="38" count="3">
            <x v="49"/>
            <x v="88"/>
            <x v="100"/>
          </reference>
          <reference field="40" count="1" selected="0">
            <x v="23"/>
          </reference>
          <reference field="41" count="1" selected="0">
            <x v="9"/>
          </reference>
        </references>
      </pivotArea>
    </format>
    <format dxfId="431">
      <pivotArea dataOnly="0" labelOnly="1" outline="0" fieldPosition="0">
        <references count="4">
          <reference field="34" count="1" selected="0">
            <x v="0"/>
          </reference>
          <reference field="38" count="2">
            <x v="4"/>
            <x v="118"/>
          </reference>
          <reference field="40" count="1" selected="0">
            <x v="24"/>
          </reference>
          <reference field="41" count="1" selected="0">
            <x v="9"/>
          </reference>
        </references>
      </pivotArea>
    </format>
    <format dxfId="430">
      <pivotArea dataOnly="0" labelOnly="1" outline="0" fieldPosition="0">
        <references count="4">
          <reference field="34" count="1" selected="0">
            <x v="0"/>
          </reference>
          <reference field="38" count="11">
            <x v="7"/>
            <x v="25"/>
            <x v="27"/>
            <x v="32"/>
            <x v="55"/>
            <x v="66"/>
            <x v="71"/>
            <x v="86"/>
            <x v="91"/>
            <x v="92"/>
            <x v="93"/>
          </reference>
          <reference field="40" count="1" selected="0">
            <x v="28"/>
          </reference>
          <reference field="41" count="1" selected="0">
            <x v="9"/>
          </reference>
        </references>
      </pivotArea>
    </format>
    <format dxfId="429">
      <pivotArea dataOnly="0" labelOnly="1" outline="0" fieldPosition="0">
        <references count="4">
          <reference field="34" count="1" selected="0">
            <x v="0"/>
          </reference>
          <reference field="38" count="1">
            <x v="98"/>
          </reference>
          <reference field="40" count="1" selected="0">
            <x v="10"/>
          </reference>
          <reference field="41" count="1" selected="0">
            <x v="0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331B60-25D7-479B-9345-AEBF493EF4FD}" name="TablaDinámica1" cacheId="88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R122" firstHeaderRow="1" firstDataRow="1" firstDataCol="17"/>
  <pivotFields count="4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defaultSubtotal="0">
      <items count="10">
        <item h="1" x="3"/>
        <item h="1" x="6"/>
        <item x="0"/>
        <item h="1" x="7"/>
        <item h="1" x="1"/>
        <item h="1" x="2"/>
        <item x="4"/>
        <item h="1" x="8"/>
        <item h="1" x="5"/>
        <item h="1" x="9"/>
      </items>
    </pivotField>
    <pivotField axis="axisRow" compact="0" outline="0" showAll="0" defaultSubtotal="0">
      <items count="3">
        <item x="1"/>
        <item x="0"/>
        <item x="2"/>
      </items>
    </pivotField>
    <pivotField axis="axisRow" compact="0" outline="0" showAll="0" defaultSubtotal="0">
      <items count="18">
        <item x="9"/>
        <item x="5"/>
        <item x="8"/>
        <item x="6"/>
        <item x="13"/>
        <item x="0"/>
        <item x="4"/>
        <item x="10"/>
        <item x="12"/>
        <item x="1"/>
        <item x="7"/>
        <item x="3"/>
        <item x="11"/>
        <item m="1" x="17"/>
        <item x="2"/>
        <item x="16"/>
        <item x="14"/>
        <item x="15"/>
      </items>
    </pivotField>
    <pivotField compact="0" outline="0" showAll="0"/>
    <pivotField axis="axisRow" compact="0" outline="0" showAll="0" defaultSubtotal="0">
      <items count="262">
        <item x="19"/>
        <item m="1" x="261"/>
        <item x="18"/>
        <item x="27"/>
        <item x="25"/>
        <item x="2"/>
        <item x="136"/>
        <item x="1"/>
        <item x="169"/>
        <item x="206"/>
        <item x="98"/>
        <item x="154"/>
        <item x="104"/>
        <item x="137"/>
        <item x="95"/>
        <item x="75"/>
        <item x="111"/>
        <item x="62"/>
        <item x="67"/>
        <item x="149"/>
        <item x="7"/>
        <item x="92"/>
        <item x="147"/>
        <item x="143"/>
        <item x="139"/>
        <item x="91"/>
        <item x="63"/>
        <item x="82"/>
        <item x="39"/>
        <item x="38"/>
        <item x="211"/>
        <item x="165"/>
        <item x="198"/>
        <item x="210"/>
        <item x="179"/>
        <item x="203"/>
        <item x="166"/>
        <item x="209"/>
        <item x="202"/>
        <item x="205"/>
        <item x="167"/>
        <item x="146"/>
        <item x="64"/>
        <item x="115"/>
        <item x="127"/>
        <item x="99"/>
        <item x="47"/>
        <item x="213"/>
        <item x="201"/>
        <item x="200"/>
        <item x="96"/>
        <item x="110"/>
        <item x="108"/>
        <item x="152"/>
        <item x="57"/>
        <item x="130"/>
        <item x="121"/>
        <item x="112"/>
        <item x="117"/>
        <item x="129"/>
        <item x="23"/>
        <item x="120"/>
        <item x="153"/>
        <item x="113"/>
        <item x="131"/>
        <item x="126"/>
        <item x="122"/>
        <item x="118"/>
        <item x="116"/>
        <item x="58"/>
        <item x="24"/>
        <item x="109"/>
        <item x="124"/>
        <item x="162"/>
        <item x="125"/>
        <item x="128"/>
        <item x="0"/>
        <item x="11"/>
        <item x="150"/>
        <item x="114"/>
        <item x="56"/>
        <item x="68"/>
        <item x="90"/>
        <item x="138"/>
        <item x="60"/>
        <item x="87"/>
        <item x="9"/>
        <item x="144"/>
        <item x="103"/>
        <item x="14"/>
        <item x="161"/>
        <item x="61"/>
        <item x="159"/>
        <item x="102"/>
        <item x="70"/>
        <item x="55"/>
        <item x="74"/>
        <item x="15"/>
        <item x="72"/>
        <item x="66"/>
        <item x="89"/>
        <item x="81"/>
        <item x="105"/>
        <item x="8"/>
        <item x="78"/>
        <item x="107"/>
        <item x="73"/>
        <item x="65"/>
        <item x="88"/>
        <item x="10"/>
        <item x="100"/>
        <item x="53"/>
        <item x="59"/>
        <item x="69"/>
        <item x="77"/>
        <item x="141"/>
        <item x="86"/>
        <item x="93"/>
        <item x="142"/>
        <item x="12"/>
        <item x="13"/>
        <item x="156"/>
        <item x="123"/>
        <item x="151"/>
        <item x="84"/>
        <item x="101"/>
        <item x="155"/>
        <item x="49"/>
        <item x="80"/>
        <item x="76"/>
        <item x="54"/>
        <item x="160"/>
        <item x="85"/>
        <item x="148"/>
        <item x="158"/>
        <item x="71"/>
        <item x="16"/>
        <item x="83"/>
        <item x="48"/>
        <item x="119"/>
        <item x="79"/>
        <item x="52"/>
        <item x="140"/>
        <item x="106"/>
        <item x="17"/>
        <item x="3"/>
        <item x="94"/>
        <item x="170"/>
        <item x="50"/>
        <item x="97"/>
        <item x="163"/>
        <item x="26"/>
        <item x="157"/>
        <item x="212"/>
        <item x="145"/>
        <item x="199"/>
        <item x="36"/>
        <item x="196"/>
        <item x="197"/>
        <item x="208"/>
        <item x="207"/>
        <item x="204"/>
        <item x="168"/>
        <item x="171"/>
        <item x="174"/>
        <item x="173"/>
        <item x="177"/>
        <item x="172"/>
        <item x="164"/>
        <item x="176"/>
        <item x="178"/>
        <item x="175"/>
        <item x="189"/>
        <item x="186"/>
        <item x="181"/>
        <item x="185"/>
        <item x="187"/>
        <item x="193"/>
        <item x="190"/>
        <item x="192"/>
        <item x="180"/>
        <item x="184"/>
        <item x="182"/>
        <item x="188"/>
        <item x="183"/>
        <item x="191"/>
        <item x="194"/>
        <item x="195"/>
        <item x="132"/>
        <item x="133"/>
        <item x="135"/>
        <item x="134"/>
        <item x="34"/>
        <item x="32"/>
        <item x="43"/>
        <item x="28"/>
        <item x="41"/>
        <item x="33"/>
        <item x="37"/>
        <item x="45"/>
        <item x="44"/>
        <item x="29"/>
        <item x="46"/>
        <item x="40"/>
        <item x="42"/>
        <item x="30"/>
        <item x="31"/>
        <item x="4"/>
        <item x="21"/>
        <item x="5"/>
        <item x="22"/>
        <item x="6"/>
        <item x="20"/>
        <item x="51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35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42">
        <item x="66"/>
        <item x="92"/>
        <item x="9"/>
        <item x="89"/>
        <item m="1" x="137"/>
        <item x="54"/>
        <item x="84"/>
        <item x="8"/>
        <item x="51"/>
        <item x="36"/>
        <item x="100"/>
        <item x="82"/>
        <item x="10"/>
        <item x="74"/>
        <item m="1" x="131"/>
        <item x="90"/>
        <item x="102"/>
        <item m="1" x="136"/>
        <item x="6"/>
        <item x="37"/>
        <item x="98"/>
        <item x="45"/>
        <item x="58"/>
        <item x="60"/>
        <item m="1" x="139"/>
        <item x="38"/>
        <item x="94"/>
        <item x="86"/>
        <item m="1" x="138"/>
        <item x="95"/>
        <item x="71"/>
        <item x="3"/>
        <item x="93"/>
        <item x="48"/>
        <item x="34"/>
        <item x="41"/>
        <item x="61"/>
        <item x="46"/>
        <item x="104"/>
        <item x="50"/>
        <item x="67"/>
        <item x="5"/>
        <item x="78"/>
        <item x="44"/>
        <item x="11"/>
        <item x="47"/>
        <item m="1" x="133"/>
        <item x="39"/>
        <item x="30"/>
        <item x="53"/>
        <item x="96"/>
        <item x="70"/>
        <item x="43"/>
        <item x="85"/>
        <item x="40"/>
        <item x="87"/>
        <item x="91"/>
        <item m="1" x="140"/>
        <item x="76"/>
        <item x="57"/>
        <item x="77"/>
        <item x="72"/>
        <item x="42"/>
        <item x="68"/>
        <item x="59"/>
        <item x="73"/>
        <item x="88"/>
        <item x="62"/>
        <item x="63"/>
        <item m="1" x="135"/>
        <item x="99"/>
        <item x="69"/>
        <item x="101"/>
        <item x="52"/>
        <item x="33"/>
        <item x="75"/>
        <item x="64"/>
        <item x="56"/>
        <item x="83"/>
        <item x="81"/>
        <item x="35"/>
        <item x="103"/>
        <item x="80"/>
        <item x="97"/>
        <item x="79"/>
        <item x="105"/>
        <item x="113"/>
        <item x="13"/>
        <item x="15"/>
        <item x="24"/>
        <item x="19"/>
        <item x="25"/>
        <item x="17"/>
        <item x="12"/>
        <item x="20"/>
        <item x="28"/>
        <item x="22"/>
        <item x="31"/>
        <item x="32"/>
        <item x="26"/>
        <item x="16"/>
        <item x="23"/>
        <item x="21"/>
        <item x="27"/>
        <item x="29"/>
        <item x="14"/>
        <item x="106"/>
        <item m="1" x="141"/>
        <item x="18"/>
        <item x="55"/>
        <item m="1" x="132"/>
        <item m="1" x="134"/>
        <item x="1"/>
        <item x="107"/>
        <item x="0"/>
        <item x="4"/>
        <item x="65"/>
        <item x="109"/>
        <item x="2"/>
        <item m="1" x="130"/>
        <item x="7"/>
        <item x="112"/>
        <item x="114"/>
        <item x="115"/>
        <item x="116"/>
        <item x="117"/>
        <item x="118"/>
        <item x="119"/>
        <item x="120"/>
        <item x="121"/>
        <item x="108"/>
        <item x="110"/>
        <item x="111"/>
        <item x="122"/>
        <item x="123"/>
        <item x="124"/>
        <item x="125"/>
        <item x="126"/>
        <item x="49"/>
        <item x="127"/>
        <item x="128"/>
        <item x="129"/>
      </items>
    </pivotField>
    <pivotField name="Host" axis="axisRow" compact="0" outline="0" showAll="0" defaultSubtotal="0">
      <items count="89">
        <item x="9"/>
        <item x="4"/>
        <item x="2"/>
        <item x="12"/>
        <item x="13"/>
        <item x="5"/>
        <item x="8"/>
        <item x="15"/>
        <item x="7"/>
        <item x="3"/>
        <item x="14"/>
        <item x="6"/>
        <item x="11"/>
        <item x="17"/>
        <item x="16"/>
        <item x="10"/>
        <item x="22"/>
        <item x="23"/>
        <item x="24"/>
        <item x="25"/>
        <item x="26"/>
        <item x="27"/>
        <item x="20"/>
        <item x="28"/>
        <item x="29"/>
        <item x="30"/>
        <item x="80"/>
        <item x="40"/>
        <item x="41"/>
        <item x="68"/>
        <item x="42"/>
        <item x="43"/>
        <item x="44"/>
        <item x="45"/>
        <item x="46"/>
        <item x="47"/>
        <item x="48"/>
        <item x="49"/>
        <item x="50"/>
        <item x="51"/>
        <item m="1" x="86"/>
        <item x="52"/>
        <item x="53"/>
        <item x="54"/>
        <item x="55"/>
        <item x="56"/>
        <item x="57"/>
        <item x="67"/>
        <item x="59"/>
        <item x="60"/>
        <item x="58"/>
        <item x="70"/>
        <item x="61"/>
        <item x="78"/>
        <item x="79"/>
        <item x="77"/>
        <item x="62"/>
        <item x="19"/>
        <item m="1" x="88"/>
        <item x="63"/>
        <item x="21"/>
        <item x="71"/>
        <item x="64"/>
        <item x="73"/>
        <item x="65"/>
        <item x="69"/>
        <item x="72"/>
        <item x="75"/>
        <item x="66"/>
        <item x="74"/>
        <item x="81"/>
        <item x="31"/>
        <item x="39"/>
        <item x="32"/>
        <item x="33"/>
        <item x="34"/>
        <item x="35"/>
        <item x="36"/>
        <item x="37"/>
        <item m="1" x="85"/>
        <item x="82"/>
        <item x="1"/>
        <item x="83"/>
        <item m="1" x="87"/>
        <item x="84"/>
        <item x="76"/>
        <item x="0"/>
        <item x="18"/>
        <item x="38"/>
      </items>
    </pivotField>
    <pivotField axis="axisRow" compact="0" outline="0" showAll="0" defaultSubtotal="0">
      <items count="110">
        <item x="31"/>
        <item x="47"/>
        <item x="70"/>
        <item x="32"/>
        <item x="61"/>
        <item x="38"/>
        <item x="40"/>
        <item x="37"/>
        <item x="8"/>
        <item x="35"/>
        <item x="7"/>
        <item x="30"/>
        <item x="72"/>
        <item x="49"/>
        <item x="34"/>
        <item x="17"/>
        <item x="29"/>
        <item x="78"/>
        <item x="5"/>
        <item x="75"/>
        <item x="74"/>
        <item x="73"/>
        <item x="18"/>
        <item x="19"/>
        <item x="21"/>
        <item x="51"/>
        <item x="36"/>
        <item x="41"/>
        <item x="45"/>
        <item x="42"/>
        <item x="82"/>
        <item x="44"/>
        <item x="13"/>
        <item x="11"/>
        <item x="10"/>
        <item x="2"/>
        <item x="28"/>
        <item x="80"/>
        <item x="20"/>
        <item x="22"/>
        <item m="1" x="109"/>
        <item x="56"/>
        <item x="50"/>
        <item x="81"/>
        <item x="71"/>
        <item x="52"/>
        <item x="53"/>
        <item x="63"/>
        <item x="58"/>
        <item x="55"/>
        <item x="64"/>
        <item x="59"/>
        <item x="15"/>
        <item x="76"/>
        <item x="48"/>
        <item x="69"/>
        <item x="43"/>
        <item x="39"/>
        <item x="77"/>
        <item x="9"/>
        <item x="14"/>
        <item x="83"/>
        <item m="1" x="108"/>
        <item x="85"/>
        <item x="4"/>
        <item x="54"/>
        <item x="62"/>
        <item x="67"/>
        <item x="66"/>
        <item x="16"/>
        <item x="26"/>
        <item x="24"/>
        <item x="60"/>
        <item x="25"/>
        <item x="23"/>
        <item x="65"/>
        <item x="0"/>
        <item x="86"/>
        <item m="1" x="107"/>
        <item x="12"/>
        <item x="3"/>
        <item x="79"/>
        <item x="84"/>
        <item x="87"/>
        <item x="88"/>
        <item x="46"/>
        <item x="1"/>
        <item x="68"/>
        <item x="6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57"/>
        <item x="27"/>
        <item x="103"/>
        <item x="104"/>
        <item x="105"/>
        <item m="1" x="106"/>
        <item x="33"/>
      </items>
    </pivotField>
    <pivotField compact="0" outline="0" showAll="0"/>
    <pivotField compact="0" outline="0" showAll="0"/>
    <pivotField compact="0" outline="0" showAll="0"/>
    <pivotField axis="axisRow" compact="0" outline="0" showAll="0" defaultSubtotal="0">
      <items count="19">
        <item x="6"/>
        <item x="7"/>
        <item x="12"/>
        <item x="4"/>
        <item x="8"/>
        <item x="10"/>
        <item x="9"/>
        <item x="0"/>
        <item x="5"/>
        <item x="13"/>
        <item m="1" x="18"/>
        <item x="2"/>
        <item m="1" x="17"/>
        <item x="3"/>
        <item x="11"/>
        <item x="1"/>
        <item x="14"/>
        <item x="15"/>
        <item x="16"/>
      </items>
    </pivotField>
    <pivotField compact="0" outline="0" showAll="0" defaultSubtotal="0"/>
    <pivotField axis="axisRow" compact="0" outline="0" showAll="0" defaultSubtotal="0">
      <items count="17">
        <item x="4"/>
        <item x="2"/>
        <item x="5"/>
        <item x="11"/>
        <item x="7"/>
        <item x="0"/>
        <item x="6"/>
        <item x="3"/>
        <item x="8"/>
        <item x="9"/>
        <item x="10"/>
        <item x="1"/>
        <item m="1" x="16"/>
        <item x="12"/>
        <item x="13"/>
        <item x="14"/>
        <item x="15"/>
      </items>
    </pivotField>
    <pivotField compact="0" outline="0" showAll="0"/>
    <pivotField axis="axisRow" compact="0" outline="0" showAll="0" defaultSubtotal="0">
      <items count="14">
        <item x="2"/>
        <item x="6"/>
        <item x="5"/>
        <item x="3"/>
        <item x="0"/>
        <item x="4"/>
        <item x="1"/>
        <item x="7"/>
        <item x="8"/>
        <item x="9"/>
        <item x="10"/>
        <item x="11"/>
        <item x="12"/>
        <item x="13"/>
      </items>
    </pivotField>
    <pivotField compact="0" outline="0" showAll="0"/>
    <pivotField axis="axisRow" compact="0" outline="0" showAll="0" defaultSubtotal="0">
      <items count="3">
        <item x="0"/>
        <item x="2"/>
        <item x="1"/>
      </items>
    </pivotField>
    <pivotField compact="0" outline="0" showAll="0"/>
    <pivotField compact="0" outline="0" showAll="0"/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8">
        <item h="1" x="4"/>
        <item h="1" x="3"/>
        <item h="1" x="1"/>
        <item h="1" m="1" x="7"/>
        <item h="1" x="2"/>
        <item x="0"/>
        <item h="1" x="5"/>
        <item h="1" m="1" x="6"/>
      </items>
    </pivotField>
    <pivotField compact="0" outline="0" showAll="0"/>
    <pivotField compact="0" outline="0" showAll="0"/>
    <pivotField axis="axisRow" compact="0" outline="0" showAll="0" defaultSubtotal="0">
      <items count="122">
        <item x="41"/>
        <item x="105"/>
        <item x="30"/>
        <item x="23"/>
        <item x="72"/>
        <item x="77"/>
        <item x="42"/>
        <item x="63"/>
        <item x="44"/>
        <item x="37"/>
        <item x="52"/>
        <item x="51"/>
        <item x="55"/>
        <item x="75"/>
        <item x="57"/>
        <item x="102"/>
        <item x="28"/>
        <item x="46"/>
        <item x="24"/>
        <item x="70"/>
        <item x="1"/>
        <item x="99"/>
        <item x="90"/>
        <item x="91"/>
        <item x="11"/>
        <item x="4"/>
        <item x="53"/>
        <item x="32"/>
        <item x="84"/>
        <item x="54"/>
        <item x="96"/>
        <item x="50"/>
        <item x="64"/>
        <item x="43"/>
        <item x="103"/>
        <item x="93"/>
        <item x="95"/>
        <item x="40"/>
        <item x="87"/>
        <item x="21"/>
        <item x="100"/>
        <item x="48"/>
        <item x="83"/>
        <item x="38"/>
        <item x="59"/>
        <item x="86"/>
        <item x="88"/>
        <item x="45"/>
        <item x="68"/>
        <item x="9"/>
        <item x="58"/>
        <item x="89"/>
        <item x="7"/>
        <item x="34"/>
        <item x="18"/>
        <item x="19"/>
        <item x="85"/>
        <item x="26"/>
        <item x="33"/>
        <item x="56"/>
        <item x="71"/>
        <item x="27"/>
        <item x="20"/>
        <item x="76"/>
        <item x="49"/>
        <item x="62"/>
        <item x="73"/>
        <item x="6"/>
        <item x="60"/>
        <item x="16"/>
        <item x="92"/>
        <item x="78"/>
        <item x="29"/>
        <item x="0"/>
        <item x="66"/>
        <item x="79"/>
        <item x="25"/>
        <item x="2"/>
        <item x="61"/>
        <item x="80"/>
        <item x="10"/>
        <item x="35"/>
        <item x="47"/>
        <item x="82"/>
        <item x="69"/>
        <item x="31"/>
        <item x="12"/>
        <item x="94"/>
        <item x="74"/>
        <item x="67"/>
        <item x="15"/>
        <item x="13"/>
        <item x="17"/>
        <item x="97"/>
        <item x="39"/>
        <item x="5"/>
        <item x="112"/>
        <item x="81"/>
        <item x="113"/>
        <item x="101"/>
        <item x="114"/>
        <item m="1" x="121"/>
        <item x="108"/>
        <item x="109"/>
        <item x="3"/>
        <item x="104"/>
        <item x="115"/>
        <item x="106"/>
        <item x="107"/>
        <item x="110"/>
        <item x="111"/>
        <item x="65"/>
        <item x="116"/>
        <item x="117"/>
        <item x="118"/>
        <item x="98"/>
        <item x="119"/>
        <item x="120"/>
        <item x="22"/>
        <item x="14"/>
        <item x="36"/>
        <item x="8"/>
      </items>
    </pivotField>
    <pivotField axis="axisRow" compact="0" outline="0" showAll="0" defaultSubtotal="0">
      <items count="93">
        <item x="66"/>
        <item x="27"/>
        <item x="68"/>
        <item x="0"/>
        <item x="15"/>
        <item m="1" x="92"/>
        <item x="22"/>
        <item x="54"/>
        <item x="6"/>
        <item x="70"/>
        <item x="46"/>
        <item x="44"/>
        <item x="31"/>
        <item x="30"/>
        <item x="45"/>
        <item x="47"/>
        <item x="43"/>
        <item x="32"/>
        <item x="35"/>
        <item x="48"/>
        <item x="59"/>
        <item x="51"/>
        <item x="19"/>
        <item x="57"/>
        <item x="16"/>
        <item x="26"/>
        <item m="1" x="91"/>
        <item x="55"/>
        <item x="71"/>
        <item x="76"/>
        <item x="8"/>
        <item x="20"/>
        <item x="53"/>
        <item x="18"/>
        <item x="61"/>
        <item x="40"/>
        <item x="24"/>
        <item x="58"/>
        <item x="10"/>
        <item x="50"/>
        <item x="56"/>
        <item x="64"/>
        <item x="52"/>
        <item x="14"/>
        <item x="36"/>
        <item x="29"/>
        <item x="72"/>
        <item x="80"/>
        <item m="1" x="90"/>
        <item x="42"/>
        <item x="25"/>
        <item x="67"/>
        <item x="28"/>
        <item x="75"/>
        <item x="62"/>
        <item x="7"/>
        <item x="17"/>
        <item x="4"/>
        <item x="73"/>
        <item x="37"/>
        <item x="23"/>
        <item x="21"/>
        <item x="9"/>
        <item x="78"/>
        <item x="34"/>
        <item x="38"/>
        <item x="49"/>
        <item x="11"/>
        <item x="1"/>
        <item x="41"/>
        <item x="39"/>
        <item x="69"/>
        <item x="65"/>
        <item x="77"/>
        <item x="2"/>
        <item x="60"/>
        <item x="12"/>
        <item x="74"/>
        <item x="13"/>
        <item x="33"/>
        <item x="5"/>
        <item x="63"/>
        <item x="87"/>
        <item x="88"/>
        <item x="83"/>
        <item x="84"/>
        <item x="3"/>
        <item x="79"/>
        <item x="81"/>
        <item x="82"/>
        <item x="85"/>
        <item x="86"/>
        <item x="89"/>
      </items>
    </pivotField>
    <pivotField axis="axisRow" compact="0" outline="0" showAll="0" defaultSubtotal="0">
      <items count="39">
        <item x="16"/>
        <item x="1"/>
        <item x="27"/>
        <item x="12"/>
        <item x="18"/>
        <item x="11"/>
        <item x="34"/>
        <item x="13"/>
        <item x="2"/>
        <item x="29"/>
        <item x="5"/>
        <item x="6"/>
        <item x="28"/>
        <item x="19"/>
        <item x="23"/>
        <item x="32"/>
        <item x="22"/>
        <item x="26"/>
        <item x="21"/>
        <item x="24"/>
        <item x="17"/>
        <item x="9"/>
        <item x="14"/>
        <item x="25"/>
        <item x="33"/>
        <item x="3"/>
        <item x="10"/>
        <item x="15"/>
        <item x="20"/>
        <item x="31"/>
        <item x="7"/>
        <item x="0"/>
        <item x="4"/>
        <item x="8"/>
        <item x="30"/>
        <item x="35"/>
        <item x="36"/>
        <item x="37"/>
        <item x="38"/>
      </items>
    </pivotField>
    <pivotField axis="axisRow" compact="0" outline="0" showAll="0">
      <items count="13">
        <item x="1"/>
        <item x="8"/>
        <item x="9"/>
        <item x="2"/>
        <item x="5"/>
        <item x="3"/>
        <item x="11"/>
        <item x="7"/>
        <item x="10"/>
        <item x="0"/>
        <item x="4"/>
        <item x="6"/>
        <item t="default"/>
      </items>
    </pivotField>
    <pivotField compact="0" outline="0" showAll="0"/>
  </pivotFields>
  <rowFields count="17">
    <field x="34"/>
    <field x="41"/>
    <field x="40"/>
    <field x="38"/>
    <field x="39"/>
    <field x="5"/>
    <field x="20"/>
    <field x="21"/>
    <field x="19"/>
    <field x="6"/>
    <field x="7"/>
    <field x="9"/>
    <field x="35"/>
    <field x="25"/>
    <field x="27"/>
    <field x="29"/>
    <field x="31"/>
  </rowFields>
  <rowItems count="119">
    <i>
      <x/>
      <x/>
      <x v="1"/>
      <x v="20"/>
      <x v="68"/>
      <x v="6"/>
      <x v="77"/>
      <x/>
      <x v="73"/>
      <x v="1"/>
      <x v="1"/>
      <x v="96"/>
      <x v="5"/>
      <x v="1"/>
      <x v="5"/>
      <x v="4"/>
      <x/>
    </i>
    <i r="3">
      <x v="31"/>
      <x v="16"/>
      <x v="6"/>
      <x v="41"/>
      <x v="1"/>
      <x/>
      <x v="1"/>
      <x v="1"/>
      <x v="25"/>
      <x v="5"/>
      <x v="1"/>
      <x v="5"/>
      <x v="4"/>
      <x/>
    </i>
    <i r="2">
      <x v="11"/>
      <x v="39"/>
      <x v="22"/>
      <x v="6"/>
      <x v="60"/>
      <x v="76"/>
      <x v="47"/>
      <x v="1"/>
      <x v="1"/>
      <x v="80"/>
      <x v="5"/>
      <x v="1"/>
      <x v="5"/>
      <x v="4"/>
      <x/>
    </i>
    <i r="3">
      <x v="49"/>
      <x v="62"/>
      <x v="6"/>
      <x v="81"/>
      <x v="8"/>
      <x v="2"/>
      <x v="1"/>
      <x v="1"/>
      <x v="89"/>
      <x v="5"/>
      <x v="1"/>
      <x v="5"/>
      <x v="4"/>
      <x v="1"/>
    </i>
    <i r="3">
      <x v="69"/>
      <x v="4"/>
      <x v="6"/>
      <x v="81"/>
      <x v="32"/>
      <x v="80"/>
      <x v="1"/>
      <x v="1"/>
      <x v="141"/>
      <x v="5"/>
      <x v="1"/>
      <x v="5"/>
      <x v="4"/>
      <x/>
    </i>
    <i r="3">
      <x v="71"/>
      <x v="34"/>
      <x v="6"/>
      <x v="81"/>
      <x v="2"/>
      <x v="37"/>
      <x v="1"/>
      <x v="1"/>
      <x v="22"/>
      <x v="5"/>
      <x v="1"/>
      <x v="5"/>
      <x v="4"/>
      <x v="1"/>
    </i>
    <i r="2">
      <x v="16"/>
      <x v="33"/>
      <x v="59"/>
      <x v="6"/>
      <x v="33"/>
      <x v="6"/>
      <x v="64"/>
      <x v="1"/>
      <x v="1"/>
      <x v="137"/>
      <x v="5"/>
      <x v="1"/>
      <x v="5"/>
      <x v="4"/>
      <x/>
    </i>
    <i r="2">
      <x v="18"/>
      <x/>
      <x v="18"/>
      <x v="6"/>
      <x v="31"/>
      <x v="5"/>
      <x v="59"/>
      <x v="1"/>
      <x v="1"/>
      <x v="101"/>
      <x v="5"/>
      <x v="1"/>
      <x v="5"/>
      <x v="4"/>
      <x/>
    </i>
    <i r="3">
      <x v="111"/>
      <x v="18"/>
      <x v="6"/>
      <x v="81"/>
      <x v="4"/>
      <x v="11"/>
      <x v="1"/>
      <x v="1"/>
      <x v="122"/>
      <x v="5"/>
      <x v="1"/>
      <x v="5"/>
      <x v="4"/>
      <x v="1"/>
    </i>
    <i r="2">
      <x v="20"/>
      <x v="81"/>
      <x v="68"/>
      <x v="6"/>
      <x v="78"/>
      <x v="3"/>
      <x v="49"/>
      <x v="1"/>
      <x v="1"/>
      <x v="15"/>
      <x v="5"/>
      <x v="1"/>
      <x v="5"/>
      <x v="4"/>
      <x/>
    </i>
    <i r="2">
      <x v="24"/>
      <x v="70"/>
      <x v="18"/>
      <x v="6"/>
      <x v="70"/>
      <x v="76"/>
      <x v="38"/>
      <x v="1"/>
      <x v="5"/>
      <x v="150"/>
      <x v="5"/>
      <x/>
      <x v="4"/>
      <x v="4"/>
      <x/>
    </i>
    <i r="2">
      <x v="28"/>
      <x v="37"/>
      <x v="64"/>
      <x v="6"/>
      <x v="30"/>
      <x v="7"/>
      <x v="77"/>
      <x v="1"/>
      <x v="1"/>
      <x v="128"/>
      <x v="5"/>
      <x v="1"/>
      <x v="5"/>
      <x v="4"/>
      <x/>
    </i>
    <i r="2">
      <x v="30"/>
      <x v="86"/>
      <x v="67"/>
      <x v="6"/>
      <x v="81"/>
      <x v="33"/>
      <x v="74"/>
      <x v="1"/>
      <x v="1"/>
      <x v="138"/>
      <x v="5"/>
      <x v="1"/>
      <x v="5"/>
      <x v="4"/>
      <x/>
    </i>
    <i t="default" r="1">
      <x/>
    </i>
    <i r="1">
      <x v="1"/>
      <x v="3"/>
      <x v="1"/>
      <x v="47"/>
      <x v="6"/>
      <x v="81"/>
      <x v="82"/>
      <x v="112"/>
      <x v="1"/>
      <x v="5"/>
      <x v="47"/>
      <x v="5"/>
      <x v="14"/>
      <x v="4"/>
      <x v="4"/>
      <x v="1"/>
    </i>
    <i r="3">
      <x v="18"/>
      <x v="6"/>
      <x v="6"/>
      <x v="81"/>
      <x v="23"/>
      <x v="25"/>
      <x v="1"/>
      <x v="1"/>
      <x v="91"/>
      <x v="5"/>
      <x v="1"/>
      <x v="5"/>
      <x v="4"/>
      <x v="1"/>
    </i>
    <i r="2">
      <x v="4"/>
      <x v="43"/>
      <x v="17"/>
      <x v="6"/>
      <x v="27"/>
      <x v="9"/>
      <x v="5"/>
      <x v="1"/>
      <x v="1"/>
      <x v="104"/>
      <x v="5"/>
      <x v="1"/>
      <x v="5"/>
      <x v="4"/>
      <x v="1"/>
    </i>
    <i r="3">
      <x v="79"/>
      <x v="54"/>
      <x v="6"/>
      <x v="81"/>
      <x v="20"/>
      <x v="50"/>
      <x v="1"/>
      <x v="1"/>
      <x v="123"/>
      <x v="5"/>
      <x v="1"/>
      <x v="5"/>
      <x v="4"/>
      <x v="1"/>
    </i>
    <i r="2">
      <x v="5"/>
      <x v="3"/>
      <x v="61"/>
      <x v="6"/>
      <x v="17"/>
      <x v="22"/>
      <x v="35"/>
      <x v="1"/>
      <x v="1"/>
      <x v="84"/>
      <x v="5"/>
      <x v="1"/>
      <x v="5"/>
      <x v="4"/>
      <x/>
    </i>
    <i r="6">
      <x v="53"/>
      <x v="21"/>
      <x v="29"/>
      <x v="1"/>
      <x v="1"/>
      <x v="78"/>
      <x v="5"/>
      <x v="1"/>
      <x v="4"/>
      <x v="4"/>
      <x/>
    </i>
    <i r="2">
      <x v="34"/>
      <x v="97"/>
      <x v="81"/>
      <x v="6"/>
      <x v="53"/>
      <x v="19"/>
      <x v="83"/>
      <x v="1"/>
      <x v="1"/>
      <x v="11"/>
      <x v="5"/>
      <x/>
      <x v="5"/>
      <x v="4"/>
      <x v="1"/>
    </i>
    <i t="default" r="1">
      <x v="1"/>
    </i>
    <i r="1">
      <x v="2"/>
      <x v="7"/>
      <x v="13"/>
      <x v="37"/>
      <x v="2"/>
      <x v="81"/>
      <x v="87"/>
      <x v="1"/>
      <x v="1"/>
      <x v="6"/>
      <x v="154"/>
      <x v="5"/>
      <x v="2"/>
      <x/>
      <x v="4"/>
      <x v="1"/>
    </i>
    <i r="3">
      <x v="57"/>
      <x v="36"/>
      <x v="6"/>
      <x v="19"/>
      <x v="24"/>
      <x v="52"/>
      <x v="1"/>
      <x v="1"/>
      <x v="26"/>
      <x v="5"/>
      <x v="1"/>
      <x v="5"/>
      <x v="4"/>
      <x/>
    </i>
    <i t="default" r="1">
      <x v="2"/>
    </i>
    <i r="1">
      <x v="3"/>
      <x/>
      <x v="53"/>
      <x v="13"/>
      <x v="6"/>
      <x v="76"/>
      <x v="11"/>
      <x v="25"/>
      <x v="1"/>
      <x v="1"/>
      <x v="106"/>
      <x v="5"/>
      <x v="1"/>
      <x v="5"/>
      <x v="4"/>
      <x/>
    </i>
    <i r="6">
      <x v="81"/>
      <x v="12"/>
      <x v="26"/>
      <x v="1"/>
      <x v="1"/>
      <x v="19"/>
      <x v="5"/>
      <x v="1"/>
      <x v="5"/>
      <x v="4"/>
      <x/>
    </i>
    <i r="2">
      <x v="2"/>
      <x v="10"/>
      <x v="14"/>
      <x v="6"/>
      <x v="45"/>
      <x v="13"/>
      <x v="71"/>
      <x v="1"/>
      <x v="1"/>
      <x v="14"/>
      <x v="5"/>
      <x v="1"/>
      <x v="5"/>
      <x v="4"/>
      <x/>
    </i>
    <i r="2">
      <x v="8"/>
      <x v="9"/>
      <x v="12"/>
      <x v="6"/>
      <x v="72"/>
      <x v="14"/>
      <x v="21"/>
      <x v="1"/>
      <x v="1"/>
      <x v="114"/>
      <x v="5"/>
      <x v="1"/>
      <x v="5"/>
      <x v="4"/>
      <x/>
    </i>
    <i r="6">
      <x v="81"/>
      <x v="84"/>
      <x v="112"/>
      <x v="1"/>
      <x v="5"/>
      <x v="230"/>
      <x v="5"/>
      <x v="3"/>
      <x/>
      <x v="4"/>
      <x v="1"/>
    </i>
    <i r="3">
      <x v="22"/>
      <x v="9"/>
      <x v="6"/>
      <x v="81"/>
      <x v="43"/>
      <x v="81"/>
      <x v="1"/>
      <x v="6"/>
      <x v="213"/>
      <x v="5"/>
      <x v="3"/>
      <x/>
      <x v="4"/>
      <x v="1"/>
    </i>
    <i r="3">
      <x v="38"/>
      <x v="55"/>
      <x v="6"/>
      <x v="81"/>
      <x v="17"/>
      <x v="16"/>
      <x v="1"/>
      <x v="1"/>
      <x v="131"/>
      <x v="5"/>
      <x v="1"/>
      <x v="5"/>
      <x v="4"/>
      <x/>
    </i>
    <i r="3">
      <x v="52"/>
      <x v="55"/>
      <x v="6"/>
      <x v="81"/>
      <x v="18"/>
      <x v="18"/>
      <x v="1"/>
      <x v="1"/>
      <x v="86"/>
      <x v="5"/>
      <x v="1"/>
      <x v="5"/>
      <x v="4"/>
      <x v="2"/>
    </i>
    <i r="3">
      <x v="58"/>
      <x v="55"/>
      <x v="6"/>
      <x v="75"/>
      <x v="16"/>
      <x v="8"/>
      <x v="1"/>
      <x v="1"/>
      <x v="98"/>
      <x v="5"/>
      <x v="1"/>
      <x v="5"/>
      <x v="4"/>
      <x/>
    </i>
    <i r="3">
      <x v="59"/>
      <x v="19"/>
      <x v="6"/>
      <x v="49"/>
      <x v="76"/>
      <x v="65"/>
      <x v="1"/>
      <x v="1"/>
      <x v="45"/>
      <x v="5"/>
      <x v="8"/>
      <x v="8"/>
      <x v="4"/>
      <x/>
    </i>
    <i r="3">
      <x v="74"/>
      <x v="7"/>
      <x v="6"/>
      <x v="51"/>
      <x v="76"/>
      <x v="78"/>
      <x v="1"/>
      <x v="1"/>
      <x v="44"/>
      <x v="5"/>
      <x v="8"/>
      <x v="8"/>
      <x v="4"/>
      <x/>
    </i>
    <i r="3">
      <x v="76"/>
      <x v="60"/>
      <x v="6"/>
      <x v="18"/>
      <x v="38"/>
      <x v="62"/>
      <x v="1"/>
      <x v="1"/>
      <x v="17"/>
      <x v="5"/>
      <x v="13"/>
      <x v="4"/>
      <x v="3"/>
      <x/>
    </i>
    <i r="3">
      <x v="104"/>
      <x v="86"/>
      <x v="6"/>
      <x v="81"/>
      <x v="86"/>
      <x v="118"/>
      <x v="1"/>
      <x v="6"/>
      <x v="209"/>
      <x v="5"/>
      <x v="3"/>
      <x v="5"/>
      <x v="4"/>
      <x v="1"/>
    </i>
    <i r="3">
      <x v="118"/>
      <x v="31"/>
      <x v="6"/>
      <x v="16"/>
      <x v="15"/>
      <x v="54"/>
      <x v="1"/>
      <x v="1"/>
      <x v="112"/>
      <x v="5"/>
      <x v="1"/>
      <x v="5"/>
      <x v="4"/>
      <x v="1"/>
    </i>
    <i r="2">
      <x v="9"/>
      <x v="63"/>
      <x v="20"/>
      <x v="2"/>
      <x v="81"/>
      <x v="76"/>
      <x v="112"/>
      <x v="1"/>
      <x v="6"/>
      <x v="213"/>
      <x v="5"/>
      <x v="14"/>
      <x v="4"/>
      <x v="4"/>
      <x v="1"/>
    </i>
    <i t="default" r="1">
      <x v="3"/>
    </i>
    <i r="1">
      <x v="4"/>
      <x v="10"/>
      <x v="50"/>
      <x v="39"/>
      <x v="6"/>
      <x v="59"/>
      <x v="76"/>
      <x v="112"/>
      <x v="1"/>
      <x v="1"/>
      <x v="93"/>
      <x v="5"/>
      <x v="1"/>
      <x v="5"/>
      <x v="4"/>
      <x/>
    </i>
    <i r="3">
      <x v="64"/>
      <x v="30"/>
      <x v="6"/>
      <x v="81"/>
      <x v="85"/>
      <x v="116"/>
      <x v="1"/>
      <x v="1"/>
      <x v="82"/>
      <x v="5"/>
      <x v="13"/>
      <x v="4"/>
      <x v="4"/>
      <x/>
    </i>
    <i r="3">
      <x v="121"/>
      <x v="30"/>
      <x v="6"/>
      <x v="81"/>
      <x v="10"/>
      <x v="7"/>
      <x v="1"/>
      <x v="1"/>
      <x v="120"/>
      <x v="5"/>
      <x v="1"/>
      <x v="5"/>
      <x v="4"/>
      <x v="2"/>
    </i>
    <i r="2">
      <x v="29"/>
      <x v="46"/>
      <x v="2"/>
      <x v="6"/>
      <x v="26"/>
      <x v="81"/>
      <x v="80"/>
      <x v="1"/>
      <x v="1"/>
      <x v="90"/>
      <x v="5"/>
      <x/>
      <x v="5"/>
      <x v="4"/>
      <x v="1"/>
    </i>
    <i t="default" r="1">
      <x v="4"/>
    </i>
    <i r="1">
      <x v="5"/>
      <x v="13"/>
      <x v="94"/>
      <x v="79"/>
      <x v="6"/>
      <x v="28"/>
      <x v="26"/>
      <x v="109"/>
      <x v="1"/>
      <x v="1"/>
      <x v="140"/>
      <x v="5"/>
      <x v="1"/>
      <x v="5"/>
      <x v="4"/>
      <x v="1"/>
    </i>
    <i r="6">
      <x v="61"/>
      <x v="76"/>
      <x v="6"/>
      <x v="1"/>
      <x v="1"/>
      <x v="13"/>
      <x v="5"/>
      <x v="1"/>
      <x v="5"/>
      <x v="4"/>
      <x v="1"/>
    </i>
    <i r="2">
      <x v="14"/>
      <x v="8"/>
      <x v="65"/>
      <x v="6"/>
      <x v="34"/>
      <x v="27"/>
      <x v="23"/>
      <x v="1"/>
      <x v="1"/>
      <x v="124"/>
      <x v="5"/>
      <x v="1"/>
      <x v="5"/>
      <x v="4"/>
      <x/>
    </i>
    <i r="3">
      <x v="41"/>
      <x v="49"/>
      <x v="6"/>
      <x v="39"/>
      <x v="28"/>
      <x v="76"/>
      <x v="1"/>
      <x v="1"/>
      <x v="100"/>
      <x v="5"/>
      <x v="1"/>
      <x v="5"/>
      <x v="4"/>
      <x v="1"/>
    </i>
    <i r="3">
      <x v="75"/>
      <x v="65"/>
      <x v="6"/>
      <x v="55"/>
      <x v="44"/>
      <x v="32"/>
      <x v="1"/>
      <x v="1"/>
      <x v="133"/>
      <x v="5"/>
      <x v="1"/>
      <x v="4"/>
      <x v="4"/>
      <x/>
    </i>
    <i r="2">
      <x v="17"/>
      <x v="14"/>
      <x v="66"/>
      <x v="6"/>
      <x v="56"/>
      <x v="45"/>
      <x v="13"/>
      <x v="1"/>
      <x v="1"/>
      <x v="125"/>
      <x v="5"/>
      <x v="1"/>
      <x v="4"/>
      <x v="4"/>
      <x/>
    </i>
    <i r="3">
      <x v="82"/>
      <x v="69"/>
      <x v="6"/>
      <x v="38"/>
      <x v="31"/>
      <x v="68"/>
      <x v="1"/>
      <x v="1"/>
      <x v="108"/>
      <x v="5"/>
      <x v="1"/>
      <x v="5"/>
      <x v="4"/>
      <x/>
    </i>
    <i r="2">
      <x v="19"/>
      <x v="47"/>
      <x v="70"/>
      <x v="6"/>
      <x v="35"/>
      <x v="29"/>
      <x v="36"/>
      <x v="1"/>
      <x v="1"/>
      <x v="132"/>
      <x v="5"/>
      <x v="1"/>
      <x v="5"/>
      <x v="4"/>
      <x/>
    </i>
    <i r="2">
      <x v="25"/>
      <x v="6"/>
      <x v="44"/>
      <x v="6"/>
      <x v="32"/>
      <x v="57"/>
      <x v="22"/>
      <x v="1"/>
      <x v="1"/>
      <x v="27"/>
      <x v="5"/>
      <x v="1"/>
      <x v="5"/>
      <x v="4"/>
      <x/>
    </i>
    <i r="3">
      <x v="12"/>
      <x v="15"/>
      <x v="6"/>
      <x v="48"/>
      <x v="25"/>
      <x v="61"/>
      <x v="1"/>
      <x v="1"/>
      <x v="10"/>
      <x v="5"/>
      <x v="1"/>
      <x v="5"/>
      <x v="4"/>
      <x/>
    </i>
    <i r="3">
      <x v="24"/>
      <x v="57"/>
      <x v="6"/>
      <x v="81"/>
      <x v="34"/>
      <x v="44"/>
      <x v="1"/>
      <x v="6"/>
      <x v="210"/>
      <x v="5"/>
      <x v="8"/>
      <x/>
      <x v="4"/>
      <x/>
    </i>
    <i r="3">
      <x v="25"/>
      <x v="57"/>
      <x v="6"/>
      <x v="81"/>
      <x v="35"/>
      <x v="31"/>
      <x v="1"/>
      <x v="6"/>
      <x v="211"/>
      <x v="5"/>
      <x v="8"/>
      <x/>
      <x v="4"/>
      <x/>
    </i>
    <i r="3">
      <x v="26"/>
      <x v="57"/>
      <x v="6"/>
      <x v="46"/>
      <x v="76"/>
      <x v="51"/>
      <x v="1"/>
      <x v="1"/>
      <x v="50"/>
      <x v="5"/>
      <x v="8"/>
      <x v="8"/>
      <x v="4"/>
      <x/>
    </i>
    <i r="3">
      <x v="27"/>
      <x v="57"/>
      <x v="6"/>
      <x v="73"/>
      <x v="36"/>
      <x v="39"/>
      <x v="1"/>
      <x v="6"/>
      <x v="212"/>
      <x v="5"/>
      <x v="8"/>
      <x/>
      <x v="4"/>
      <x/>
    </i>
    <i r="3">
      <x v="36"/>
      <x v="58"/>
      <x v="6"/>
      <x v="81"/>
      <x v="30"/>
      <x v="27"/>
      <x v="1"/>
      <x v="5"/>
      <x v="147"/>
      <x v="5"/>
      <x v="1"/>
      <x v="5"/>
      <x v="4"/>
      <x/>
    </i>
    <i r="3">
      <x v="45"/>
      <x v="51"/>
      <x v="6"/>
      <x v="54"/>
      <x v="76"/>
      <x v="72"/>
      <x v="1"/>
      <x v="1"/>
      <x v="92"/>
      <x v="5"/>
      <x v="1"/>
      <x v="5"/>
      <x v="4"/>
      <x/>
    </i>
    <i r="3">
      <x v="56"/>
      <x v="57"/>
      <x v="6"/>
      <x v="81"/>
      <x v="58"/>
      <x v="10"/>
      <x v="1"/>
      <x v="1"/>
      <x v="134"/>
      <x v="5"/>
      <x v="1"/>
      <x v="5"/>
      <x v="4"/>
      <x/>
    </i>
    <i t="default" r="1">
      <x v="5"/>
    </i>
    <i r="1">
      <x v="6"/>
      <x v="12"/>
      <x v="29"/>
      <x v="10"/>
      <x v="6"/>
      <x v="50"/>
      <x v="42"/>
      <x v="30"/>
      <x v="1"/>
      <x v="5"/>
      <x v="149"/>
      <x v="5"/>
      <x v="6"/>
      <x v="8"/>
      <x v="4"/>
      <x/>
    </i>
    <i t="default" r="1">
      <x v="6"/>
    </i>
    <i r="1">
      <x v="7"/>
      <x v="21"/>
      <x v="28"/>
      <x/>
      <x v="6"/>
      <x v="81"/>
      <x v="76"/>
      <x v="112"/>
      <x v="1"/>
      <x v="5"/>
      <x v="152"/>
      <x v="5"/>
      <x v="13"/>
      <x v="7"/>
      <x v="5"/>
      <x/>
    </i>
    <i r="3">
      <x v="42"/>
      <x v="72"/>
      <x v="6"/>
      <x v="81"/>
      <x v="76"/>
      <x v="70"/>
      <x v="1"/>
      <x v="1"/>
      <x v="121"/>
      <x v="5"/>
      <x v="1"/>
      <x v="5"/>
      <x v="4"/>
      <x/>
    </i>
    <i r="3">
      <x v="55"/>
      <x v="56"/>
      <x v="6"/>
      <x v="81"/>
      <x v="52"/>
      <x v="19"/>
      <x v="1"/>
      <x v="1"/>
      <x v="130"/>
      <x v="5"/>
      <x/>
      <x v="5"/>
      <x v="4"/>
      <x v="1"/>
    </i>
    <i r="3">
      <x v="83"/>
      <x v="41"/>
      <x v="6"/>
      <x v="81"/>
      <x v="53"/>
      <x v="20"/>
      <x v="1"/>
      <x v="1"/>
      <x v="126"/>
      <x v="5"/>
      <x v="1"/>
      <x v="5"/>
      <x v="4"/>
      <x/>
    </i>
    <i r="3">
      <x v="119"/>
      <x v="78"/>
      <x v="6"/>
      <x v="87"/>
      <x v="79"/>
      <x v="34"/>
      <x v="1"/>
      <x v="1"/>
      <x v="127"/>
      <x v="5"/>
      <x/>
      <x v="5"/>
      <x v="4"/>
      <x v="1"/>
    </i>
    <i t="default" r="1">
      <x v="7"/>
    </i>
    <i r="1">
      <x v="8"/>
      <x v="23"/>
      <x v="5"/>
      <x v="75"/>
      <x v="6"/>
      <x v="81"/>
      <x v="55"/>
      <x v="68"/>
      <x v="1"/>
      <x v="1"/>
      <x v="41"/>
      <x v="5"/>
      <x v="1"/>
      <x v="5"/>
      <x v="4"/>
      <x v="1"/>
    </i>
    <i r="3">
      <x v="7"/>
      <x v="32"/>
      <x v="6"/>
      <x v="81"/>
      <x v="51"/>
      <x v="79"/>
      <x v="1"/>
      <x v="1"/>
      <x v="79"/>
      <x v="5"/>
      <x v="1"/>
      <x v="5"/>
      <x v="4"/>
      <x v="1"/>
    </i>
    <i r="3">
      <x v="11"/>
      <x v="11"/>
      <x v="6"/>
      <x v="44"/>
      <x v="54"/>
      <x v="63"/>
      <x v="1"/>
      <x v="5"/>
      <x v="146"/>
      <x v="5"/>
      <x v="5"/>
      <x v="5"/>
      <x v="4"/>
      <x v="1"/>
    </i>
    <i r="3">
      <x v="17"/>
      <x v="35"/>
      <x v="6"/>
      <x v="37"/>
      <x v="56"/>
      <x v="67"/>
      <x v="1"/>
      <x v="1"/>
      <x v="85"/>
      <x v="5"/>
      <x v="1"/>
      <x v="5"/>
      <x v="4"/>
      <x v="1"/>
    </i>
    <i r="3">
      <x v="78"/>
      <x v="42"/>
      <x v="6"/>
      <x v="47"/>
      <x v="41"/>
      <x v="42"/>
      <x v="1"/>
      <x v="1"/>
      <x v="143"/>
      <x v="5"/>
      <x v="8"/>
      <x v="9"/>
      <x v="4"/>
      <x v="1"/>
    </i>
    <i t="default" r="1">
      <x v="8"/>
    </i>
    <i r="1">
      <x v="9"/>
      <x v="31"/>
      <x v="73"/>
      <x v="3"/>
      <x v="2"/>
      <x v="86"/>
      <x v="76"/>
      <x v="114"/>
      <x v="1"/>
      <x v="5"/>
      <x v="76"/>
      <x v="5"/>
      <x v="7"/>
      <x v="5"/>
      <x v="4"/>
      <x/>
    </i>
    <i r="3">
      <x v="77"/>
      <x v="74"/>
      <x v="6"/>
      <x v="29"/>
      <x v="103"/>
      <x v="84"/>
      <x/>
      <x v="1"/>
      <x v="105"/>
      <x v="5"/>
      <x v="13"/>
      <x v="7"/>
      <x v="3"/>
      <x/>
    </i>
    <i r="6">
      <x v="71"/>
      <x v="104"/>
      <x v="138"/>
      <x/>
      <x v="1"/>
      <x v="94"/>
      <x v="5"/>
      <x v="13"/>
      <x v="7"/>
      <x v="3"/>
      <x/>
    </i>
    <i r="6">
      <x v="81"/>
      <x v="77"/>
      <x v="121"/>
      <x/>
      <x v="1"/>
      <x v="223"/>
      <x v="5"/>
      <x v="13"/>
      <x v="5"/>
      <x v="4"/>
      <x v="2"/>
    </i>
    <i r="7">
      <x v="88"/>
      <x v="120"/>
      <x/>
      <x v="1"/>
      <x v="109"/>
      <x v="5"/>
      <x/>
      <x v="5"/>
      <x v="4"/>
      <x/>
    </i>
    <i r="7">
      <x v="89"/>
      <x v="122"/>
      <x/>
      <x v="1"/>
      <x v="235"/>
      <x v="5"/>
      <x v="13"/>
      <x v="7"/>
      <x v="3"/>
      <x v="2"/>
    </i>
    <i r="7">
      <x v="97"/>
      <x v="133"/>
      <x/>
      <x v="5"/>
      <x v="243"/>
      <x v="5"/>
      <x v="3"/>
      <x v="15"/>
      <x v="4"/>
      <x v="2"/>
    </i>
    <i r="7">
      <x v="102"/>
      <x v="137"/>
      <x/>
      <x v="1"/>
      <x v="248"/>
      <x v="5"/>
      <x v="13"/>
      <x v="7"/>
      <x v="9"/>
      <x v="2"/>
    </i>
    <i r="7">
      <x v="105"/>
      <x v="139"/>
      <x/>
      <x v="1"/>
      <x v="249"/>
      <x v="5"/>
      <x v="13"/>
      <x v="7"/>
      <x v="5"/>
      <x v="2"/>
    </i>
    <i r="6">
      <x v="82"/>
      <x v="61"/>
      <x v="112"/>
      <x v="1"/>
      <x v="6"/>
      <x v="153"/>
      <x v="5"/>
      <x v="2"/>
      <x/>
      <x v="4"/>
      <x v="1"/>
    </i>
    <i r="6">
      <x v="84"/>
      <x v="63"/>
      <x v="112"/>
      <x v="1"/>
      <x v="6"/>
      <x v="214"/>
      <x v="5"/>
      <x v="2"/>
      <x/>
      <x v="4"/>
      <x v="1"/>
    </i>
    <i r="3">
      <x v="90"/>
      <x v="43"/>
      <x v="6"/>
      <x v="42"/>
      <x v="76"/>
      <x v="40"/>
      <x v="1"/>
      <x v="1"/>
      <x v="21"/>
      <x v="5"/>
      <x v="13"/>
      <x v="5"/>
      <x v="3"/>
      <x/>
    </i>
    <i r="6">
      <x v="57"/>
      <x v="76"/>
      <x v="112"/>
      <x v="1"/>
      <x v="5"/>
      <x v="148"/>
      <x v="5"/>
      <x v="6"/>
      <x v="6"/>
      <x v="4"/>
      <x/>
    </i>
    <i t="default" r="1">
      <x v="9"/>
    </i>
    <i r="1">
      <x v="10"/>
      <x v="22"/>
      <x v="61"/>
      <x v="50"/>
      <x v="6"/>
      <x v="20"/>
      <x v="39"/>
      <x v="12"/>
      <x v="1"/>
      <x v="1"/>
      <x v="42"/>
      <x v="5"/>
      <x v="8"/>
      <x/>
      <x v="4"/>
      <x/>
    </i>
    <i r="6">
      <x v="68"/>
      <x v="49"/>
      <x v="60"/>
      <x v="1"/>
      <x v="1"/>
      <x v="102"/>
      <x v="5"/>
      <x v="1"/>
      <x v="5"/>
      <x v="4"/>
      <x/>
    </i>
    <i r="2">
      <x v="26"/>
      <x v="32"/>
      <x v="1"/>
      <x v="6"/>
      <x v="81"/>
      <x v="72"/>
      <x v="65"/>
      <x v="1"/>
      <x v="1"/>
      <x v="139"/>
      <x v="5"/>
      <x v="1"/>
      <x v="5"/>
      <x v="4"/>
      <x/>
    </i>
    <i r="3">
      <x v="62"/>
      <x v="33"/>
      <x v="6"/>
      <x v="22"/>
      <x v="69"/>
      <x v="25"/>
      <x v="1"/>
      <x v="1"/>
      <x v="95"/>
      <x v="5"/>
      <x v="1"/>
      <x v="5"/>
      <x v="4"/>
      <x/>
    </i>
    <i r="3">
      <x v="72"/>
      <x v="1"/>
      <x v="6"/>
      <x v="23"/>
      <x v="71"/>
      <x v="37"/>
      <x v="1"/>
      <x v="1"/>
      <x v="18"/>
      <x v="5"/>
      <x v="1"/>
      <x v="5"/>
      <x v="4"/>
      <x/>
    </i>
    <i r="2">
      <x v="27"/>
      <x v="2"/>
      <x v="52"/>
      <x v="6"/>
      <x v="24"/>
      <x v="73"/>
      <x v="45"/>
      <x v="1"/>
      <x v="1"/>
      <x v="81"/>
      <x v="5"/>
      <x v="1"/>
      <x v="5"/>
      <x v="4"/>
      <x/>
    </i>
    <i r="3">
      <x v="88"/>
      <x v="23"/>
      <x v="2"/>
      <x v="81"/>
      <x v="76"/>
      <x v="112"/>
      <x v="1"/>
      <x v="6"/>
      <x v="213"/>
      <x v="5"/>
      <x v="14"/>
      <x v="4"/>
      <x v="4"/>
      <x v="1"/>
    </i>
    <i r="2">
      <x v="32"/>
      <x v="4"/>
      <x v="40"/>
      <x v="6"/>
      <x v="81"/>
      <x v="68"/>
      <x v="15"/>
      <x v="1"/>
      <x v="1"/>
      <x v="23"/>
      <x v="5"/>
      <x v="1"/>
      <x v="5"/>
      <x v="4"/>
      <x/>
    </i>
    <i r="3">
      <x v="16"/>
      <x v="25"/>
      <x v="6"/>
      <x v="21"/>
      <x v="74"/>
      <x v="43"/>
      <x v="1"/>
      <x v="1"/>
      <x v="107"/>
      <x v="5"/>
      <x v="1"/>
      <x v="5"/>
      <x v="4"/>
      <x/>
    </i>
    <i r="3">
      <x v="19"/>
      <x v="27"/>
      <x v="6"/>
      <x v="67"/>
      <x v="76"/>
      <x v="66"/>
      <x v="1"/>
      <x v="1"/>
      <x v="115"/>
      <x v="5"/>
      <x v="1"/>
      <x v="5"/>
      <x v="4"/>
      <x/>
    </i>
    <i r="3">
      <x v="44"/>
      <x v="24"/>
      <x v="6"/>
      <x v="62"/>
      <x v="46"/>
      <x v="75"/>
      <x v="1"/>
      <x v="1"/>
      <x v="88"/>
      <x v="5"/>
      <x v="1"/>
      <x v="5"/>
      <x v="4"/>
      <x/>
    </i>
    <i r="3">
      <x v="48"/>
      <x v="24"/>
      <x v="6"/>
      <x v="63"/>
      <x v="47"/>
      <x v="27"/>
      <x v="1"/>
      <x v="1"/>
      <x v="24"/>
      <x v="5"/>
      <x v="1"/>
      <x v="5"/>
      <x v="4"/>
      <x/>
    </i>
    <i r="3">
      <x v="60"/>
      <x v="25"/>
      <x v="6"/>
      <x v="81"/>
      <x v="75"/>
      <x v="3"/>
      <x v="1"/>
      <x v="1"/>
      <x v="118"/>
      <x v="5"/>
      <x v="1"/>
      <x v="5"/>
      <x v="4"/>
      <x/>
    </i>
    <i r="3">
      <x v="65"/>
      <x v="24"/>
      <x v="6"/>
      <x v="65"/>
      <x v="48"/>
      <x v="82"/>
      <x v="1"/>
      <x v="1"/>
      <x v="16"/>
      <x v="5"/>
      <x v="1"/>
      <x v="5"/>
      <x v="4"/>
      <x v="1"/>
    </i>
    <i r="3">
      <x v="66"/>
      <x v="21"/>
      <x v="6"/>
      <x v="85"/>
      <x v="67"/>
      <x v="56"/>
      <x v="1"/>
      <x v="1"/>
      <x v="87"/>
      <x v="5"/>
      <x v="1"/>
      <x v="5"/>
      <x v="4"/>
      <x/>
    </i>
    <i r="3">
      <x v="67"/>
      <x v="8"/>
      <x v="6"/>
      <x v="81"/>
      <x v="64"/>
      <x v="41"/>
      <x v="1"/>
      <x v="1"/>
      <x v="103"/>
      <x v="5"/>
      <x v="13"/>
      <x v="5"/>
      <x v="4"/>
      <x/>
    </i>
    <i r="3">
      <x v="68"/>
      <x v="21"/>
      <x v="6"/>
      <x v="64"/>
      <x v="65"/>
      <x v="58"/>
      <x v="1"/>
      <x v="1"/>
      <x v="12"/>
      <x v="5"/>
      <x v="1"/>
      <x v="5"/>
      <x v="4"/>
      <x/>
    </i>
    <i r="3">
      <x v="80"/>
      <x v="38"/>
      <x v="6"/>
      <x v="81"/>
      <x v="59"/>
      <x v="12"/>
      <x v="1"/>
      <x v="1"/>
      <x v="97"/>
      <x v="5"/>
      <x v="1"/>
      <x v="5"/>
      <x v="4"/>
      <x/>
    </i>
    <i r="3">
      <x v="84"/>
      <x v="24"/>
      <x v="6"/>
      <x v="69"/>
      <x v="50"/>
      <x v="55"/>
      <x v="1"/>
      <x v="1"/>
      <x v="142"/>
      <x v="5"/>
      <x v="1"/>
      <x v="5"/>
      <x v="4"/>
      <x/>
    </i>
    <i r="3">
      <x v="85"/>
      <x v="45"/>
      <x v="6"/>
      <x v="25"/>
      <x v="70"/>
      <x v="33"/>
      <x v="1"/>
      <x v="1"/>
      <x v="113"/>
      <x v="5"/>
      <x v="1"/>
      <x v="5"/>
      <x v="4"/>
      <x v="1"/>
    </i>
    <i r="3">
      <x v="89"/>
      <x v="21"/>
      <x v="6"/>
      <x v="66"/>
      <x v="66"/>
      <x v="53"/>
      <x v="1"/>
      <x v="1"/>
      <x v="83"/>
      <x v="5"/>
      <x v="1"/>
      <x v="5"/>
      <x v="4"/>
      <x/>
    </i>
    <i r="3">
      <x v="92"/>
      <x v="24"/>
      <x v="6"/>
      <x v="81"/>
      <x v="60"/>
      <x v="9"/>
      <x v="1"/>
      <x v="1"/>
      <x v="111"/>
      <x v="5"/>
      <x v="1"/>
      <x v="5"/>
      <x v="4"/>
      <x/>
    </i>
    <i r="3">
      <x v="93"/>
      <x v="77"/>
      <x v="2"/>
      <x v="81"/>
      <x v="83"/>
      <x v="112"/>
      <x v="1"/>
      <x v="6"/>
      <x v="229"/>
      <x v="5"/>
      <x v="3"/>
      <x/>
      <x v="4"/>
      <x v="1"/>
    </i>
    <i r="3">
      <x v="95"/>
      <x v="80"/>
      <x v="6"/>
      <x v="81"/>
      <x v="80"/>
      <x v="115"/>
      <x v="1"/>
      <x v="1"/>
      <x v="20"/>
      <x v="5"/>
      <x/>
      <x v="5"/>
      <x v="4"/>
      <x/>
    </i>
    <i r="3">
      <x v="120"/>
      <x v="24"/>
      <x v="6"/>
      <x v="88"/>
      <x v="109"/>
      <x v="112"/>
      <x v="1"/>
      <x v="1"/>
      <x v="129"/>
      <x v="5"/>
      <x/>
      <x v="4"/>
      <x v="4"/>
      <x/>
    </i>
    <i t="default" r="1">
      <x v="10"/>
    </i>
    <i t="grand">
      <x/>
    </i>
  </rowItems>
  <colItems count="1">
    <i/>
  </colItems>
  <dataFields count="1">
    <dataField name="Cuenta Equipo" fld="5" subtotal="count" baseField="31" baseItem="1"/>
  </dataFields>
  <formats count="281">
    <format dxfId="428">
      <pivotArea type="all" dataOnly="0" outline="0" fieldPosition="0"/>
    </format>
    <format dxfId="427">
      <pivotArea field="34" type="button" dataOnly="0" labelOnly="1" outline="0" axis="axisRow" fieldPosition="0"/>
    </format>
    <format dxfId="426">
      <pivotArea field="41" type="button" dataOnly="0" labelOnly="1" outline="0" axis="axisRow" fieldPosition="1"/>
    </format>
    <format dxfId="425">
      <pivotArea field="40" type="button" dataOnly="0" labelOnly="1" outline="0" axis="axisRow" fieldPosition="2"/>
    </format>
    <format dxfId="424">
      <pivotArea field="38" type="button" dataOnly="0" labelOnly="1" outline="0" axis="axisRow" fieldPosition="3"/>
    </format>
    <format dxfId="423">
      <pivotArea field="39" type="button" dataOnly="0" labelOnly="1" outline="0" axis="axisRow" fieldPosition="4"/>
    </format>
    <format dxfId="422">
      <pivotArea field="5" type="button" dataOnly="0" labelOnly="1" outline="0" axis="axisRow" fieldPosition="5"/>
    </format>
    <format dxfId="421">
      <pivotArea field="20" type="button" dataOnly="0" labelOnly="1" outline="0" axis="axisRow" fieldPosition="6"/>
    </format>
    <format dxfId="420">
      <pivotArea field="19" type="button" dataOnly="0" labelOnly="1" outline="0" axis="axisRow" fieldPosition="8"/>
    </format>
    <format dxfId="419">
      <pivotArea field="6" type="button" dataOnly="0" labelOnly="1" outline="0" axis="axisRow" fieldPosition="9"/>
    </format>
    <format dxfId="418">
      <pivotArea field="7" type="button" dataOnly="0" labelOnly="1" outline="0" axis="axisRow" fieldPosition="10"/>
    </format>
    <format dxfId="417">
      <pivotArea field="9" type="button" dataOnly="0" labelOnly="1" outline="0" axis="axisRow" fieldPosition="11"/>
    </format>
    <format dxfId="416">
      <pivotArea field="35" type="button" dataOnly="0" labelOnly="1" outline="0" axis="axisRow" fieldPosition="12"/>
    </format>
    <format dxfId="415">
      <pivotArea field="25" type="button" dataOnly="0" labelOnly="1" outline="0" axis="axisRow" fieldPosition="13"/>
    </format>
    <format dxfId="414">
      <pivotArea field="27" type="button" dataOnly="0" labelOnly="1" outline="0" axis="axisRow" fieldPosition="14"/>
    </format>
    <format dxfId="413">
      <pivotArea field="29" type="button" dataOnly="0" labelOnly="1" outline="0" axis="axisRow" fieldPosition="15"/>
    </format>
    <format dxfId="412">
      <pivotArea field="31" type="button" dataOnly="0" labelOnly="1" outline="0" axis="axisRow" fieldPosition="16"/>
    </format>
    <format dxfId="411">
      <pivotArea dataOnly="0" labelOnly="1" outline="0" fieldPosition="0">
        <references count="1">
          <reference field="34" count="1">
            <x v="0"/>
          </reference>
        </references>
      </pivotArea>
    </format>
    <format dxfId="410">
      <pivotArea dataOnly="0" labelOnly="1" grandRow="1" outline="0" fieldPosition="0"/>
    </format>
    <format dxfId="409">
      <pivotArea dataOnly="0" labelOnly="1" outline="0" fieldPosition="0">
        <references count="2">
          <reference field="34" count="1" selected="0">
            <x v="0"/>
          </reference>
          <reference field="41" count="0"/>
        </references>
      </pivotArea>
    </format>
    <format dxfId="408">
      <pivotArea dataOnly="0" labelOnly="1" outline="0" fieldPosition="0">
        <references count="2">
          <reference field="34" count="1" selected="0">
            <x v="0"/>
          </reference>
          <reference field="41" count="0" defaultSubtotal="1"/>
        </references>
      </pivotArea>
    </format>
    <format dxfId="407">
      <pivotArea dataOnly="0" labelOnly="1" outline="0" fieldPosition="0">
        <references count="3">
          <reference field="34" count="1" selected="0">
            <x v="0"/>
          </reference>
          <reference field="40" count="9">
            <x v="1"/>
            <x v="11"/>
            <x v="15"/>
            <x v="16"/>
            <x v="18"/>
            <x v="20"/>
            <x v="24"/>
            <x v="28"/>
            <x v="30"/>
          </reference>
          <reference field="41" count="1" selected="0">
            <x v="0"/>
          </reference>
        </references>
      </pivotArea>
    </format>
    <format dxfId="406">
      <pivotArea dataOnly="0" labelOnly="1" outline="0" fieldPosition="0">
        <references count="3">
          <reference field="34" count="1" selected="0">
            <x v="0"/>
          </reference>
          <reference field="40" count="3">
            <x v="3"/>
            <x v="4"/>
            <x v="5"/>
          </reference>
          <reference field="41" count="1" selected="0">
            <x v="1"/>
          </reference>
        </references>
      </pivotArea>
    </format>
    <format dxfId="405">
      <pivotArea dataOnly="0" labelOnly="1" outline="0" fieldPosition="0">
        <references count="3">
          <reference field="34" count="1" selected="0">
            <x v="0"/>
          </reference>
          <reference field="40" count="1">
            <x v="7"/>
          </reference>
          <reference field="41" count="1" selected="0">
            <x v="2"/>
          </reference>
        </references>
      </pivotArea>
    </format>
    <format dxfId="404">
      <pivotArea dataOnly="0" labelOnly="1" outline="0" fieldPosition="0">
        <references count="3">
          <reference field="34" count="1" selected="0">
            <x v="0"/>
          </reference>
          <reference field="40" count="4">
            <x v="0"/>
            <x v="2"/>
            <x v="8"/>
            <x v="9"/>
          </reference>
          <reference field="41" count="1" selected="0">
            <x v="3"/>
          </reference>
        </references>
      </pivotArea>
    </format>
    <format dxfId="403">
      <pivotArea dataOnly="0" labelOnly="1" outline="0" fieldPosition="0">
        <references count="3">
          <reference field="34" count="1" selected="0">
            <x v="0"/>
          </reference>
          <reference field="40" count="2">
            <x v="10"/>
            <x v="29"/>
          </reference>
          <reference field="41" count="1" selected="0">
            <x v="4"/>
          </reference>
        </references>
      </pivotArea>
    </format>
    <format dxfId="402">
      <pivotArea dataOnly="0" labelOnly="1" outline="0" fieldPosition="0">
        <references count="3">
          <reference field="34" count="1" selected="0">
            <x v="0"/>
          </reference>
          <reference field="40" count="5">
            <x v="13"/>
            <x v="14"/>
            <x v="17"/>
            <x v="19"/>
            <x v="25"/>
          </reference>
          <reference field="41" count="1" selected="0">
            <x v="5"/>
          </reference>
        </references>
      </pivotArea>
    </format>
    <format dxfId="401">
      <pivotArea dataOnly="0" labelOnly="1" outline="0" fieldPosition="0">
        <references count="3">
          <reference field="34" count="1" selected="0">
            <x v="0"/>
          </reference>
          <reference field="40" count="1">
            <x v="12"/>
          </reference>
          <reference field="41" count="1" selected="0">
            <x v="6"/>
          </reference>
        </references>
      </pivotArea>
    </format>
    <format dxfId="400">
      <pivotArea dataOnly="0" labelOnly="1" outline="0" fieldPosition="0">
        <references count="3">
          <reference field="34" count="1" selected="0">
            <x v="0"/>
          </reference>
          <reference field="40" count="1">
            <x v="21"/>
          </reference>
          <reference field="41" count="1" selected="0">
            <x v="7"/>
          </reference>
        </references>
      </pivotArea>
    </format>
    <format dxfId="399">
      <pivotArea dataOnly="0" labelOnly="1" outline="0" fieldPosition="0">
        <references count="3">
          <reference field="34" count="1" selected="0">
            <x v="0"/>
          </reference>
          <reference field="40" count="1">
            <x v="23"/>
          </reference>
          <reference field="41" count="1" selected="0">
            <x v="8"/>
          </reference>
        </references>
      </pivotArea>
    </format>
    <format dxfId="398">
      <pivotArea dataOnly="0" labelOnly="1" outline="0" fieldPosition="0">
        <references count="3">
          <reference field="34" count="1" selected="0">
            <x v="0"/>
          </reference>
          <reference field="40" count="1">
            <x v="31"/>
          </reference>
          <reference field="41" count="1" selected="0">
            <x v="9"/>
          </reference>
        </references>
      </pivotArea>
    </format>
    <format dxfId="397">
      <pivotArea dataOnly="0" labelOnly="1" outline="0" fieldPosition="0">
        <references count="3">
          <reference field="34" count="1" selected="0">
            <x v="0"/>
          </reference>
          <reference field="40" count="4">
            <x v="22"/>
            <x v="26"/>
            <x v="27"/>
            <x v="32"/>
          </reference>
          <reference field="41" count="1" selected="0">
            <x v="10"/>
          </reference>
        </references>
      </pivotArea>
    </format>
    <format dxfId="396">
      <pivotArea dataOnly="0" labelOnly="1" outline="0" fieldPosition="0">
        <references count="3">
          <reference field="34" count="1" selected="0">
            <x v="0"/>
          </reference>
          <reference field="40" count="1">
            <x v="33"/>
          </reference>
          <reference field="41" count="1" selected="0">
            <x v="11"/>
          </reference>
        </references>
      </pivotArea>
    </format>
    <format dxfId="395">
      <pivotArea dataOnly="0" labelOnly="1" outline="0" fieldPosition="0">
        <references count="4">
          <reference field="34" count="1" selected="0">
            <x v="0"/>
          </reference>
          <reference field="38" count="2">
            <x v="20"/>
            <x v="31"/>
          </reference>
          <reference field="40" count="1" selected="0">
            <x v="1"/>
          </reference>
          <reference field="41" count="1" selected="0">
            <x v="0"/>
          </reference>
        </references>
      </pivotArea>
    </format>
    <format dxfId="394">
      <pivotArea dataOnly="0" labelOnly="1" outline="0" fieldPosition="0">
        <references count="4">
          <reference field="34" count="1" selected="0">
            <x v="0"/>
          </reference>
          <reference field="38" count="4">
            <x v="39"/>
            <x v="49"/>
            <x v="69"/>
            <x v="71"/>
          </reference>
          <reference field="40" count="1" selected="0">
            <x v="11"/>
          </reference>
          <reference field="41" count="1" selected="0">
            <x v="0"/>
          </reference>
        </references>
      </pivotArea>
    </format>
    <format dxfId="393">
      <pivotArea dataOnly="0" labelOnly="1" outline="0" fieldPosition="0">
        <references count="4">
          <reference field="34" count="1" selected="0">
            <x v="0"/>
          </reference>
          <reference field="38" count="1">
            <x v="33"/>
          </reference>
          <reference field="40" count="1" selected="0">
            <x v="16"/>
          </reference>
          <reference field="41" count="1" selected="0">
            <x v="0"/>
          </reference>
        </references>
      </pivotArea>
    </format>
    <format dxfId="392">
      <pivotArea dataOnly="0" labelOnly="1" outline="0" fieldPosition="0">
        <references count="4">
          <reference field="34" count="1" selected="0">
            <x v="0"/>
          </reference>
          <reference field="38" count="1">
            <x v="0"/>
          </reference>
          <reference field="40" count="1" selected="0">
            <x v="18"/>
          </reference>
          <reference field="41" count="1" selected="0">
            <x v="0"/>
          </reference>
        </references>
      </pivotArea>
    </format>
    <format dxfId="391">
      <pivotArea dataOnly="0" labelOnly="1" outline="0" fieldPosition="0">
        <references count="4">
          <reference field="34" count="1" selected="0">
            <x v="0"/>
          </reference>
          <reference field="38" count="1">
            <x v="81"/>
          </reference>
          <reference field="40" count="1" selected="0">
            <x v="20"/>
          </reference>
          <reference field="41" count="1" selected="0">
            <x v="0"/>
          </reference>
        </references>
      </pivotArea>
    </format>
    <format dxfId="390">
      <pivotArea dataOnly="0" labelOnly="1" outline="0" fieldPosition="0">
        <references count="4">
          <reference field="34" count="1" selected="0">
            <x v="0"/>
          </reference>
          <reference field="38" count="1">
            <x v="70"/>
          </reference>
          <reference field="40" count="1" selected="0">
            <x v="24"/>
          </reference>
          <reference field="41" count="1" selected="0">
            <x v="0"/>
          </reference>
        </references>
      </pivotArea>
    </format>
    <format dxfId="389">
      <pivotArea dataOnly="0" labelOnly="1" outline="0" fieldPosition="0">
        <references count="4">
          <reference field="34" count="1" selected="0">
            <x v="0"/>
          </reference>
          <reference field="38" count="1">
            <x v="37"/>
          </reference>
          <reference field="40" count="1" selected="0">
            <x v="28"/>
          </reference>
          <reference field="41" count="1" selected="0">
            <x v="0"/>
          </reference>
        </references>
      </pivotArea>
    </format>
    <format dxfId="388">
      <pivotArea dataOnly="0" labelOnly="1" outline="0" fieldPosition="0">
        <references count="4">
          <reference field="34" count="1" selected="0">
            <x v="0"/>
          </reference>
          <reference field="38" count="1">
            <x v="86"/>
          </reference>
          <reference field="40" count="1" selected="0">
            <x v="30"/>
          </reference>
          <reference field="41" count="1" selected="0">
            <x v="0"/>
          </reference>
        </references>
      </pivotArea>
    </format>
    <format dxfId="387">
      <pivotArea dataOnly="0" labelOnly="1" outline="0" fieldPosition="0">
        <references count="4">
          <reference field="34" count="1" selected="0">
            <x v="0"/>
          </reference>
          <reference field="38" count="2">
            <x v="1"/>
            <x v="18"/>
          </reference>
          <reference field="40" count="1" selected="0">
            <x v="3"/>
          </reference>
          <reference field="41" count="1" selected="0">
            <x v="1"/>
          </reference>
        </references>
      </pivotArea>
    </format>
    <format dxfId="386">
      <pivotArea dataOnly="0" labelOnly="1" outline="0" fieldPosition="0">
        <references count="4">
          <reference field="34" count="1" selected="0">
            <x v="0"/>
          </reference>
          <reference field="38" count="2">
            <x v="43"/>
            <x v="79"/>
          </reference>
          <reference field="40" count="1" selected="0">
            <x v="4"/>
          </reference>
          <reference field="41" count="1" selected="0">
            <x v="1"/>
          </reference>
        </references>
      </pivotArea>
    </format>
    <format dxfId="385">
      <pivotArea dataOnly="0" labelOnly="1" outline="0" fieldPosition="0">
        <references count="4">
          <reference field="34" count="1" selected="0">
            <x v="0"/>
          </reference>
          <reference field="38" count="1">
            <x v="3"/>
          </reference>
          <reference field="40" count="1" selected="0">
            <x v="5"/>
          </reference>
          <reference field="41" count="1" selected="0">
            <x v="1"/>
          </reference>
        </references>
      </pivotArea>
    </format>
    <format dxfId="384">
      <pivotArea dataOnly="0" labelOnly="1" outline="0" fieldPosition="0">
        <references count="4">
          <reference field="34" count="1" selected="0">
            <x v="0"/>
          </reference>
          <reference field="38" count="2">
            <x v="13"/>
            <x v="57"/>
          </reference>
          <reference field="40" count="1" selected="0">
            <x v="7"/>
          </reference>
          <reference field="41" count="1" selected="0">
            <x v="2"/>
          </reference>
        </references>
      </pivotArea>
    </format>
    <format dxfId="383">
      <pivotArea dataOnly="0" labelOnly="1" outline="0" fieldPosition="0">
        <references count="4">
          <reference field="34" count="1" selected="0">
            <x v="0"/>
          </reference>
          <reference field="38" count="1">
            <x v="53"/>
          </reference>
          <reference field="40" count="1" selected="0">
            <x v="0"/>
          </reference>
          <reference field="41" count="1" selected="0">
            <x v="3"/>
          </reference>
        </references>
      </pivotArea>
    </format>
    <format dxfId="382">
      <pivotArea dataOnly="0" labelOnly="1" outline="0" fieldPosition="0">
        <references count="4">
          <reference field="34" count="1" selected="0">
            <x v="0"/>
          </reference>
          <reference field="38" count="1">
            <x v="10"/>
          </reference>
          <reference field="40" count="1" selected="0">
            <x v="2"/>
          </reference>
          <reference field="41" count="1" selected="0">
            <x v="3"/>
          </reference>
        </references>
      </pivotArea>
    </format>
    <format dxfId="381">
      <pivotArea dataOnly="0" labelOnly="1" outline="0" fieldPosition="0">
        <references count="4">
          <reference field="34" count="1" selected="0">
            <x v="0"/>
          </reference>
          <reference field="38" count="8">
            <x v="9"/>
            <x v="22"/>
            <x v="38"/>
            <x v="52"/>
            <x v="58"/>
            <x v="59"/>
            <x v="74"/>
            <x v="76"/>
          </reference>
          <reference field="40" count="1" selected="0">
            <x v="8"/>
          </reference>
          <reference field="41" count="1" selected="0">
            <x v="3"/>
          </reference>
        </references>
      </pivotArea>
    </format>
    <format dxfId="380">
      <pivotArea dataOnly="0" labelOnly="1" outline="0" fieldPosition="0">
        <references count="4">
          <reference field="34" count="1" selected="0">
            <x v="0"/>
          </reference>
          <reference field="38" count="1">
            <x v="63"/>
          </reference>
          <reference field="40" count="1" selected="0">
            <x v="9"/>
          </reference>
          <reference field="41" count="1" selected="0">
            <x v="3"/>
          </reference>
        </references>
      </pivotArea>
    </format>
    <format dxfId="379">
      <pivotArea dataOnly="0" labelOnly="1" outline="0" fieldPosition="0">
        <references count="4">
          <reference field="34" count="1" selected="0">
            <x v="0"/>
          </reference>
          <reference field="38" count="2">
            <x v="50"/>
            <x v="64"/>
          </reference>
          <reference field="40" count="1" selected="0">
            <x v="10"/>
          </reference>
          <reference field="41" count="1" selected="0">
            <x v="4"/>
          </reference>
        </references>
      </pivotArea>
    </format>
    <format dxfId="378">
      <pivotArea dataOnly="0" labelOnly="1" outline="0" fieldPosition="0">
        <references count="4">
          <reference field="34" count="1" selected="0">
            <x v="0"/>
          </reference>
          <reference field="38" count="1">
            <x v="46"/>
          </reference>
          <reference field="40" count="1" selected="0">
            <x v="29"/>
          </reference>
          <reference field="41" count="1" selected="0">
            <x v="4"/>
          </reference>
        </references>
      </pivotArea>
    </format>
    <format dxfId="377">
      <pivotArea dataOnly="0" labelOnly="1" outline="0" fieldPosition="0">
        <references count="4">
          <reference field="34" count="1" selected="0">
            <x v="0"/>
          </reference>
          <reference field="38" count="3">
            <x v="8"/>
            <x v="41"/>
            <x v="75"/>
          </reference>
          <reference field="40" count="1" selected="0">
            <x v="14"/>
          </reference>
          <reference field="41" count="1" selected="0">
            <x v="5"/>
          </reference>
        </references>
      </pivotArea>
    </format>
    <format dxfId="376">
      <pivotArea dataOnly="0" labelOnly="1" outline="0" fieldPosition="0">
        <references count="4">
          <reference field="34" count="1" selected="0">
            <x v="0"/>
          </reference>
          <reference field="38" count="2">
            <x v="14"/>
            <x v="82"/>
          </reference>
          <reference field="40" count="1" selected="0">
            <x v="17"/>
          </reference>
          <reference field="41" count="1" selected="0">
            <x v="5"/>
          </reference>
        </references>
      </pivotArea>
    </format>
    <format dxfId="375">
      <pivotArea dataOnly="0" labelOnly="1" outline="0" fieldPosition="0">
        <references count="4">
          <reference field="34" count="1" selected="0">
            <x v="0"/>
          </reference>
          <reference field="38" count="1">
            <x v="47"/>
          </reference>
          <reference field="40" count="1" selected="0">
            <x v="19"/>
          </reference>
          <reference field="41" count="1" selected="0">
            <x v="5"/>
          </reference>
        </references>
      </pivotArea>
    </format>
    <format dxfId="374">
      <pivotArea dataOnly="0" labelOnly="1" outline="0" fieldPosition="0">
        <references count="4">
          <reference field="34" count="1" selected="0">
            <x v="0"/>
          </reference>
          <reference field="38" count="9">
            <x v="6"/>
            <x v="12"/>
            <x v="24"/>
            <x v="25"/>
            <x v="26"/>
            <x v="27"/>
            <x v="36"/>
            <x v="45"/>
            <x v="56"/>
          </reference>
          <reference field="40" count="1" selected="0">
            <x v="25"/>
          </reference>
          <reference field="41" count="1" selected="0">
            <x v="5"/>
          </reference>
        </references>
      </pivotArea>
    </format>
    <format dxfId="373">
      <pivotArea dataOnly="0" labelOnly="1" outline="0" fieldPosition="0">
        <references count="4">
          <reference field="34" count="1" selected="0">
            <x v="0"/>
          </reference>
          <reference field="38" count="1">
            <x v="29"/>
          </reference>
          <reference field="40" count="1" selected="0">
            <x v="12"/>
          </reference>
          <reference field="41" count="1" selected="0">
            <x v="6"/>
          </reference>
        </references>
      </pivotArea>
    </format>
    <format dxfId="372">
      <pivotArea dataOnly="0" labelOnly="1" outline="0" fieldPosition="0">
        <references count="4">
          <reference field="34" count="1" selected="0">
            <x v="0"/>
          </reference>
          <reference field="38" count="4">
            <x v="28"/>
            <x v="42"/>
            <x v="55"/>
            <x v="83"/>
          </reference>
          <reference field="40" count="1" selected="0">
            <x v="21"/>
          </reference>
          <reference field="41" count="1" selected="0">
            <x v="7"/>
          </reference>
        </references>
      </pivotArea>
    </format>
    <format dxfId="371">
      <pivotArea dataOnly="0" labelOnly="1" outline="0" fieldPosition="0">
        <references count="4">
          <reference field="34" count="1" selected="0">
            <x v="0"/>
          </reference>
          <reference field="38" count="5">
            <x v="5"/>
            <x v="7"/>
            <x v="11"/>
            <x v="17"/>
            <x v="78"/>
          </reference>
          <reference field="40" count="1" selected="0">
            <x v="23"/>
          </reference>
          <reference field="41" count="1" selected="0">
            <x v="8"/>
          </reference>
        </references>
      </pivotArea>
    </format>
    <format dxfId="370">
      <pivotArea dataOnly="0" labelOnly="1" outline="0" fieldPosition="0">
        <references count="4">
          <reference field="34" count="1" selected="0">
            <x v="0"/>
          </reference>
          <reference field="38" count="3">
            <x v="73"/>
            <x v="77"/>
            <x v="90"/>
          </reference>
          <reference field="40" count="1" selected="0">
            <x v="31"/>
          </reference>
          <reference field="41" count="1" selected="0">
            <x v="9"/>
          </reference>
        </references>
      </pivotArea>
    </format>
    <format dxfId="369">
      <pivotArea dataOnly="0" labelOnly="1" outline="0" fieldPosition="0">
        <references count="4">
          <reference field="34" count="1" selected="0">
            <x v="0"/>
          </reference>
          <reference field="38" count="1">
            <x v="61"/>
          </reference>
          <reference field="40" count="1" selected="0">
            <x v="22"/>
          </reference>
          <reference field="41" count="1" selected="0">
            <x v="10"/>
          </reference>
        </references>
      </pivotArea>
    </format>
    <format dxfId="368">
      <pivotArea dataOnly="0" labelOnly="1" outline="0" fieldPosition="0">
        <references count="4">
          <reference field="34" count="1" selected="0">
            <x v="0"/>
          </reference>
          <reference field="38" count="3">
            <x v="32"/>
            <x v="62"/>
            <x v="72"/>
          </reference>
          <reference field="40" count="1" selected="0">
            <x v="26"/>
          </reference>
          <reference field="41" count="1" selected="0">
            <x v="10"/>
          </reference>
        </references>
      </pivotArea>
    </format>
    <format dxfId="367">
      <pivotArea dataOnly="0" labelOnly="1" outline="0" fieldPosition="0">
        <references count="4">
          <reference field="34" count="1" selected="0">
            <x v="0"/>
          </reference>
          <reference field="38" count="2">
            <x v="2"/>
            <x v="88"/>
          </reference>
          <reference field="40" count="1" selected="0">
            <x v="27"/>
          </reference>
          <reference field="41" count="1" selected="0">
            <x v="10"/>
          </reference>
        </references>
      </pivotArea>
    </format>
    <format dxfId="366">
      <pivotArea dataOnly="0" labelOnly="1" outline="0" fieldPosition="0">
        <references count="4">
          <reference field="34" count="1" selected="0">
            <x v="0"/>
          </reference>
          <reference field="38" count="15">
            <x v="4"/>
            <x v="16"/>
            <x v="19"/>
            <x v="44"/>
            <x v="48"/>
            <x v="54"/>
            <x v="60"/>
            <x v="65"/>
            <x v="66"/>
            <x v="67"/>
            <x v="68"/>
            <x v="80"/>
            <x v="84"/>
            <x v="85"/>
            <x v="89"/>
          </reference>
          <reference field="40" count="1" selected="0">
            <x v="32"/>
          </reference>
          <reference field="41" count="1" selected="0">
            <x v="10"/>
          </reference>
        </references>
      </pivotArea>
    </format>
    <format dxfId="365">
      <pivotArea dataOnly="0" labelOnly="1" outline="0" fieldPosition="0">
        <references count="4">
          <reference field="34" count="1" selected="0">
            <x v="0"/>
          </reference>
          <reference field="38" count="1">
            <x v="91"/>
          </reference>
          <reference field="40" count="1" selected="0">
            <x v="33"/>
          </reference>
          <reference field="41" count="1" selected="0">
            <x v="11"/>
          </reference>
        </references>
      </pivotArea>
    </format>
    <format dxfId="364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20"/>
          </reference>
          <reference field="39" count="1">
            <x v="68"/>
          </reference>
          <reference field="40" count="1" selected="0">
            <x v="1"/>
          </reference>
          <reference field="41" count="1" selected="0">
            <x v="0"/>
          </reference>
        </references>
      </pivotArea>
    </format>
    <format dxfId="363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31"/>
          </reference>
          <reference field="39" count="1">
            <x v="16"/>
          </reference>
          <reference field="40" count="1" selected="0">
            <x v="1"/>
          </reference>
          <reference field="41" count="1" selected="0">
            <x v="0"/>
          </reference>
        </references>
      </pivotArea>
    </format>
    <format dxfId="362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39"/>
          </reference>
          <reference field="39" count="1">
            <x v="22"/>
          </reference>
          <reference field="40" count="1" selected="0">
            <x v="11"/>
          </reference>
          <reference field="41" count="1" selected="0">
            <x v="0"/>
          </reference>
        </references>
      </pivotArea>
    </format>
    <format dxfId="361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49"/>
          </reference>
          <reference field="39" count="1">
            <x v="62"/>
          </reference>
          <reference field="40" count="1" selected="0">
            <x v="11"/>
          </reference>
          <reference field="41" count="1" selected="0">
            <x v="0"/>
          </reference>
        </references>
      </pivotArea>
    </format>
    <format dxfId="360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69"/>
          </reference>
          <reference field="39" count="1">
            <x v="4"/>
          </reference>
          <reference field="40" count="1" selected="0">
            <x v="11"/>
          </reference>
          <reference field="41" count="1" selected="0">
            <x v="0"/>
          </reference>
        </references>
      </pivotArea>
    </format>
    <format dxfId="359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71"/>
          </reference>
          <reference field="39" count="1">
            <x v="34"/>
          </reference>
          <reference field="40" count="1" selected="0">
            <x v="11"/>
          </reference>
          <reference field="41" count="1" selected="0">
            <x v="0"/>
          </reference>
        </references>
      </pivotArea>
    </format>
    <format dxfId="358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33"/>
          </reference>
          <reference field="39" count="1">
            <x v="59"/>
          </reference>
          <reference field="40" count="1" selected="0">
            <x v="16"/>
          </reference>
          <reference field="41" count="1" selected="0">
            <x v="0"/>
          </reference>
        </references>
      </pivotArea>
    </format>
    <format dxfId="357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0"/>
          </reference>
          <reference field="39" count="1">
            <x v="18"/>
          </reference>
          <reference field="40" count="1" selected="0">
            <x v="18"/>
          </reference>
          <reference field="41" count="1" selected="0">
            <x v="0"/>
          </reference>
        </references>
      </pivotArea>
    </format>
    <format dxfId="356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81"/>
          </reference>
          <reference field="39" count="1">
            <x v="68"/>
          </reference>
          <reference field="40" count="1" selected="0">
            <x v="20"/>
          </reference>
          <reference field="41" count="1" selected="0">
            <x v="0"/>
          </reference>
        </references>
      </pivotArea>
    </format>
    <format dxfId="355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70"/>
          </reference>
          <reference field="39" count="1">
            <x v="18"/>
          </reference>
          <reference field="40" count="1" selected="0">
            <x v="24"/>
          </reference>
          <reference field="41" count="1" selected="0">
            <x v="0"/>
          </reference>
        </references>
      </pivotArea>
    </format>
    <format dxfId="354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37"/>
          </reference>
          <reference field="39" count="1">
            <x v="64"/>
          </reference>
          <reference field="40" count="1" selected="0">
            <x v="28"/>
          </reference>
          <reference field="41" count="1" selected="0">
            <x v="0"/>
          </reference>
        </references>
      </pivotArea>
    </format>
    <format dxfId="353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86"/>
          </reference>
          <reference field="39" count="1">
            <x v="67"/>
          </reference>
          <reference field="40" count="1" selected="0">
            <x v="30"/>
          </reference>
          <reference field="41" count="1" selected="0">
            <x v="0"/>
          </reference>
        </references>
      </pivotArea>
    </format>
    <format dxfId="352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1"/>
          </reference>
          <reference field="39" count="1">
            <x v="47"/>
          </reference>
          <reference field="40" count="1" selected="0">
            <x v="3"/>
          </reference>
          <reference field="41" count="1" selected="0">
            <x v="1"/>
          </reference>
        </references>
      </pivotArea>
    </format>
    <format dxfId="351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18"/>
          </reference>
          <reference field="39" count="1">
            <x v="6"/>
          </reference>
          <reference field="40" count="1" selected="0">
            <x v="3"/>
          </reference>
          <reference field="41" count="1" selected="0">
            <x v="1"/>
          </reference>
        </references>
      </pivotArea>
    </format>
    <format dxfId="350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43"/>
          </reference>
          <reference field="39" count="1">
            <x v="17"/>
          </reference>
          <reference field="40" count="1" selected="0">
            <x v="4"/>
          </reference>
          <reference field="41" count="1" selected="0">
            <x v="1"/>
          </reference>
        </references>
      </pivotArea>
    </format>
    <format dxfId="349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79"/>
          </reference>
          <reference field="39" count="1">
            <x v="54"/>
          </reference>
          <reference field="40" count="1" selected="0">
            <x v="4"/>
          </reference>
          <reference field="41" count="1" selected="0">
            <x v="1"/>
          </reference>
        </references>
      </pivotArea>
    </format>
    <format dxfId="348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3"/>
          </reference>
          <reference field="39" count="1">
            <x v="61"/>
          </reference>
          <reference field="40" count="1" selected="0">
            <x v="5"/>
          </reference>
          <reference field="41" count="1" selected="0">
            <x v="1"/>
          </reference>
        </references>
      </pivotArea>
    </format>
    <format dxfId="347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13"/>
          </reference>
          <reference field="39" count="1">
            <x v="37"/>
          </reference>
          <reference field="40" count="1" selected="0">
            <x v="7"/>
          </reference>
          <reference field="41" count="1" selected="0">
            <x v="2"/>
          </reference>
        </references>
      </pivotArea>
    </format>
    <format dxfId="346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57"/>
          </reference>
          <reference field="39" count="1">
            <x v="36"/>
          </reference>
          <reference field="40" count="1" selected="0">
            <x v="7"/>
          </reference>
          <reference field="41" count="1" selected="0">
            <x v="2"/>
          </reference>
        </references>
      </pivotArea>
    </format>
    <format dxfId="345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53"/>
          </reference>
          <reference field="39" count="1">
            <x v="13"/>
          </reference>
          <reference field="40" count="1" selected="0">
            <x v="0"/>
          </reference>
          <reference field="41" count="1" selected="0">
            <x v="3"/>
          </reference>
        </references>
      </pivotArea>
    </format>
    <format dxfId="344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10"/>
          </reference>
          <reference field="39" count="1">
            <x v="14"/>
          </reference>
          <reference field="40" count="1" selected="0">
            <x v="2"/>
          </reference>
          <reference field="41" count="1" selected="0">
            <x v="3"/>
          </reference>
        </references>
      </pivotArea>
    </format>
    <format dxfId="343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9"/>
          </reference>
          <reference field="39" count="1">
            <x v="12"/>
          </reference>
          <reference field="40" count="1" selected="0">
            <x v="8"/>
          </reference>
          <reference field="41" count="1" selected="0">
            <x v="3"/>
          </reference>
        </references>
      </pivotArea>
    </format>
    <format dxfId="342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22"/>
          </reference>
          <reference field="39" count="1">
            <x v="9"/>
          </reference>
          <reference field="40" count="1" selected="0">
            <x v="8"/>
          </reference>
          <reference field="41" count="1" selected="0">
            <x v="3"/>
          </reference>
        </references>
      </pivotArea>
    </format>
    <format dxfId="341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38"/>
          </reference>
          <reference field="39" count="1">
            <x v="55"/>
          </reference>
          <reference field="40" count="1" selected="0">
            <x v="8"/>
          </reference>
          <reference field="41" count="1" selected="0">
            <x v="3"/>
          </reference>
        </references>
      </pivotArea>
    </format>
    <format dxfId="340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59"/>
          </reference>
          <reference field="39" count="1">
            <x v="19"/>
          </reference>
          <reference field="40" count="1" selected="0">
            <x v="8"/>
          </reference>
          <reference field="41" count="1" selected="0">
            <x v="3"/>
          </reference>
        </references>
      </pivotArea>
    </format>
    <format dxfId="339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74"/>
          </reference>
          <reference field="39" count="1">
            <x v="7"/>
          </reference>
          <reference field="40" count="1" selected="0">
            <x v="8"/>
          </reference>
          <reference field="41" count="1" selected="0">
            <x v="3"/>
          </reference>
        </references>
      </pivotArea>
    </format>
    <format dxfId="338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76"/>
          </reference>
          <reference field="39" count="1">
            <x v="60"/>
          </reference>
          <reference field="40" count="1" selected="0">
            <x v="8"/>
          </reference>
          <reference field="41" count="1" selected="0">
            <x v="3"/>
          </reference>
        </references>
      </pivotArea>
    </format>
    <format dxfId="337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63"/>
          </reference>
          <reference field="39" count="1">
            <x v="20"/>
          </reference>
          <reference field="40" count="1" selected="0">
            <x v="9"/>
          </reference>
          <reference field="41" count="1" selected="0">
            <x v="3"/>
          </reference>
        </references>
      </pivotArea>
    </format>
    <format dxfId="336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50"/>
          </reference>
          <reference field="39" count="1">
            <x v="39"/>
          </reference>
          <reference field="40" count="1" selected="0">
            <x v="10"/>
          </reference>
          <reference field="41" count="1" selected="0">
            <x v="4"/>
          </reference>
        </references>
      </pivotArea>
    </format>
    <format dxfId="335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64"/>
          </reference>
          <reference field="39" count="1">
            <x v="30"/>
          </reference>
          <reference field="40" count="1" selected="0">
            <x v="10"/>
          </reference>
          <reference field="41" count="1" selected="0">
            <x v="4"/>
          </reference>
        </references>
      </pivotArea>
    </format>
    <format dxfId="334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46"/>
          </reference>
          <reference field="39" count="1">
            <x v="2"/>
          </reference>
          <reference field="40" count="1" selected="0">
            <x v="29"/>
          </reference>
          <reference field="41" count="1" selected="0">
            <x v="4"/>
          </reference>
        </references>
      </pivotArea>
    </format>
    <format dxfId="333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8"/>
          </reference>
          <reference field="39" count="1">
            <x v="65"/>
          </reference>
          <reference field="40" count="1" selected="0">
            <x v="14"/>
          </reference>
          <reference field="41" count="1" selected="0">
            <x v="5"/>
          </reference>
        </references>
      </pivotArea>
    </format>
    <format dxfId="332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41"/>
          </reference>
          <reference field="39" count="1">
            <x v="49"/>
          </reference>
          <reference field="40" count="1" selected="0">
            <x v="14"/>
          </reference>
          <reference field="41" count="1" selected="0">
            <x v="5"/>
          </reference>
        </references>
      </pivotArea>
    </format>
    <format dxfId="331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75"/>
          </reference>
          <reference field="39" count="1">
            <x v="65"/>
          </reference>
          <reference field="40" count="1" selected="0">
            <x v="14"/>
          </reference>
          <reference field="41" count="1" selected="0">
            <x v="5"/>
          </reference>
        </references>
      </pivotArea>
    </format>
    <format dxfId="330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14"/>
          </reference>
          <reference field="39" count="1">
            <x v="66"/>
          </reference>
          <reference field="40" count="1" selected="0">
            <x v="17"/>
          </reference>
          <reference field="41" count="1" selected="0">
            <x v="5"/>
          </reference>
        </references>
      </pivotArea>
    </format>
    <format dxfId="329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82"/>
          </reference>
          <reference field="39" count="1">
            <x v="69"/>
          </reference>
          <reference field="40" count="1" selected="0">
            <x v="17"/>
          </reference>
          <reference field="41" count="1" selected="0">
            <x v="5"/>
          </reference>
        </references>
      </pivotArea>
    </format>
    <format dxfId="328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47"/>
          </reference>
          <reference field="39" count="1">
            <x v="70"/>
          </reference>
          <reference field="40" count="1" selected="0">
            <x v="19"/>
          </reference>
          <reference field="41" count="1" selected="0">
            <x v="5"/>
          </reference>
        </references>
      </pivotArea>
    </format>
    <format dxfId="327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6"/>
          </reference>
          <reference field="39" count="1">
            <x v="44"/>
          </reference>
          <reference field="40" count="1" selected="0">
            <x v="25"/>
          </reference>
          <reference field="41" count="1" selected="0">
            <x v="5"/>
          </reference>
        </references>
      </pivotArea>
    </format>
    <format dxfId="326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12"/>
          </reference>
          <reference field="39" count="1">
            <x v="15"/>
          </reference>
          <reference field="40" count="1" selected="0">
            <x v="25"/>
          </reference>
          <reference field="41" count="1" selected="0">
            <x v="5"/>
          </reference>
        </references>
      </pivotArea>
    </format>
    <format dxfId="325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24"/>
          </reference>
          <reference field="39" count="1">
            <x v="57"/>
          </reference>
          <reference field="40" count="1" selected="0">
            <x v="25"/>
          </reference>
          <reference field="41" count="1" selected="0">
            <x v="5"/>
          </reference>
        </references>
      </pivotArea>
    </format>
    <format dxfId="324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36"/>
          </reference>
          <reference field="39" count="1">
            <x v="58"/>
          </reference>
          <reference field="40" count="1" selected="0">
            <x v="25"/>
          </reference>
          <reference field="41" count="1" selected="0">
            <x v="5"/>
          </reference>
        </references>
      </pivotArea>
    </format>
    <format dxfId="323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45"/>
          </reference>
          <reference field="39" count="1">
            <x v="51"/>
          </reference>
          <reference field="40" count="1" selected="0">
            <x v="25"/>
          </reference>
          <reference field="41" count="1" selected="0">
            <x v="5"/>
          </reference>
        </references>
      </pivotArea>
    </format>
    <format dxfId="322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56"/>
          </reference>
          <reference field="39" count="1">
            <x v="57"/>
          </reference>
          <reference field="40" count="1" selected="0">
            <x v="25"/>
          </reference>
          <reference field="41" count="1" selected="0">
            <x v="5"/>
          </reference>
        </references>
      </pivotArea>
    </format>
    <format dxfId="321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29"/>
          </reference>
          <reference field="39" count="1">
            <x v="10"/>
          </reference>
          <reference field="40" count="1" selected="0">
            <x v="12"/>
          </reference>
          <reference field="41" count="1" selected="0">
            <x v="6"/>
          </reference>
        </references>
      </pivotArea>
    </format>
    <format dxfId="320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28"/>
          </reference>
          <reference field="39" count="1">
            <x v="0"/>
          </reference>
          <reference field="40" count="1" selected="0">
            <x v="21"/>
          </reference>
          <reference field="41" count="1" selected="0">
            <x v="7"/>
          </reference>
        </references>
      </pivotArea>
    </format>
    <format dxfId="319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42"/>
          </reference>
          <reference field="39" count="1">
            <x v="72"/>
          </reference>
          <reference field="40" count="1" selected="0">
            <x v="21"/>
          </reference>
          <reference field="41" count="1" selected="0">
            <x v="7"/>
          </reference>
        </references>
      </pivotArea>
    </format>
    <format dxfId="318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55"/>
          </reference>
          <reference field="39" count="1">
            <x v="56"/>
          </reference>
          <reference field="40" count="1" selected="0">
            <x v="21"/>
          </reference>
          <reference field="41" count="1" selected="0">
            <x v="7"/>
          </reference>
        </references>
      </pivotArea>
    </format>
    <format dxfId="317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83"/>
          </reference>
          <reference field="39" count="1">
            <x v="41"/>
          </reference>
          <reference field="40" count="1" selected="0">
            <x v="21"/>
          </reference>
          <reference field="41" count="1" selected="0">
            <x v="7"/>
          </reference>
        </references>
      </pivotArea>
    </format>
    <format dxfId="316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5"/>
          </reference>
          <reference field="39" count="1">
            <x v="75"/>
          </reference>
          <reference field="40" count="1" selected="0">
            <x v="23"/>
          </reference>
          <reference field="41" count="1" selected="0">
            <x v="8"/>
          </reference>
        </references>
      </pivotArea>
    </format>
    <format dxfId="315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7"/>
          </reference>
          <reference field="39" count="1">
            <x v="32"/>
          </reference>
          <reference field="40" count="1" selected="0">
            <x v="23"/>
          </reference>
          <reference field="41" count="1" selected="0">
            <x v="8"/>
          </reference>
        </references>
      </pivotArea>
    </format>
    <format dxfId="314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11"/>
          </reference>
          <reference field="39" count="1">
            <x v="11"/>
          </reference>
          <reference field="40" count="1" selected="0">
            <x v="23"/>
          </reference>
          <reference field="41" count="1" selected="0">
            <x v="8"/>
          </reference>
        </references>
      </pivotArea>
    </format>
    <format dxfId="313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17"/>
          </reference>
          <reference field="39" count="1">
            <x v="35"/>
          </reference>
          <reference field="40" count="1" selected="0">
            <x v="23"/>
          </reference>
          <reference field="41" count="1" selected="0">
            <x v="8"/>
          </reference>
        </references>
      </pivotArea>
    </format>
    <format dxfId="312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78"/>
          </reference>
          <reference field="39" count="1">
            <x v="42"/>
          </reference>
          <reference field="40" count="1" selected="0">
            <x v="23"/>
          </reference>
          <reference field="41" count="1" selected="0">
            <x v="8"/>
          </reference>
        </references>
      </pivotArea>
    </format>
    <format dxfId="311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73"/>
          </reference>
          <reference field="39" count="1">
            <x v="3"/>
          </reference>
          <reference field="40" count="1" selected="0">
            <x v="31"/>
          </reference>
          <reference field="41" count="1" selected="0">
            <x v="9"/>
          </reference>
        </references>
      </pivotArea>
    </format>
    <format dxfId="310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77"/>
          </reference>
          <reference field="39" count="1">
            <x v="74"/>
          </reference>
          <reference field="40" count="1" selected="0">
            <x v="31"/>
          </reference>
          <reference field="41" count="1" selected="0">
            <x v="9"/>
          </reference>
        </references>
      </pivotArea>
    </format>
    <format dxfId="309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90"/>
          </reference>
          <reference field="39" count="1">
            <x v="43"/>
          </reference>
          <reference field="40" count="1" selected="0">
            <x v="31"/>
          </reference>
          <reference field="41" count="1" selected="0">
            <x v="9"/>
          </reference>
        </references>
      </pivotArea>
    </format>
    <format dxfId="308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61"/>
          </reference>
          <reference field="39" count="1">
            <x v="50"/>
          </reference>
          <reference field="40" count="1" selected="0">
            <x v="22"/>
          </reference>
          <reference field="41" count="1" selected="0">
            <x v="10"/>
          </reference>
        </references>
      </pivotArea>
    </format>
    <format dxfId="307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32"/>
          </reference>
          <reference field="39" count="1">
            <x v="1"/>
          </reference>
          <reference field="40" count="1" selected="0">
            <x v="26"/>
          </reference>
          <reference field="41" count="1" selected="0">
            <x v="10"/>
          </reference>
        </references>
      </pivotArea>
    </format>
    <format dxfId="306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62"/>
          </reference>
          <reference field="39" count="1">
            <x v="33"/>
          </reference>
          <reference field="40" count="1" selected="0">
            <x v="26"/>
          </reference>
          <reference field="41" count="1" selected="0">
            <x v="10"/>
          </reference>
        </references>
      </pivotArea>
    </format>
    <format dxfId="305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72"/>
          </reference>
          <reference field="39" count="1">
            <x v="1"/>
          </reference>
          <reference field="40" count="1" selected="0">
            <x v="26"/>
          </reference>
          <reference field="41" count="1" selected="0">
            <x v="10"/>
          </reference>
        </references>
      </pivotArea>
    </format>
    <format dxfId="304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2"/>
          </reference>
          <reference field="39" count="1">
            <x v="52"/>
          </reference>
          <reference field="40" count="1" selected="0">
            <x v="27"/>
          </reference>
          <reference field="41" count="1" selected="0">
            <x v="10"/>
          </reference>
        </references>
      </pivotArea>
    </format>
    <format dxfId="303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88"/>
          </reference>
          <reference field="39" count="1">
            <x v="23"/>
          </reference>
          <reference field="40" count="1" selected="0">
            <x v="27"/>
          </reference>
          <reference field="41" count="1" selected="0">
            <x v="10"/>
          </reference>
        </references>
      </pivotArea>
    </format>
    <format dxfId="302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4"/>
          </reference>
          <reference field="39" count="1">
            <x v="40"/>
          </reference>
          <reference field="40" count="1" selected="0">
            <x v="32"/>
          </reference>
          <reference field="41" count="1" selected="0">
            <x v="10"/>
          </reference>
        </references>
      </pivotArea>
    </format>
    <format dxfId="301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16"/>
          </reference>
          <reference field="39" count="1">
            <x v="25"/>
          </reference>
          <reference field="40" count="1" selected="0">
            <x v="32"/>
          </reference>
          <reference field="41" count="1" selected="0">
            <x v="10"/>
          </reference>
        </references>
      </pivotArea>
    </format>
    <format dxfId="300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19"/>
          </reference>
          <reference field="39" count="1">
            <x v="27"/>
          </reference>
          <reference field="40" count="1" selected="0">
            <x v="32"/>
          </reference>
          <reference field="41" count="1" selected="0">
            <x v="10"/>
          </reference>
        </references>
      </pivotArea>
    </format>
    <format dxfId="299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44"/>
          </reference>
          <reference field="39" count="1">
            <x v="24"/>
          </reference>
          <reference field="40" count="1" selected="0">
            <x v="32"/>
          </reference>
          <reference field="41" count="1" selected="0">
            <x v="10"/>
          </reference>
        </references>
      </pivotArea>
    </format>
    <format dxfId="298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60"/>
          </reference>
          <reference field="39" count="1">
            <x v="25"/>
          </reference>
          <reference field="40" count="1" selected="0">
            <x v="32"/>
          </reference>
          <reference field="41" count="1" selected="0">
            <x v="10"/>
          </reference>
        </references>
      </pivotArea>
    </format>
    <format dxfId="297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65"/>
          </reference>
          <reference field="39" count="1">
            <x v="24"/>
          </reference>
          <reference field="40" count="1" selected="0">
            <x v="32"/>
          </reference>
          <reference field="41" count="1" selected="0">
            <x v="10"/>
          </reference>
        </references>
      </pivotArea>
    </format>
    <format dxfId="296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66"/>
          </reference>
          <reference field="39" count="1">
            <x v="21"/>
          </reference>
          <reference field="40" count="1" selected="0">
            <x v="32"/>
          </reference>
          <reference field="41" count="1" selected="0">
            <x v="10"/>
          </reference>
        </references>
      </pivotArea>
    </format>
    <format dxfId="295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67"/>
          </reference>
          <reference field="39" count="1">
            <x v="8"/>
          </reference>
          <reference field="40" count="1" selected="0">
            <x v="32"/>
          </reference>
          <reference field="41" count="1" selected="0">
            <x v="10"/>
          </reference>
        </references>
      </pivotArea>
    </format>
    <format dxfId="294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68"/>
          </reference>
          <reference field="39" count="1">
            <x v="21"/>
          </reference>
          <reference field="40" count="1" selected="0">
            <x v="32"/>
          </reference>
          <reference field="41" count="1" selected="0">
            <x v="10"/>
          </reference>
        </references>
      </pivotArea>
    </format>
    <format dxfId="293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80"/>
          </reference>
          <reference field="39" count="1">
            <x v="38"/>
          </reference>
          <reference field="40" count="1" selected="0">
            <x v="32"/>
          </reference>
          <reference field="41" count="1" selected="0">
            <x v="10"/>
          </reference>
        </references>
      </pivotArea>
    </format>
    <format dxfId="292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84"/>
          </reference>
          <reference field="39" count="1">
            <x v="24"/>
          </reference>
          <reference field="40" count="1" selected="0">
            <x v="32"/>
          </reference>
          <reference field="41" count="1" selected="0">
            <x v="10"/>
          </reference>
        </references>
      </pivotArea>
    </format>
    <format dxfId="291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85"/>
          </reference>
          <reference field="39" count="1">
            <x v="45"/>
          </reference>
          <reference field="40" count="1" selected="0">
            <x v="32"/>
          </reference>
          <reference field="41" count="1" selected="0">
            <x v="10"/>
          </reference>
        </references>
      </pivotArea>
    </format>
    <format dxfId="290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89"/>
          </reference>
          <reference field="39" count="1">
            <x v="21"/>
          </reference>
          <reference field="40" count="1" selected="0">
            <x v="32"/>
          </reference>
          <reference field="41" count="1" selected="0">
            <x v="10"/>
          </reference>
        </references>
      </pivotArea>
    </format>
    <format dxfId="289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91"/>
          </reference>
          <reference field="39" count="1">
            <x v="76"/>
          </reference>
          <reference field="40" count="1" selected="0">
            <x v="33"/>
          </reference>
          <reference field="41" count="1" selected="0">
            <x v="11"/>
          </reference>
        </references>
      </pivotArea>
    </format>
    <format dxfId="288">
      <pivotArea type="all" dataOnly="0" outline="0" fieldPosition="0"/>
    </format>
    <format dxfId="287">
      <pivotArea field="34" type="button" dataOnly="0" labelOnly="1" outline="0" axis="axisRow" fieldPosition="0"/>
    </format>
    <format dxfId="286">
      <pivotArea field="41" type="button" dataOnly="0" labelOnly="1" outline="0" axis="axisRow" fieldPosition="1"/>
    </format>
    <format dxfId="285">
      <pivotArea field="40" type="button" dataOnly="0" labelOnly="1" outline="0" axis="axisRow" fieldPosition="2"/>
    </format>
    <format dxfId="284">
      <pivotArea field="38" type="button" dataOnly="0" labelOnly="1" outline="0" axis="axisRow" fieldPosition="3"/>
    </format>
    <format dxfId="283">
      <pivotArea field="39" type="button" dataOnly="0" labelOnly="1" outline="0" axis="axisRow" fieldPosition="4"/>
    </format>
    <format dxfId="282">
      <pivotArea field="5" type="button" dataOnly="0" labelOnly="1" outline="0" axis="axisRow" fieldPosition="5"/>
    </format>
    <format dxfId="281">
      <pivotArea field="20" type="button" dataOnly="0" labelOnly="1" outline="0" axis="axisRow" fieldPosition="6"/>
    </format>
    <format dxfId="280">
      <pivotArea field="19" type="button" dataOnly="0" labelOnly="1" outline="0" axis="axisRow" fieldPosition="8"/>
    </format>
    <format dxfId="279">
      <pivotArea field="6" type="button" dataOnly="0" labelOnly="1" outline="0" axis="axisRow" fieldPosition="9"/>
    </format>
    <format dxfId="278">
      <pivotArea field="7" type="button" dataOnly="0" labelOnly="1" outline="0" axis="axisRow" fieldPosition="10"/>
    </format>
    <format dxfId="277">
      <pivotArea field="9" type="button" dataOnly="0" labelOnly="1" outline="0" axis="axisRow" fieldPosition="11"/>
    </format>
    <format dxfId="276">
      <pivotArea field="35" type="button" dataOnly="0" labelOnly="1" outline="0" axis="axisRow" fieldPosition="12"/>
    </format>
    <format dxfId="275">
      <pivotArea field="25" type="button" dataOnly="0" labelOnly="1" outline="0" axis="axisRow" fieldPosition="13"/>
    </format>
    <format dxfId="274">
      <pivotArea field="27" type="button" dataOnly="0" labelOnly="1" outline="0" axis="axisRow" fieldPosition="14"/>
    </format>
    <format dxfId="273">
      <pivotArea field="29" type="button" dataOnly="0" labelOnly="1" outline="0" axis="axisRow" fieldPosition="15"/>
    </format>
    <format dxfId="272">
      <pivotArea field="31" type="button" dataOnly="0" labelOnly="1" outline="0" axis="axisRow" fieldPosition="16"/>
    </format>
    <format dxfId="271">
      <pivotArea dataOnly="0" labelOnly="1" outline="0" fieldPosition="0">
        <references count="1">
          <reference field="34" count="1">
            <x v="0"/>
          </reference>
        </references>
      </pivotArea>
    </format>
    <format dxfId="270">
      <pivotArea dataOnly="0" labelOnly="1" grandRow="1" outline="0" fieldPosition="0"/>
    </format>
    <format dxfId="269">
      <pivotArea dataOnly="0" labelOnly="1" outline="0" fieldPosition="0">
        <references count="2">
          <reference field="34" count="1" selected="0">
            <x v="0"/>
          </reference>
          <reference field="41" count="0"/>
        </references>
      </pivotArea>
    </format>
    <format dxfId="268">
      <pivotArea dataOnly="0" labelOnly="1" outline="0" fieldPosition="0">
        <references count="2">
          <reference field="34" count="1" selected="0">
            <x v="0"/>
          </reference>
          <reference field="41" count="0" defaultSubtotal="1"/>
        </references>
      </pivotArea>
    </format>
    <format dxfId="267">
      <pivotArea dataOnly="0" labelOnly="1" outline="0" fieldPosition="0">
        <references count="3">
          <reference field="34" count="1" selected="0">
            <x v="0"/>
          </reference>
          <reference field="40" count="9">
            <x v="1"/>
            <x v="11"/>
            <x v="15"/>
            <x v="16"/>
            <x v="18"/>
            <x v="20"/>
            <x v="24"/>
            <x v="28"/>
            <x v="30"/>
          </reference>
          <reference field="41" count="1" selected="0">
            <x v="0"/>
          </reference>
        </references>
      </pivotArea>
    </format>
    <format dxfId="266">
      <pivotArea dataOnly="0" labelOnly="1" outline="0" fieldPosition="0">
        <references count="3">
          <reference field="34" count="1" selected="0">
            <x v="0"/>
          </reference>
          <reference field="40" count="3">
            <x v="3"/>
            <x v="4"/>
            <x v="5"/>
          </reference>
          <reference field="41" count="1" selected="0">
            <x v="1"/>
          </reference>
        </references>
      </pivotArea>
    </format>
    <format dxfId="265">
      <pivotArea dataOnly="0" labelOnly="1" outline="0" fieldPosition="0">
        <references count="3">
          <reference field="34" count="1" selected="0">
            <x v="0"/>
          </reference>
          <reference field="40" count="1">
            <x v="7"/>
          </reference>
          <reference field="41" count="1" selected="0">
            <x v="2"/>
          </reference>
        </references>
      </pivotArea>
    </format>
    <format dxfId="264">
      <pivotArea dataOnly="0" labelOnly="1" outline="0" fieldPosition="0">
        <references count="3">
          <reference field="34" count="1" selected="0">
            <x v="0"/>
          </reference>
          <reference field="40" count="4">
            <x v="0"/>
            <x v="2"/>
            <x v="8"/>
            <x v="9"/>
          </reference>
          <reference field="41" count="1" selected="0">
            <x v="3"/>
          </reference>
        </references>
      </pivotArea>
    </format>
    <format dxfId="263">
      <pivotArea dataOnly="0" labelOnly="1" outline="0" fieldPosition="0">
        <references count="3">
          <reference field="34" count="1" selected="0">
            <x v="0"/>
          </reference>
          <reference field="40" count="2">
            <x v="10"/>
            <x v="29"/>
          </reference>
          <reference field="41" count="1" selected="0">
            <x v="4"/>
          </reference>
        </references>
      </pivotArea>
    </format>
    <format dxfId="262">
      <pivotArea dataOnly="0" labelOnly="1" outline="0" fieldPosition="0">
        <references count="3">
          <reference field="34" count="1" selected="0">
            <x v="0"/>
          </reference>
          <reference field="40" count="5">
            <x v="13"/>
            <x v="14"/>
            <x v="17"/>
            <x v="19"/>
            <x v="25"/>
          </reference>
          <reference field="41" count="1" selected="0">
            <x v="5"/>
          </reference>
        </references>
      </pivotArea>
    </format>
    <format dxfId="261">
      <pivotArea dataOnly="0" labelOnly="1" outline="0" fieldPosition="0">
        <references count="3">
          <reference field="34" count="1" selected="0">
            <x v="0"/>
          </reference>
          <reference field="40" count="1">
            <x v="12"/>
          </reference>
          <reference field="41" count="1" selected="0">
            <x v="6"/>
          </reference>
        </references>
      </pivotArea>
    </format>
    <format dxfId="260">
      <pivotArea dataOnly="0" labelOnly="1" outline="0" fieldPosition="0">
        <references count="3">
          <reference field="34" count="1" selected="0">
            <x v="0"/>
          </reference>
          <reference field="40" count="1">
            <x v="21"/>
          </reference>
          <reference field="41" count="1" selected="0">
            <x v="7"/>
          </reference>
        </references>
      </pivotArea>
    </format>
    <format dxfId="259">
      <pivotArea dataOnly="0" labelOnly="1" outline="0" fieldPosition="0">
        <references count="3">
          <reference field="34" count="1" selected="0">
            <x v="0"/>
          </reference>
          <reference field="40" count="1">
            <x v="23"/>
          </reference>
          <reference field="41" count="1" selected="0">
            <x v="8"/>
          </reference>
        </references>
      </pivotArea>
    </format>
    <format dxfId="258">
      <pivotArea dataOnly="0" labelOnly="1" outline="0" fieldPosition="0">
        <references count="3">
          <reference field="34" count="1" selected="0">
            <x v="0"/>
          </reference>
          <reference field="40" count="1">
            <x v="31"/>
          </reference>
          <reference field="41" count="1" selected="0">
            <x v="9"/>
          </reference>
        </references>
      </pivotArea>
    </format>
    <format dxfId="257">
      <pivotArea dataOnly="0" labelOnly="1" outline="0" fieldPosition="0">
        <references count="3">
          <reference field="34" count="1" selected="0">
            <x v="0"/>
          </reference>
          <reference field="40" count="4">
            <x v="22"/>
            <x v="26"/>
            <x v="27"/>
            <x v="32"/>
          </reference>
          <reference field="41" count="1" selected="0">
            <x v="10"/>
          </reference>
        </references>
      </pivotArea>
    </format>
    <format dxfId="256">
      <pivotArea dataOnly="0" labelOnly="1" outline="0" fieldPosition="0">
        <references count="3">
          <reference field="34" count="1" selected="0">
            <x v="0"/>
          </reference>
          <reference field="40" count="1">
            <x v="33"/>
          </reference>
          <reference field="41" count="1" selected="0">
            <x v="11"/>
          </reference>
        </references>
      </pivotArea>
    </format>
    <format dxfId="255">
      <pivotArea dataOnly="0" labelOnly="1" outline="0" fieldPosition="0">
        <references count="4">
          <reference field="34" count="1" selected="0">
            <x v="0"/>
          </reference>
          <reference field="38" count="2">
            <x v="20"/>
            <x v="31"/>
          </reference>
          <reference field="40" count="1" selected="0">
            <x v="1"/>
          </reference>
          <reference field="41" count="1" selected="0">
            <x v="0"/>
          </reference>
        </references>
      </pivotArea>
    </format>
    <format dxfId="254">
      <pivotArea dataOnly="0" labelOnly="1" outline="0" fieldPosition="0">
        <references count="4">
          <reference field="34" count="1" selected="0">
            <x v="0"/>
          </reference>
          <reference field="38" count="4">
            <x v="39"/>
            <x v="49"/>
            <x v="69"/>
            <x v="71"/>
          </reference>
          <reference field="40" count="1" selected="0">
            <x v="11"/>
          </reference>
          <reference field="41" count="1" selected="0">
            <x v="0"/>
          </reference>
        </references>
      </pivotArea>
    </format>
    <format dxfId="253">
      <pivotArea dataOnly="0" labelOnly="1" outline="0" fieldPosition="0">
        <references count="4">
          <reference field="34" count="1" selected="0">
            <x v="0"/>
          </reference>
          <reference field="38" count="1">
            <x v="33"/>
          </reference>
          <reference field="40" count="1" selected="0">
            <x v="16"/>
          </reference>
          <reference field="41" count="1" selected="0">
            <x v="0"/>
          </reference>
        </references>
      </pivotArea>
    </format>
    <format dxfId="252">
      <pivotArea dataOnly="0" labelOnly="1" outline="0" fieldPosition="0">
        <references count="4">
          <reference field="34" count="1" selected="0">
            <x v="0"/>
          </reference>
          <reference field="38" count="1">
            <x v="0"/>
          </reference>
          <reference field="40" count="1" selected="0">
            <x v="18"/>
          </reference>
          <reference field="41" count="1" selected="0">
            <x v="0"/>
          </reference>
        </references>
      </pivotArea>
    </format>
    <format dxfId="251">
      <pivotArea dataOnly="0" labelOnly="1" outline="0" fieldPosition="0">
        <references count="4">
          <reference field="34" count="1" selected="0">
            <x v="0"/>
          </reference>
          <reference field="38" count="1">
            <x v="81"/>
          </reference>
          <reference field="40" count="1" selected="0">
            <x v="20"/>
          </reference>
          <reference field="41" count="1" selected="0">
            <x v="0"/>
          </reference>
        </references>
      </pivotArea>
    </format>
    <format dxfId="250">
      <pivotArea dataOnly="0" labelOnly="1" outline="0" fieldPosition="0">
        <references count="4">
          <reference field="34" count="1" selected="0">
            <x v="0"/>
          </reference>
          <reference field="38" count="1">
            <x v="70"/>
          </reference>
          <reference field="40" count="1" selected="0">
            <x v="24"/>
          </reference>
          <reference field="41" count="1" selected="0">
            <x v="0"/>
          </reference>
        </references>
      </pivotArea>
    </format>
    <format dxfId="249">
      <pivotArea dataOnly="0" labelOnly="1" outline="0" fieldPosition="0">
        <references count="4">
          <reference field="34" count="1" selected="0">
            <x v="0"/>
          </reference>
          <reference field="38" count="1">
            <x v="37"/>
          </reference>
          <reference field="40" count="1" selected="0">
            <x v="28"/>
          </reference>
          <reference field="41" count="1" selected="0">
            <x v="0"/>
          </reference>
        </references>
      </pivotArea>
    </format>
    <format dxfId="248">
      <pivotArea dataOnly="0" labelOnly="1" outline="0" fieldPosition="0">
        <references count="4">
          <reference field="34" count="1" selected="0">
            <x v="0"/>
          </reference>
          <reference field="38" count="1">
            <x v="86"/>
          </reference>
          <reference field="40" count="1" selected="0">
            <x v="30"/>
          </reference>
          <reference field="41" count="1" selected="0">
            <x v="0"/>
          </reference>
        </references>
      </pivotArea>
    </format>
    <format dxfId="247">
      <pivotArea dataOnly="0" labelOnly="1" outline="0" fieldPosition="0">
        <references count="4">
          <reference field="34" count="1" selected="0">
            <x v="0"/>
          </reference>
          <reference field="38" count="2">
            <x v="1"/>
            <x v="18"/>
          </reference>
          <reference field="40" count="1" selected="0">
            <x v="3"/>
          </reference>
          <reference field="41" count="1" selected="0">
            <x v="1"/>
          </reference>
        </references>
      </pivotArea>
    </format>
    <format dxfId="246">
      <pivotArea dataOnly="0" labelOnly="1" outline="0" fieldPosition="0">
        <references count="4">
          <reference field="34" count="1" selected="0">
            <x v="0"/>
          </reference>
          <reference field="38" count="2">
            <x v="43"/>
            <x v="79"/>
          </reference>
          <reference field="40" count="1" selected="0">
            <x v="4"/>
          </reference>
          <reference field="41" count="1" selected="0">
            <x v="1"/>
          </reference>
        </references>
      </pivotArea>
    </format>
    <format dxfId="245">
      <pivotArea dataOnly="0" labelOnly="1" outline="0" fieldPosition="0">
        <references count="4">
          <reference field="34" count="1" selected="0">
            <x v="0"/>
          </reference>
          <reference field="38" count="1">
            <x v="3"/>
          </reference>
          <reference field="40" count="1" selected="0">
            <x v="5"/>
          </reference>
          <reference field="41" count="1" selected="0">
            <x v="1"/>
          </reference>
        </references>
      </pivotArea>
    </format>
    <format dxfId="244">
      <pivotArea dataOnly="0" labelOnly="1" outline="0" fieldPosition="0">
        <references count="4">
          <reference field="34" count="1" selected="0">
            <x v="0"/>
          </reference>
          <reference field="38" count="2">
            <x v="13"/>
            <x v="57"/>
          </reference>
          <reference field="40" count="1" selected="0">
            <x v="7"/>
          </reference>
          <reference field="41" count="1" selected="0">
            <x v="2"/>
          </reference>
        </references>
      </pivotArea>
    </format>
    <format dxfId="243">
      <pivotArea dataOnly="0" labelOnly="1" outline="0" fieldPosition="0">
        <references count="4">
          <reference field="34" count="1" selected="0">
            <x v="0"/>
          </reference>
          <reference field="38" count="1">
            <x v="53"/>
          </reference>
          <reference field="40" count="1" selected="0">
            <x v="0"/>
          </reference>
          <reference field="41" count="1" selected="0">
            <x v="3"/>
          </reference>
        </references>
      </pivotArea>
    </format>
    <format dxfId="242">
      <pivotArea dataOnly="0" labelOnly="1" outline="0" fieldPosition="0">
        <references count="4">
          <reference field="34" count="1" selected="0">
            <x v="0"/>
          </reference>
          <reference field="38" count="1">
            <x v="10"/>
          </reference>
          <reference field="40" count="1" selected="0">
            <x v="2"/>
          </reference>
          <reference field="41" count="1" selected="0">
            <x v="3"/>
          </reference>
        </references>
      </pivotArea>
    </format>
    <format dxfId="241">
      <pivotArea dataOnly="0" labelOnly="1" outline="0" fieldPosition="0">
        <references count="4">
          <reference field="34" count="1" selected="0">
            <x v="0"/>
          </reference>
          <reference field="38" count="8">
            <x v="9"/>
            <x v="22"/>
            <x v="38"/>
            <x v="52"/>
            <x v="58"/>
            <x v="59"/>
            <x v="74"/>
            <x v="76"/>
          </reference>
          <reference field="40" count="1" selected="0">
            <x v="8"/>
          </reference>
          <reference field="41" count="1" selected="0">
            <x v="3"/>
          </reference>
        </references>
      </pivotArea>
    </format>
    <format dxfId="240">
      <pivotArea dataOnly="0" labelOnly="1" outline="0" fieldPosition="0">
        <references count="4">
          <reference field="34" count="1" selected="0">
            <x v="0"/>
          </reference>
          <reference field="38" count="1">
            <x v="63"/>
          </reference>
          <reference field="40" count="1" selected="0">
            <x v="9"/>
          </reference>
          <reference field="41" count="1" selected="0">
            <x v="3"/>
          </reference>
        </references>
      </pivotArea>
    </format>
    <format dxfId="239">
      <pivotArea dataOnly="0" labelOnly="1" outline="0" fieldPosition="0">
        <references count="4">
          <reference field="34" count="1" selected="0">
            <x v="0"/>
          </reference>
          <reference field="38" count="2">
            <x v="50"/>
            <x v="64"/>
          </reference>
          <reference field="40" count="1" selected="0">
            <x v="10"/>
          </reference>
          <reference field="41" count="1" selected="0">
            <x v="4"/>
          </reference>
        </references>
      </pivotArea>
    </format>
    <format dxfId="238">
      <pivotArea dataOnly="0" labelOnly="1" outline="0" fieldPosition="0">
        <references count="4">
          <reference field="34" count="1" selected="0">
            <x v="0"/>
          </reference>
          <reference field="38" count="1">
            <x v="46"/>
          </reference>
          <reference field="40" count="1" selected="0">
            <x v="29"/>
          </reference>
          <reference field="41" count="1" selected="0">
            <x v="4"/>
          </reference>
        </references>
      </pivotArea>
    </format>
    <format dxfId="237">
      <pivotArea dataOnly="0" labelOnly="1" outline="0" fieldPosition="0">
        <references count="4">
          <reference field="34" count="1" selected="0">
            <x v="0"/>
          </reference>
          <reference field="38" count="3">
            <x v="8"/>
            <x v="41"/>
            <x v="75"/>
          </reference>
          <reference field="40" count="1" selected="0">
            <x v="14"/>
          </reference>
          <reference field="41" count="1" selected="0">
            <x v="5"/>
          </reference>
        </references>
      </pivotArea>
    </format>
    <format dxfId="236">
      <pivotArea dataOnly="0" labelOnly="1" outline="0" fieldPosition="0">
        <references count="4">
          <reference field="34" count="1" selected="0">
            <x v="0"/>
          </reference>
          <reference field="38" count="2">
            <x v="14"/>
            <x v="82"/>
          </reference>
          <reference field="40" count="1" selected="0">
            <x v="17"/>
          </reference>
          <reference field="41" count="1" selected="0">
            <x v="5"/>
          </reference>
        </references>
      </pivotArea>
    </format>
    <format dxfId="235">
      <pivotArea dataOnly="0" labelOnly="1" outline="0" fieldPosition="0">
        <references count="4">
          <reference field="34" count="1" selected="0">
            <x v="0"/>
          </reference>
          <reference field="38" count="1">
            <x v="47"/>
          </reference>
          <reference field="40" count="1" selected="0">
            <x v="19"/>
          </reference>
          <reference field="41" count="1" selected="0">
            <x v="5"/>
          </reference>
        </references>
      </pivotArea>
    </format>
    <format dxfId="234">
      <pivotArea dataOnly="0" labelOnly="1" outline="0" fieldPosition="0">
        <references count="4">
          <reference field="34" count="1" selected="0">
            <x v="0"/>
          </reference>
          <reference field="38" count="9">
            <x v="6"/>
            <x v="12"/>
            <x v="24"/>
            <x v="25"/>
            <x v="26"/>
            <x v="27"/>
            <x v="36"/>
            <x v="45"/>
            <x v="56"/>
          </reference>
          <reference field="40" count="1" selected="0">
            <x v="25"/>
          </reference>
          <reference field="41" count="1" selected="0">
            <x v="5"/>
          </reference>
        </references>
      </pivotArea>
    </format>
    <format dxfId="233">
      <pivotArea dataOnly="0" labelOnly="1" outline="0" fieldPosition="0">
        <references count="4">
          <reference field="34" count="1" selected="0">
            <x v="0"/>
          </reference>
          <reference field="38" count="1">
            <x v="29"/>
          </reference>
          <reference field="40" count="1" selected="0">
            <x v="12"/>
          </reference>
          <reference field="41" count="1" selected="0">
            <x v="6"/>
          </reference>
        </references>
      </pivotArea>
    </format>
    <format dxfId="232">
      <pivotArea dataOnly="0" labelOnly="1" outline="0" fieldPosition="0">
        <references count="4">
          <reference field="34" count="1" selected="0">
            <x v="0"/>
          </reference>
          <reference field="38" count="4">
            <x v="28"/>
            <x v="42"/>
            <x v="55"/>
            <x v="83"/>
          </reference>
          <reference field="40" count="1" selected="0">
            <x v="21"/>
          </reference>
          <reference field="41" count="1" selected="0">
            <x v="7"/>
          </reference>
        </references>
      </pivotArea>
    </format>
    <format dxfId="231">
      <pivotArea dataOnly="0" labelOnly="1" outline="0" fieldPosition="0">
        <references count="4">
          <reference field="34" count="1" selected="0">
            <x v="0"/>
          </reference>
          <reference field="38" count="5">
            <x v="5"/>
            <x v="7"/>
            <x v="11"/>
            <x v="17"/>
            <x v="78"/>
          </reference>
          <reference field="40" count="1" selected="0">
            <x v="23"/>
          </reference>
          <reference field="41" count="1" selected="0">
            <x v="8"/>
          </reference>
        </references>
      </pivotArea>
    </format>
    <format dxfId="230">
      <pivotArea dataOnly="0" labelOnly="1" outline="0" fieldPosition="0">
        <references count="4">
          <reference field="34" count="1" selected="0">
            <x v="0"/>
          </reference>
          <reference field="38" count="3">
            <x v="73"/>
            <x v="77"/>
            <x v="90"/>
          </reference>
          <reference field="40" count="1" selected="0">
            <x v="31"/>
          </reference>
          <reference field="41" count="1" selected="0">
            <x v="9"/>
          </reference>
        </references>
      </pivotArea>
    </format>
    <format dxfId="229">
      <pivotArea dataOnly="0" labelOnly="1" outline="0" fieldPosition="0">
        <references count="4">
          <reference field="34" count="1" selected="0">
            <x v="0"/>
          </reference>
          <reference field="38" count="1">
            <x v="61"/>
          </reference>
          <reference field="40" count="1" selected="0">
            <x v="22"/>
          </reference>
          <reference field="41" count="1" selected="0">
            <x v="10"/>
          </reference>
        </references>
      </pivotArea>
    </format>
    <format dxfId="228">
      <pivotArea dataOnly="0" labelOnly="1" outline="0" fieldPosition="0">
        <references count="4">
          <reference field="34" count="1" selected="0">
            <x v="0"/>
          </reference>
          <reference field="38" count="3">
            <x v="32"/>
            <x v="62"/>
            <x v="72"/>
          </reference>
          <reference field="40" count="1" selected="0">
            <x v="26"/>
          </reference>
          <reference field="41" count="1" selected="0">
            <x v="10"/>
          </reference>
        </references>
      </pivotArea>
    </format>
    <format dxfId="227">
      <pivotArea dataOnly="0" labelOnly="1" outline="0" fieldPosition="0">
        <references count="4">
          <reference field="34" count="1" selected="0">
            <x v="0"/>
          </reference>
          <reference field="38" count="2">
            <x v="2"/>
            <x v="88"/>
          </reference>
          <reference field="40" count="1" selected="0">
            <x v="27"/>
          </reference>
          <reference field="41" count="1" selected="0">
            <x v="10"/>
          </reference>
        </references>
      </pivotArea>
    </format>
    <format dxfId="226">
      <pivotArea dataOnly="0" labelOnly="1" outline="0" fieldPosition="0">
        <references count="4">
          <reference field="34" count="1" selected="0">
            <x v="0"/>
          </reference>
          <reference field="38" count="15">
            <x v="4"/>
            <x v="16"/>
            <x v="19"/>
            <x v="44"/>
            <x v="48"/>
            <x v="54"/>
            <x v="60"/>
            <x v="65"/>
            <x v="66"/>
            <x v="67"/>
            <x v="68"/>
            <x v="80"/>
            <x v="84"/>
            <x v="85"/>
            <x v="89"/>
          </reference>
          <reference field="40" count="1" selected="0">
            <x v="32"/>
          </reference>
          <reference field="41" count="1" selected="0">
            <x v="10"/>
          </reference>
        </references>
      </pivotArea>
    </format>
    <format dxfId="225">
      <pivotArea dataOnly="0" labelOnly="1" outline="0" fieldPosition="0">
        <references count="4">
          <reference field="34" count="1" selected="0">
            <x v="0"/>
          </reference>
          <reference field="38" count="1">
            <x v="91"/>
          </reference>
          <reference field="40" count="1" selected="0">
            <x v="33"/>
          </reference>
          <reference field="41" count="1" selected="0">
            <x v="11"/>
          </reference>
        </references>
      </pivotArea>
    </format>
    <format dxfId="224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20"/>
          </reference>
          <reference field="39" count="1">
            <x v="68"/>
          </reference>
          <reference field="40" count="1" selected="0">
            <x v="1"/>
          </reference>
          <reference field="41" count="1" selected="0">
            <x v="0"/>
          </reference>
        </references>
      </pivotArea>
    </format>
    <format dxfId="223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31"/>
          </reference>
          <reference field="39" count="1">
            <x v="16"/>
          </reference>
          <reference field="40" count="1" selected="0">
            <x v="1"/>
          </reference>
          <reference field="41" count="1" selected="0">
            <x v="0"/>
          </reference>
        </references>
      </pivotArea>
    </format>
    <format dxfId="222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39"/>
          </reference>
          <reference field="39" count="1">
            <x v="22"/>
          </reference>
          <reference field="40" count="1" selected="0">
            <x v="11"/>
          </reference>
          <reference field="41" count="1" selected="0">
            <x v="0"/>
          </reference>
        </references>
      </pivotArea>
    </format>
    <format dxfId="221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49"/>
          </reference>
          <reference field="39" count="1">
            <x v="62"/>
          </reference>
          <reference field="40" count="1" selected="0">
            <x v="11"/>
          </reference>
          <reference field="41" count="1" selected="0">
            <x v="0"/>
          </reference>
        </references>
      </pivotArea>
    </format>
    <format dxfId="220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69"/>
          </reference>
          <reference field="39" count="1">
            <x v="4"/>
          </reference>
          <reference field="40" count="1" selected="0">
            <x v="11"/>
          </reference>
          <reference field="41" count="1" selected="0">
            <x v="0"/>
          </reference>
        </references>
      </pivotArea>
    </format>
    <format dxfId="219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71"/>
          </reference>
          <reference field="39" count="1">
            <x v="34"/>
          </reference>
          <reference field="40" count="1" selected="0">
            <x v="11"/>
          </reference>
          <reference field="41" count="1" selected="0">
            <x v="0"/>
          </reference>
        </references>
      </pivotArea>
    </format>
    <format dxfId="218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33"/>
          </reference>
          <reference field="39" count="1">
            <x v="59"/>
          </reference>
          <reference field="40" count="1" selected="0">
            <x v="16"/>
          </reference>
          <reference field="41" count="1" selected="0">
            <x v="0"/>
          </reference>
        </references>
      </pivotArea>
    </format>
    <format dxfId="217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0"/>
          </reference>
          <reference field="39" count="1">
            <x v="18"/>
          </reference>
          <reference field="40" count="1" selected="0">
            <x v="18"/>
          </reference>
          <reference field="41" count="1" selected="0">
            <x v="0"/>
          </reference>
        </references>
      </pivotArea>
    </format>
    <format dxfId="216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81"/>
          </reference>
          <reference field="39" count="1">
            <x v="68"/>
          </reference>
          <reference field="40" count="1" selected="0">
            <x v="20"/>
          </reference>
          <reference field="41" count="1" selected="0">
            <x v="0"/>
          </reference>
        </references>
      </pivotArea>
    </format>
    <format dxfId="215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70"/>
          </reference>
          <reference field="39" count="1">
            <x v="18"/>
          </reference>
          <reference field="40" count="1" selected="0">
            <x v="24"/>
          </reference>
          <reference field="41" count="1" selected="0">
            <x v="0"/>
          </reference>
        </references>
      </pivotArea>
    </format>
    <format dxfId="214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37"/>
          </reference>
          <reference field="39" count="1">
            <x v="64"/>
          </reference>
          <reference field="40" count="1" selected="0">
            <x v="28"/>
          </reference>
          <reference field="41" count="1" selected="0">
            <x v="0"/>
          </reference>
        </references>
      </pivotArea>
    </format>
    <format dxfId="213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86"/>
          </reference>
          <reference field="39" count="1">
            <x v="67"/>
          </reference>
          <reference field="40" count="1" selected="0">
            <x v="30"/>
          </reference>
          <reference field="41" count="1" selected="0">
            <x v="0"/>
          </reference>
        </references>
      </pivotArea>
    </format>
    <format dxfId="212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1"/>
          </reference>
          <reference field="39" count="1">
            <x v="47"/>
          </reference>
          <reference field="40" count="1" selected="0">
            <x v="3"/>
          </reference>
          <reference field="41" count="1" selected="0">
            <x v="1"/>
          </reference>
        </references>
      </pivotArea>
    </format>
    <format dxfId="211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18"/>
          </reference>
          <reference field="39" count="1">
            <x v="6"/>
          </reference>
          <reference field="40" count="1" selected="0">
            <x v="3"/>
          </reference>
          <reference field="41" count="1" selected="0">
            <x v="1"/>
          </reference>
        </references>
      </pivotArea>
    </format>
    <format dxfId="210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43"/>
          </reference>
          <reference field="39" count="1">
            <x v="17"/>
          </reference>
          <reference field="40" count="1" selected="0">
            <x v="4"/>
          </reference>
          <reference field="41" count="1" selected="0">
            <x v="1"/>
          </reference>
        </references>
      </pivotArea>
    </format>
    <format dxfId="209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79"/>
          </reference>
          <reference field="39" count="1">
            <x v="54"/>
          </reference>
          <reference field="40" count="1" selected="0">
            <x v="4"/>
          </reference>
          <reference field="41" count="1" selected="0">
            <x v="1"/>
          </reference>
        </references>
      </pivotArea>
    </format>
    <format dxfId="208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3"/>
          </reference>
          <reference field="39" count="1">
            <x v="61"/>
          </reference>
          <reference field="40" count="1" selected="0">
            <x v="5"/>
          </reference>
          <reference field="41" count="1" selected="0">
            <x v="1"/>
          </reference>
        </references>
      </pivotArea>
    </format>
    <format dxfId="207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13"/>
          </reference>
          <reference field="39" count="1">
            <x v="37"/>
          </reference>
          <reference field="40" count="1" selected="0">
            <x v="7"/>
          </reference>
          <reference field="41" count="1" selected="0">
            <x v="2"/>
          </reference>
        </references>
      </pivotArea>
    </format>
    <format dxfId="206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57"/>
          </reference>
          <reference field="39" count="1">
            <x v="36"/>
          </reference>
          <reference field="40" count="1" selected="0">
            <x v="7"/>
          </reference>
          <reference field="41" count="1" selected="0">
            <x v="2"/>
          </reference>
        </references>
      </pivotArea>
    </format>
    <format dxfId="205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53"/>
          </reference>
          <reference field="39" count="1">
            <x v="13"/>
          </reference>
          <reference field="40" count="1" selected="0">
            <x v="0"/>
          </reference>
          <reference field="41" count="1" selected="0">
            <x v="3"/>
          </reference>
        </references>
      </pivotArea>
    </format>
    <format dxfId="204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10"/>
          </reference>
          <reference field="39" count="1">
            <x v="14"/>
          </reference>
          <reference field="40" count="1" selected="0">
            <x v="2"/>
          </reference>
          <reference field="41" count="1" selected="0">
            <x v="3"/>
          </reference>
        </references>
      </pivotArea>
    </format>
    <format dxfId="203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9"/>
          </reference>
          <reference field="39" count="1">
            <x v="12"/>
          </reference>
          <reference field="40" count="1" selected="0">
            <x v="8"/>
          </reference>
          <reference field="41" count="1" selected="0">
            <x v="3"/>
          </reference>
        </references>
      </pivotArea>
    </format>
    <format dxfId="202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22"/>
          </reference>
          <reference field="39" count="1">
            <x v="9"/>
          </reference>
          <reference field="40" count="1" selected="0">
            <x v="8"/>
          </reference>
          <reference field="41" count="1" selected="0">
            <x v="3"/>
          </reference>
        </references>
      </pivotArea>
    </format>
    <format dxfId="201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38"/>
          </reference>
          <reference field="39" count="1">
            <x v="55"/>
          </reference>
          <reference field="40" count="1" selected="0">
            <x v="8"/>
          </reference>
          <reference field="41" count="1" selected="0">
            <x v="3"/>
          </reference>
        </references>
      </pivotArea>
    </format>
    <format dxfId="200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59"/>
          </reference>
          <reference field="39" count="1">
            <x v="19"/>
          </reference>
          <reference field="40" count="1" selected="0">
            <x v="8"/>
          </reference>
          <reference field="41" count="1" selected="0">
            <x v="3"/>
          </reference>
        </references>
      </pivotArea>
    </format>
    <format dxfId="199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74"/>
          </reference>
          <reference field="39" count="1">
            <x v="7"/>
          </reference>
          <reference field="40" count="1" selected="0">
            <x v="8"/>
          </reference>
          <reference field="41" count="1" selected="0">
            <x v="3"/>
          </reference>
        </references>
      </pivotArea>
    </format>
    <format dxfId="198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76"/>
          </reference>
          <reference field="39" count="1">
            <x v="60"/>
          </reference>
          <reference field="40" count="1" selected="0">
            <x v="8"/>
          </reference>
          <reference field="41" count="1" selected="0">
            <x v="3"/>
          </reference>
        </references>
      </pivotArea>
    </format>
    <format dxfId="197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63"/>
          </reference>
          <reference field="39" count="1">
            <x v="20"/>
          </reference>
          <reference field="40" count="1" selected="0">
            <x v="9"/>
          </reference>
          <reference field="41" count="1" selected="0">
            <x v="3"/>
          </reference>
        </references>
      </pivotArea>
    </format>
    <format dxfId="196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50"/>
          </reference>
          <reference field="39" count="1">
            <x v="39"/>
          </reference>
          <reference field="40" count="1" selected="0">
            <x v="10"/>
          </reference>
          <reference field="41" count="1" selected="0">
            <x v="4"/>
          </reference>
        </references>
      </pivotArea>
    </format>
    <format dxfId="195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64"/>
          </reference>
          <reference field="39" count="1">
            <x v="30"/>
          </reference>
          <reference field="40" count="1" selected="0">
            <x v="10"/>
          </reference>
          <reference field="41" count="1" selected="0">
            <x v="4"/>
          </reference>
        </references>
      </pivotArea>
    </format>
    <format dxfId="194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46"/>
          </reference>
          <reference field="39" count="1">
            <x v="2"/>
          </reference>
          <reference field="40" count="1" selected="0">
            <x v="29"/>
          </reference>
          <reference field="41" count="1" selected="0">
            <x v="4"/>
          </reference>
        </references>
      </pivotArea>
    </format>
    <format dxfId="193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8"/>
          </reference>
          <reference field="39" count="1">
            <x v="65"/>
          </reference>
          <reference field="40" count="1" selected="0">
            <x v="14"/>
          </reference>
          <reference field="41" count="1" selected="0">
            <x v="5"/>
          </reference>
        </references>
      </pivotArea>
    </format>
    <format dxfId="192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41"/>
          </reference>
          <reference field="39" count="1">
            <x v="49"/>
          </reference>
          <reference field="40" count="1" selected="0">
            <x v="14"/>
          </reference>
          <reference field="41" count="1" selected="0">
            <x v="5"/>
          </reference>
        </references>
      </pivotArea>
    </format>
    <format dxfId="191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75"/>
          </reference>
          <reference field="39" count="1">
            <x v="65"/>
          </reference>
          <reference field="40" count="1" selected="0">
            <x v="14"/>
          </reference>
          <reference field="41" count="1" selected="0">
            <x v="5"/>
          </reference>
        </references>
      </pivotArea>
    </format>
    <format dxfId="190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14"/>
          </reference>
          <reference field="39" count="1">
            <x v="66"/>
          </reference>
          <reference field="40" count="1" selected="0">
            <x v="17"/>
          </reference>
          <reference field="41" count="1" selected="0">
            <x v="5"/>
          </reference>
        </references>
      </pivotArea>
    </format>
    <format dxfId="189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82"/>
          </reference>
          <reference field="39" count="1">
            <x v="69"/>
          </reference>
          <reference field="40" count="1" selected="0">
            <x v="17"/>
          </reference>
          <reference field="41" count="1" selected="0">
            <x v="5"/>
          </reference>
        </references>
      </pivotArea>
    </format>
    <format dxfId="188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47"/>
          </reference>
          <reference field="39" count="1">
            <x v="70"/>
          </reference>
          <reference field="40" count="1" selected="0">
            <x v="19"/>
          </reference>
          <reference field="41" count="1" selected="0">
            <x v="5"/>
          </reference>
        </references>
      </pivotArea>
    </format>
    <format dxfId="187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6"/>
          </reference>
          <reference field="39" count="1">
            <x v="44"/>
          </reference>
          <reference field="40" count="1" selected="0">
            <x v="25"/>
          </reference>
          <reference field="41" count="1" selected="0">
            <x v="5"/>
          </reference>
        </references>
      </pivotArea>
    </format>
    <format dxfId="186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12"/>
          </reference>
          <reference field="39" count="1">
            <x v="15"/>
          </reference>
          <reference field="40" count="1" selected="0">
            <x v="25"/>
          </reference>
          <reference field="41" count="1" selected="0">
            <x v="5"/>
          </reference>
        </references>
      </pivotArea>
    </format>
    <format dxfId="185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24"/>
          </reference>
          <reference field="39" count="1">
            <x v="57"/>
          </reference>
          <reference field="40" count="1" selected="0">
            <x v="25"/>
          </reference>
          <reference field="41" count="1" selected="0">
            <x v="5"/>
          </reference>
        </references>
      </pivotArea>
    </format>
    <format dxfId="184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36"/>
          </reference>
          <reference field="39" count="1">
            <x v="58"/>
          </reference>
          <reference field="40" count="1" selected="0">
            <x v="25"/>
          </reference>
          <reference field="41" count="1" selected="0">
            <x v="5"/>
          </reference>
        </references>
      </pivotArea>
    </format>
    <format dxfId="183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45"/>
          </reference>
          <reference field="39" count="1">
            <x v="51"/>
          </reference>
          <reference field="40" count="1" selected="0">
            <x v="25"/>
          </reference>
          <reference field="41" count="1" selected="0">
            <x v="5"/>
          </reference>
        </references>
      </pivotArea>
    </format>
    <format dxfId="182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56"/>
          </reference>
          <reference field="39" count="1">
            <x v="57"/>
          </reference>
          <reference field="40" count="1" selected="0">
            <x v="25"/>
          </reference>
          <reference field="41" count="1" selected="0">
            <x v="5"/>
          </reference>
        </references>
      </pivotArea>
    </format>
    <format dxfId="181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29"/>
          </reference>
          <reference field="39" count="1">
            <x v="10"/>
          </reference>
          <reference field="40" count="1" selected="0">
            <x v="12"/>
          </reference>
          <reference field="41" count="1" selected="0">
            <x v="6"/>
          </reference>
        </references>
      </pivotArea>
    </format>
    <format dxfId="180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28"/>
          </reference>
          <reference field="39" count="1">
            <x v="0"/>
          </reference>
          <reference field="40" count="1" selected="0">
            <x v="21"/>
          </reference>
          <reference field="41" count="1" selected="0">
            <x v="7"/>
          </reference>
        </references>
      </pivotArea>
    </format>
    <format dxfId="179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42"/>
          </reference>
          <reference field="39" count="1">
            <x v="72"/>
          </reference>
          <reference field="40" count="1" selected="0">
            <x v="21"/>
          </reference>
          <reference field="41" count="1" selected="0">
            <x v="7"/>
          </reference>
        </references>
      </pivotArea>
    </format>
    <format dxfId="178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55"/>
          </reference>
          <reference field="39" count="1">
            <x v="56"/>
          </reference>
          <reference field="40" count="1" selected="0">
            <x v="21"/>
          </reference>
          <reference field="41" count="1" selected="0">
            <x v="7"/>
          </reference>
        </references>
      </pivotArea>
    </format>
    <format dxfId="177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83"/>
          </reference>
          <reference field="39" count="1">
            <x v="41"/>
          </reference>
          <reference field="40" count="1" selected="0">
            <x v="21"/>
          </reference>
          <reference field="41" count="1" selected="0">
            <x v="7"/>
          </reference>
        </references>
      </pivotArea>
    </format>
    <format dxfId="176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5"/>
          </reference>
          <reference field="39" count="1">
            <x v="75"/>
          </reference>
          <reference field="40" count="1" selected="0">
            <x v="23"/>
          </reference>
          <reference field="41" count="1" selected="0">
            <x v="8"/>
          </reference>
        </references>
      </pivotArea>
    </format>
    <format dxfId="175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7"/>
          </reference>
          <reference field="39" count="1">
            <x v="32"/>
          </reference>
          <reference field="40" count="1" selected="0">
            <x v="23"/>
          </reference>
          <reference field="41" count="1" selected="0">
            <x v="8"/>
          </reference>
        </references>
      </pivotArea>
    </format>
    <format dxfId="174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11"/>
          </reference>
          <reference field="39" count="1">
            <x v="11"/>
          </reference>
          <reference field="40" count="1" selected="0">
            <x v="23"/>
          </reference>
          <reference field="41" count="1" selected="0">
            <x v="8"/>
          </reference>
        </references>
      </pivotArea>
    </format>
    <format dxfId="173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17"/>
          </reference>
          <reference field="39" count="1">
            <x v="35"/>
          </reference>
          <reference field="40" count="1" selected="0">
            <x v="23"/>
          </reference>
          <reference field="41" count="1" selected="0">
            <x v="8"/>
          </reference>
        </references>
      </pivotArea>
    </format>
    <format dxfId="172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78"/>
          </reference>
          <reference field="39" count="1">
            <x v="42"/>
          </reference>
          <reference field="40" count="1" selected="0">
            <x v="23"/>
          </reference>
          <reference field="41" count="1" selected="0">
            <x v="8"/>
          </reference>
        </references>
      </pivotArea>
    </format>
    <format dxfId="171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73"/>
          </reference>
          <reference field="39" count="1">
            <x v="3"/>
          </reference>
          <reference field="40" count="1" selected="0">
            <x v="31"/>
          </reference>
          <reference field="41" count="1" selected="0">
            <x v="9"/>
          </reference>
        </references>
      </pivotArea>
    </format>
    <format dxfId="170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77"/>
          </reference>
          <reference field="39" count="1">
            <x v="74"/>
          </reference>
          <reference field="40" count="1" selected="0">
            <x v="31"/>
          </reference>
          <reference field="41" count="1" selected="0">
            <x v="9"/>
          </reference>
        </references>
      </pivotArea>
    </format>
    <format dxfId="169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90"/>
          </reference>
          <reference field="39" count="1">
            <x v="43"/>
          </reference>
          <reference field="40" count="1" selected="0">
            <x v="31"/>
          </reference>
          <reference field="41" count="1" selected="0">
            <x v="9"/>
          </reference>
        </references>
      </pivotArea>
    </format>
    <format dxfId="168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61"/>
          </reference>
          <reference field="39" count="1">
            <x v="50"/>
          </reference>
          <reference field="40" count="1" selected="0">
            <x v="22"/>
          </reference>
          <reference field="41" count="1" selected="0">
            <x v="10"/>
          </reference>
        </references>
      </pivotArea>
    </format>
    <format dxfId="167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32"/>
          </reference>
          <reference field="39" count="1">
            <x v="1"/>
          </reference>
          <reference field="40" count="1" selected="0">
            <x v="26"/>
          </reference>
          <reference field="41" count="1" selected="0">
            <x v="10"/>
          </reference>
        </references>
      </pivotArea>
    </format>
    <format dxfId="166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62"/>
          </reference>
          <reference field="39" count="1">
            <x v="33"/>
          </reference>
          <reference field="40" count="1" selected="0">
            <x v="26"/>
          </reference>
          <reference field="41" count="1" selected="0">
            <x v="10"/>
          </reference>
        </references>
      </pivotArea>
    </format>
    <format dxfId="165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72"/>
          </reference>
          <reference field="39" count="1">
            <x v="1"/>
          </reference>
          <reference field="40" count="1" selected="0">
            <x v="26"/>
          </reference>
          <reference field="41" count="1" selected="0">
            <x v="10"/>
          </reference>
        </references>
      </pivotArea>
    </format>
    <format dxfId="164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2"/>
          </reference>
          <reference field="39" count="1">
            <x v="52"/>
          </reference>
          <reference field="40" count="1" selected="0">
            <x v="27"/>
          </reference>
          <reference field="41" count="1" selected="0">
            <x v="10"/>
          </reference>
        </references>
      </pivotArea>
    </format>
    <format dxfId="163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88"/>
          </reference>
          <reference field="39" count="1">
            <x v="23"/>
          </reference>
          <reference field="40" count="1" selected="0">
            <x v="27"/>
          </reference>
          <reference field="41" count="1" selected="0">
            <x v="10"/>
          </reference>
        </references>
      </pivotArea>
    </format>
    <format dxfId="162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4"/>
          </reference>
          <reference field="39" count="1">
            <x v="40"/>
          </reference>
          <reference field="40" count="1" selected="0">
            <x v="32"/>
          </reference>
          <reference field="41" count="1" selected="0">
            <x v="10"/>
          </reference>
        </references>
      </pivotArea>
    </format>
    <format dxfId="161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16"/>
          </reference>
          <reference field="39" count="1">
            <x v="25"/>
          </reference>
          <reference field="40" count="1" selected="0">
            <x v="32"/>
          </reference>
          <reference field="41" count="1" selected="0">
            <x v="10"/>
          </reference>
        </references>
      </pivotArea>
    </format>
    <format dxfId="160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19"/>
          </reference>
          <reference field="39" count="1">
            <x v="27"/>
          </reference>
          <reference field="40" count="1" selected="0">
            <x v="32"/>
          </reference>
          <reference field="41" count="1" selected="0">
            <x v="10"/>
          </reference>
        </references>
      </pivotArea>
    </format>
    <format dxfId="159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44"/>
          </reference>
          <reference field="39" count="1">
            <x v="24"/>
          </reference>
          <reference field="40" count="1" selected="0">
            <x v="32"/>
          </reference>
          <reference field="41" count="1" selected="0">
            <x v="10"/>
          </reference>
        </references>
      </pivotArea>
    </format>
    <format dxfId="158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60"/>
          </reference>
          <reference field="39" count="1">
            <x v="25"/>
          </reference>
          <reference field="40" count="1" selected="0">
            <x v="32"/>
          </reference>
          <reference field="41" count="1" selected="0">
            <x v="10"/>
          </reference>
        </references>
      </pivotArea>
    </format>
    <format dxfId="157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65"/>
          </reference>
          <reference field="39" count="1">
            <x v="24"/>
          </reference>
          <reference field="40" count="1" selected="0">
            <x v="32"/>
          </reference>
          <reference field="41" count="1" selected="0">
            <x v="10"/>
          </reference>
        </references>
      </pivotArea>
    </format>
    <format dxfId="156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66"/>
          </reference>
          <reference field="39" count="1">
            <x v="21"/>
          </reference>
          <reference field="40" count="1" selected="0">
            <x v="32"/>
          </reference>
          <reference field="41" count="1" selected="0">
            <x v="10"/>
          </reference>
        </references>
      </pivotArea>
    </format>
    <format dxfId="155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67"/>
          </reference>
          <reference field="39" count="1">
            <x v="8"/>
          </reference>
          <reference field="40" count="1" selected="0">
            <x v="32"/>
          </reference>
          <reference field="41" count="1" selected="0">
            <x v="10"/>
          </reference>
        </references>
      </pivotArea>
    </format>
    <format dxfId="154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68"/>
          </reference>
          <reference field="39" count="1">
            <x v="21"/>
          </reference>
          <reference field="40" count="1" selected="0">
            <x v="32"/>
          </reference>
          <reference field="41" count="1" selected="0">
            <x v="10"/>
          </reference>
        </references>
      </pivotArea>
    </format>
    <format dxfId="153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80"/>
          </reference>
          <reference field="39" count="1">
            <x v="38"/>
          </reference>
          <reference field="40" count="1" selected="0">
            <x v="32"/>
          </reference>
          <reference field="41" count="1" selected="0">
            <x v="10"/>
          </reference>
        </references>
      </pivotArea>
    </format>
    <format dxfId="152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84"/>
          </reference>
          <reference field="39" count="1">
            <x v="24"/>
          </reference>
          <reference field="40" count="1" selected="0">
            <x v="32"/>
          </reference>
          <reference field="41" count="1" selected="0">
            <x v="10"/>
          </reference>
        </references>
      </pivotArea>
    </format>
    <format dxfId="151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85"/>
          </reference>
          <reference field="39" count="1">
            <x v="45"/>
          </reference>
          <reference field="40" count="1" selected="0">
            <x v="32"/>
          </reference>
          <reference field="41" count="1" selected="0">
            <x v="10"/>
          </reference>
        </references>
      </pivotArea>
    </format>
    <format dxfId="150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89"/>
          </reference>
          <reference field="39" count="1">
            <x v="21"/>
          </reference>
          <reference field="40" count="1" selected="0">
            <x v="32"/>
          </reference>
          <reference field="41" count="1" selected="0">
            <x v="10"/>
          </reference>
        </references>
      </pivotArea>
    </format>
    <format dxfId="149">
      <pivotArea dataOnly="0" labelOnly="1" outline="0" fieldPosition="0">
        <references count="5">
          <reference field="34" count="1" selected="0">
            <x v="0"/>
          </reference>
          <reference field="38" count="1" selected="0">
            <x v="91"/>
          </reference>
          <reference field="39" count="1">
            <x v="76"/>
          </reference>
          <reference field="40" count="1" selected="0">
            <x v="33"/>
          </reference>
          <reference field="41" count="1" selected="0">
            <x v="11"/>
          </reference>
        </references>
      </pivotArea>
    </format>
    <format dxfId="148">
      <pivotArea dataOnly="0" labelOnly="1" outline="0" fieldPosition="0">
        <references count="11">
          <reference field="5" count="1" selected="0">
            <x v="6"/>
          </reference>
          <reference field="6" count="1" selected="0">
            <x v="1"/>
          </reference>
          <reference field="7" count="1" selected="0">
            <x v="3"/>
          </reference>
          <reference field="9" count="1">
            <x v="2"/>
          </reference>
          <reference field="19" count="1" selected="0">
            <x v="112"/>
          </reference>
          <reference field="20" count="1" selected="0">
            <x v="81"/>
          </reference>
          <reference field="34" count="1" selected="0">
            <x v="0"/>
          </reference>
          <reference field="38" count="1" selected="0">
            <x v="77"/>
          </reference>
          <reference field="39" count="1" selected="0">
            <x v="74"/>
          </reference>
          <reference field="40" count="1" selected="0">
            <x v="31"/>
          </reference>
          <reference field="41" count="1" selected="0">
            <x v="9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B2DA6-BC94-467C-9F0A-2FC3699A1BA6}" name="TablaDinámica1" cacheId="88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H25" firstHeaderRow="1" firstDataRow="1" firstDataCol="7"/>
  <pivotFields count="4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0">
        <item x="3"/>
        <item x="6"/>
        <item x="0"/>
        <item x="1"/>
        <item x="2"/>
        <item x="4"/>
        <item x="5"/>
        <item x="9"/>
        <item x="7"/>
        <item x="8"/>
      </items>
    </pivotField>
    <pivotField compact="0" outline="0" showAll="0"/>
    <pivotField axis="axisRow" compact="0" outline="0" showAll="0" defaultSubtotal="0">
      <items count="18">
        <item x="9"/>
        <item x="5"/>
        <item x="8"/>
        <item x="6"/>
        <item x="0"/>
        <item x="4"/>
        <item x="1"/>
        <item x="3"/>
        <item x="2"/>
        <item x="16"/>
        <item x="10"/>
        <item m="1" x="17"/>
        <item x="7"/>
        <item x="11"/>
        <item x="12"/>
        <item x="13"/>
        <item x="14"/>
        <item x="15"/>
      </items>
    </pivotField>
    <pivotField axis="axisRow" compact="0" outline="0" showAll="0" defaultSubtotal="0">
      <items count="57">
        <item x="7"/>
        <item x="10"/>
        <item x="9"/>
        <item x="22"/>
        <item x="23"/>
        <item x="8"/>
        <item x="21"/>
        <item x="2"/>
        <item m="1" x="55"/>
        <item x="0"/>
        <item x="6"/>
        <item x="20"/>
        <item x="4"/>
        <item x="19"/>
        <item x="18"/>
        <item x="1"/>
        <item x="5"/>
        <item x="24"/>
        <item x="13"/>
        <item x="14"/>
        <item m="1" x="54"/>
        <item x="3"/>
        <item x="11"/>
        <item x="25"/>
        <item x="26"/>
        <item x="27"/>
        <item x="28"/>
        <item x="12"/>
        <item m="1" x="56"/>
        <item x="15"/>
        <item x="29"/>
        <item m="1" x="53"/>
        <item x="16"/>
        <item x="17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</pivotField>
    <pivotField axis="axisRow" compact="0" outline="0" showAll="0" defaultSubtotal="0">
      <items count="262">
        <item m="1" x="261"/>
        <item x="18"/>
        <item x="25"/>
        <item x="2"/>
        <item x="136"/>
        <item x="1"/>
        <item x="98"/>
        <item x="154"/>
        <item x="104"/>
        <item x="137"/>
        <item x="95"/>
        <item x="75"/>
        <item x="111"/>
        <item x="62"/>
        <item x="67"/>
        <item x="149"/>
        <item x="7"/>
        <item x="92"/>
        <item x="147"/>
        <item x="143"/>
        <item x="139"/>
        <item x="91"/>
        <item x="63"/>
        <item x="82"/>
        <item x="146"/>
        <item x="64"/>
        <item x="115"/>
        <item x="127"/>
        <item x="99"/>
        <item x="96"/>
        <item x="110"/>
        <item x="108"/>
        <item x="152"/>
        <item x="57"/>
        <item x="130"/>
        <item x="121"/>
        <item x="112"/>
        <item x="117"/>
        <item x="129"/>
        <item x="23"/>
        <item x="120"/>
        <item x="153"/>
        <item x="113"/>
        <item x="131"/>
        <item x="126"/>
        <item x="122"/>
        <item x="118"/>
        <item x="116"/>
        <item x="58"/>
        <item x="24"/>
        <item x="109"/>
        <item x="124"/>
        <item x="125"/>
        <item x="128"/>
        <item x="0"/>
        <item x="11"/>
        <item x="150"/>
        <item x="114"/>
        <item x="56"/>
        <item x="68"/>
        <item x="90"/>
        <item x="138"/>
        <item x="60"/>
        <item x="87"/>
        <item x="9"/>
        <item x="144"/>
        <item x="103"/>
        <item x="14"/>
        <item x="161"/>
        <item x="61"/>
        <item x="159"/>
        <item x="102"/>
        <item x="70"/>
        <item x="55"/>
        <item x="74"/>
        <item x="15"/>
        <item x="72"/>
        <item x="66"/>
        <item x="89"/>
        <item x="81"/>
        <item x="105"/>
        <item x="8"/>
        <item x="78"/>
        <item x="107"/>
        <item x="73"/>
        <item x="65"/>
        <item x="88"/>
        <item x="10"/>
        <item x="100"/>
        <item x="53"/>
        <item x="59"/>
        <item x="69"/>
        <item x="77"/>
        <item x="141"/>
        <item x="86"/>
        <item x="93"/>
        <item x="142"/>
        <item x="12"/>
        <item x="13"/>
        <item x="156"/>
        <item x="123"/>
        <item x="151"/>
        <item x="84"/>
        <item x="101"/>
        <item x="155"/>
        <item x="49"/>
        <item x="80"/>
        <item x="76"/>
        <item x="54"/>
        <item x="160"/>
        <item x="85"/>
        <item x="148"/>
        <item x="158"/>
        <item x="71"/>
        <item x="16"/>
        <item x="83"/>
        <item x="48"/>
        <item x="119"/>
        <item x="79"/>
        <item x="52"/>
        <item x="140"/>
        <item x="106"/>
        <item x="17"/>
        <item x="94"/>
        <item x="50"/>
        <item x="97"/>
        <item x="26"/>
        <item x="157"/>
        <item x="145"/>
        <item x="36"/>
        <item x="132"/>
        <item x="133"/>
        <item x="135"/>
        <item x="134"/>
        <item x="34"/>
        <item x="32"/>
        <item x="43"/>
        <item x="28"/>
        <item x="41"/>
        <item x="33"/>
        <item x="37"/>
        <item x="45"/>
        <item x="44"/>
        <item x="29"/>
        <item x="46"/>
        <item x="40"/>
        <item x="42"/>
        <item x="30"/>
        <item x="31"/>
        <item x="4"/>
        <item x="21"/>
        <item x="5"/>
        <item x="22"/>
        <item x="6"/>
        <item x="20"/>
        <item x="51"/>
        <item x="162"/>
        <item x="3"/>
        <item x="163"/>
        <item x="164"/>
        <item x="165"/>
        <item x="166"/>
        <item x="167"/>
        <item x="168"/>
        <item x="169"/>
        <item x="170"/>
        <item x="27"/>
        <item x="38"/>
        <item x="39"/>
        <item x="47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19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35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42">
        <item x="66"/>
        <item x="92"/>
        <item x="9"/>
        <item m="1" x="137"/>
        <item x="54"/>
        <item x="84"/>
        <item x="8"/>
        <item x="51"/>
        <item x="36"/>
        <item x="100"/>
        <item x="82"/>
        <item x="10"/>
        <item x="74"/>
        <item x="90"/>
        <item x="102"/>
        <item m="1" x="136"/>
        <item x="98"/>
        <item x="45"/>
        <item x="58"/>
        <item x="60"/>
        <item m="1" x="139"/>
        <item x="38"/>
        <item x="86"/>
        <item m="1" x="138"/>
        <item x="95"/>
        <item x="71"/>
        <item x="3"/>
        <item x="93"/>
        <item x="48"/>
        <item x="34"/>
        <item x="41"/>
        <item x="61"/>
        <item x="46"/>
        <item x="67"/>
        <item x="44"/>
        <item x="11"/>
        <item x="47"/>
        <item m="1" x="133"/>
        <item x="39"/>
        <item x="30"/>
        <item x="53"/>
        <item x="96"/>
        <item x="70"/>
        <item x="43"/>
        <item x="85"/>
        <item x="40"/>
        <item x="91"/>
        <item m="1" x="140"/>
        <item x="76"/>
        <item x="57"/>
        <item x="72"/>
        <item x="68"/>
        <item x="59"/>
        <item x="73"/>
        <item x="88"/>
        <item x="62"/>
        <item x="63"/>
        <item m="1" x="135"/>
        <item x="69"/>
        <item x="101"/>
        <item x="52"/>
        <item x="33"/>
        <item x="75"/>
        <item x="64"/>
        <item x="56"/>
        <item x="83"/>
        <item x="81"/>
        <item x="35"/>
        <item x="97"/>
        <item x="79"/>
        <item x="13"/>
        <item x="15"/>
        <item x="24"/>
        <item x="19"/>
        <item x="25"/>
        <item x="17"/>
        <item x="12"/>
        <item x="20"/>
        <item x="28"/>
        <item x="22"/>
        <item x="31"/>
        <item x="32"/>
        <item x="26"/>
        <item x="16"/>
        <item x="23"/>
        <item x="21"/>
        <item x="27"/>
        <item x="29"/>
        <item x="14"/>
        <item x="18"/>
        <item x="55"/>
        <item x="1"/>
        <item x="106"/>
        <item x="103"/>
        <item x="99"/>
        <item m="1" x="141"/>
        <item x="113"/>
        <item x="37"/>
        <item x="89"/>
        <item x="104"/>
        <item x="42"/>
        <item x="80"/>
        <item x="94"/>
        <item x="77"/>
        <item x="78"/>
        <item x="50"/>
        <item x="105"/>
        <item x="6"/>
        <item m="1" x="134"/>
        <item x="5"/>
        <item x="87"/>
        <item m="1" x="132"/>
        <item m="1" x="131"/>
        <item x="107"/>
        <item x="0"/>
        <item x="4"/>
        <item x="65"/>
        <item x="109"/>
        <item x="2"/>
        <item m="1" x="130"/>
        <item x="7"/>
        <item x="112"/>
        <item x="114"/>
        <item x="115"/>
        <item x="116"/>
        <item x="117"/>
        <item x="118"/>
        <item x="119"/>
        <item x="120"/>
        <item x="121"/>
        <item x="108"/>
        <item x="110"/>
        <item x="111"/>
        <item x="122"/>
        <item x="123"/>
        <item x="124"/>
        <item x="125"/>
        <item x="126"/>
        <item x="49"/>
        <item x="127"/>
        <item x="128"/>
        <item x="129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defaultSubtotal="0">
      <items count="3">
        <item h="1" x="0"/>
        <item x="1"/>
        <item h="1" x="2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15">
        <item x="27"/>
        <item x="22"/>
        <item x="21"/>
        <item x="20"/>
        <item x="25"/>
        <item x="23"/>
        <item x="19"/>
        <item x="24"/>
        <item x="26"/>
        <item x="15"/>
        <item x="11"/>
        <item x="9"/>
        <item x="10"/>
        <item x="41"/>
        <item x="18"/>
        <item x="16"/>
        <item x="17"/>
        <item x="28"/>
        <item x="12"/>
        <item x="14"/>
        <item x="13"/>
        <item x="39"/>
        <item x="3"/>
        <item x="37"/>
        <item x="31"/>
        <item x="1"/>
        <item x="34"/>
        <item x="29"/>
        <item x="5"/>
        <item x="8"/>
        <item x="2"/>
        <item x="40"/>
        <item x="7"/>
        <item x="6"/>
        <item x="35"/>
        <item x="0"/>
        <item x="52"/>
        <item m="1" x="114"/>
        <item x="50"/>
        <item x="53"/>
        <item x="55"/>
        <item m="1" x="113"/>
        <item x="57"/>
        <item x="58"/>
        <item x="59"/>
        <item x="47"/>
        <item x="45"/>
        <item x="61"/>
        <item x="62"/>
        <item x="63"/>
        <item x="56"/>
        <item x="64"/>
        <item x="44"/>
        <item m="1" x="104"/>
        <item m="1" x="105"/>
        <item m="1" x="106"/>
        <item x="33"/>
        <item m="1" x="107"/>
        <item m="1" x="108"/>
        <item m="1" x="109"/>
        <item m="1" x="110"/>
        <item x="43"/>
        <item m="1" x="111"/>
        <item m="1" x="112"/>
        <item m="1" x="100"/>
        <item m="1" x="101"/>
        <item x="74"/>
        <item x="48"/>
        <item x="49"/>
        <item x="75"/>
        <item x="51"/>
        <item x="76"/>
        <item x="60"/>
        <item x="77"/>
        <item x="78"/>
        <item x="68"/>
        <item x="36"/>
        <item x="32"/>
        <item x="80"/>
        <item m="1" x="103"/>
        <item x="46"/>
        <item x="4"/>
        <item x="38"/>
        <item x="54"/>
        <item x="73"/>
        <item x="79"/>
        <item x="81"/>
        <item x="82"/>
        <item x="83"/>
        <item m="1" x="102"/>
        <item x="85"/>
        <item x="86"/>
        <item x="87"/>
        <item x="84"/>
        <item x="88"/>
        <item x="42"/>
        <item x="65"/>
        <item x="66"/>
        <item x="67"/>
        <item x="69"/>
        <item x="70"/>
        <item x="71"/>
        <item x="72"/>
        <item x="89"/>
        <item x="90"/>
        <item m="1" x="99"/>
        <item x="91"/>
        <item x="92"/>
        <item x="93"/>
        <item x="94"/>
        <item m="1" x="98"/>
        <item x="95"/>
        <item x="96"/>
        <item x="30"/>
        <item x="97"/>
      </items>
    </pivotField>
  </pivotFields>
  <rowFields count="7">
    <field x="34"/>
    <field x="5"/>
    <field x="7"/>
    <field x="8"/>
    <field x="9"/>
    <field x="19"/>
    <field x="42"/>
  </rowFields>
  <rowItems count="22">
    <i>
      <x v="1"/>
      <x v="1"/>
      <x/>
      <x v="32"/>
      <x v="129"/>
      <x v="85"/>
      <x v="14"/>
    </i>
    <i r="3">
      <x v="33"/>
      <x v="167"/>
      <x v="84"/>
      <x v="3"/>
    </i>
    <i r="4">
      <x v="168"/>
      <x v="72"/>
      <x v="3"/>
    </i>
    <i r="2">
      <x v="2"/>
      <x v="18"/>
      <x v="134"/>
      <x v="73"/>
      <x v="15"/>
    </i>
    <i r="4">
      <x v="135"/>
      <x v="75"/>
      <x v="19"/>
    </i>
    <i r="4">
      <x v="136"/>
      <x v="78"/>
      <x v="7"/>
    </i>
    <i r="4">
      <x v="137"/>
      <x v="70"/>
      <x v="12"/>
    </i>
    <i r="4">
      <x v="138"/>
      <x v="82"/>
      <x v="1"/>
    </i>
    <i r="4">
      <x v="139"/>
      <x v="89"/>
      <x v="9"/>
    </i>
    <i r="4">
      <x v="140"/>
      <x v="79"/>
      <x v="6"/>
    </i>
    <i r="4">
      <x v="141"/>
      <x v="39"/>
      <x v="8"/>
    </i>
    <i r="4">
      <x v="142"/>
      <x v="87"/>
      <x v="4"/>
    </i>
    <i r="3">
      <x v="19"/>
      <x v="143"/>
      <x v="88"/>
      <x v="10"/>
    </i>
    <i r="4">
      <x v="144"/>
      <x v="80"/>
      <x/>
    </i>
    <i r="4">
      <x v="145"/>
      <x v="74"/>
      <x v="2"/>
    </i>
    <i r="4">
      <x v="146"/>
      <x v="86"/>
      <x v="5"/>
    </i>
    <i r="4">
      <x v="147"/>
      <x v="71"/>
      <x v="18"/>
    </i>
    <i r="4">
      <x v="148"/>
      <x v="83"/>
      <x v="20"/>
    </i>
    <i r="2">
      <x v="12"/>
      <x v="27"/>
      <x v="166"/>
      <x v="76"/>
      <x v="11"/>
    </i>
    <i r="3">
      <x v="29"/>
      <x v="169"/>
      <x v="81"/>
      <x v="17"/>
    </i>
    <i r="4">
      <x v="232"/>
      <x v="77"/>
      <x v="16"/>
    </i>
    <i t="grand">
      <x/>
    </i>
  </rowItems>
  <colItems count="1">
    <i/>
  </colItems>
  <dataFields count="1">
    <dataField name="Cantidad Impresoras" fld="34" subtotal="count" baseField="32" baseItem="0"/>
  </dataFields>
  <formats count="60">
    <format dxfId="147">
      <pivotArea field="34" type="button" dataOnly="0" labelOnly="1" outline="0" axis="axisRow" fieldPosition="0"/>
    </format>
    <format dxfId="146">
      <pivotArea field="5" type="button" dataOnly="0" labelOnly="1" outline="0" axis="axisRow" fieldPosition="1"/>
    </format>
    <format dxfId="145">
      <pivotArea field="7" type="button" dataOnly="0" labelOnly="1" outline="0" axis="axisRow" fieldPosition="2"/>
    </format>
    <format dxfId="144">
      <pivotArea field="8" type="button" dataOnly="0" labelOnly="1" outline="0" axis="axisRow" fieldPosition="3"/>
    </format>
    <format dxfId="143">
      <pivotArea field="9" type="button" dataOnly="0" labelOnly="1" outline="0" axis="axisRow" fieldPosition="4"/>
    </format>
    <format dxfId="142">
      <pivotArea field="19" type="button" dataOnly="0" labelOnly="1" outline="0" axis="axisRow" fieldPosition="5"/>
    </format>
    <format dxfId="141">
      <pivotArea field="42" type="button" dataOnly="0" labelOnly="1" outline="0" axis="axisRow" fieldPosition="6"/>
    </format>
    <format dxfId="140">
      <pivotArea dataOnly="0" labelOnly="1" outline="0" axis="axisValues" fieldPosition="0"/>
    </format>
    <format dxfId="139">
      <pivotArea field="34" type="button" dataOnly="0" labelOnly="1" outline="0" axis="axisRow" fieldPosition="0"/>
    </format>
    <format dxfId="138">
      <pivotArea field="5" type="button" dataOnly="0" labelOnly="1" outline="0" axis="axisRow" fieldPosition="1"/>
    </format>
    <format dxfId="137">
      <pivotArea field="7" type="button" dataOnly="0" labelOnly="1" outline="0" axis="axisRow" fieldPosition="2"/>
    </format>
    <format dxfId="136">
      <pivotArea field="8" type="button" dataOnly="0" labelOnly="1" outline="0" axis="axisRow" fieldPosition="3"/>
    </format>
    <format dxfId="135">
      <pivotArea field="9" type="button" dataOnly="0" labelOnly="1" outline="0" axis="axisRow" fieldPosition="4"/>
    </format>
    <format dxfId="134">
      <pivotArea field="19" type="button" dataOnly="0" labelOnly="1" outline="0" axis="axisRow" fieldPosition="5"/>
    </format>
    <format dxfId="133">
      <pivotArea field="42" type="button" dataOnly="0" labelOnly="1" outline="0" axis="axisRow" fieldPosition="6"/>
    </format>
    <format dxfId="132">
      <pivotArea dataOnly="0" labelOnly="1" outline="0" axis="axisValues" fieldPosition="0"/>
    </format>
    <format dxfId="131">
      <pivotArea dataOnly="0" labelOnly="1" outline="0" offset="IV2:IV256" fieldPosition="0">
        <references count="4">
          <reference field="5" count="1" selected="0">
            <x v="1"/>
          </reference>
          <reference field="7" count="1" selected="0">
            <x v="0"/>
          </reference>
          <reference field="8" count="1">
            <x v="8"/>
          </reference>
          <reference field="34" count="0" selected="0"/>
        </references>
      </pivotArea>
    </format>
    <format dxfId="130">
      <pivotArea dataOnly="0" labelOnly="1" outline="0" fieldPosition="0">
        <references count="4">
          <reference field="5" count="1" selected="0">
            <x v="1"/>
          </reference>
          <reference field="7" count="1" selected="0">
            <x v="2"/>
          </reference>
          <reference field="8" count="3">
            <x v="18"/>
            <x v="19"/>
            <x v="20"/>
          </reference>
          <reference field="34" count="0" selected="0"/>
        </references>
      </pivotArea>
    </format>
    <format dxfId="129">
      <pivotArea dataOnly="0" labelOnly="1" outline="0" fieldPosition="0">
        <references count="5">
          <reference field="5" count="1" selected="0">
            <x v="1"/>
          </reference>
          <reference field="7" count="1" selected="0">
            <x v="0"/>
          </reference>
          <reference field="8" count="1" selected="0">
            <x v="8"/>
          </reference>
          <reference field="9" count="1">
            <x v="129"/>
          </reference>
          <reference field="34" count="0" selected="0"/>
        </references>
      </pivotArea>
    </format>
    <format dxfId="128">
      <pivotArea dataOnly="0" labelOnly="1" outline="0" fieldPosition="0">
        <references count="5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9">
            <x v="134"/>
            <x v="135"/>
            <x v="136"/>
            <x v="137"/>
            <x v="138"/>
            <x v="139"/>
            <x v="140"/>
            <x v="141"/>
            <x v="142"/>
          </reference>
          <reference field="34" count="0" selected="0"/>
        </references>
      </pivotArea>
    </format>
    <format dxfId="127">
      <pivotArea dataOnly="0" labelOnly="1" outline="0" fieldPosition="0">
        <references count="5">
          <reference field="5" count="1" selected="0">
            <x v="1"/>
          </reference>
          <reference field="7" count="1" selected="0">
            <x v="2"/>
          </reference>
          <reference field="8" count="1" selected="0">
            <x v="19"/>
          </reference>
          <reference field="9" count="6">
            <x v="143"/>
            <x v="144"/>
            <x v="145"/>
            <x v="146"/>
            <x v="147"/>
            <x v="148"/>
          </reference>
          <reference field="34" count="0" selected="0"/>
        </references>
      </pivotArea>
    </format>
    <format dxfId="126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0"/>
          </reference>
          <reference field="8" count="1" selected="0">
            <x v="8"/>
          </reference>
          <reference field="9" count="1" selected="0">
            <x v="129"/>
          </reference>
          <reference field="19" count="1">
            <x v="85"/>
          </reference>
          <reference field="34" count="0" selected="0"/>
        </references>
      </pivotArea>
    </format>
    <format dxfId="125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34"/>
          </reference>
          <reference field="19" count="1">
            <x v="73"/>
          </reference>
          <reference field="34" count="0" selected="0"/>
        </references>
      </pivotArea>
    </format>
    <format dxfId="124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35"/>
          </reference>
          <reference field="19" count="1">
            <x v="75"/>
          </reference>
          <reference field="34" count="0" selected="0"/>
        </references>
      </pivotArea>
    </format>
    <format dxfId="123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36"/>
          </reference>
          <reference field="19" count="1">
            <x v="78"/>
          </reference>
          <reference field="34" count="0" selected="0"/>
        </references>
      </pivotArea>
    </format>
    <format dxfId="122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37"/>
          </reference>
          <reference field="19" count="1">
            <x v="70"/>
          </reference>
          <reference field="34" count="0" selected="0"/>
        </references>
      </pivotArea>
    </format>
    <format dxfId="121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38"/>
          </reference>
          <reference field="19" count="1">
            <x v="82"/>
          </reference>
          <reference field="34" count="0" selected="0"/>
        </references>
      </pivotArea>
    </format>
    <format dxfId="120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39"/>
          </reference>
          <reference field="19" count="1">
            <x v="89"/>
          </reference>
          <reference field="34" count="0" selected="0"/>
        </references>
      </pivotArea>
    </format>
    <format dxfId="119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40"/>
          </reference>
          <reference field="19" count="1">
            <x v="79"/>
          </reference>
          <reference field="34" count="0" selected="0"/>
        </references>
      </pivotArea>
    </format>
    <format dxfId="118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41"/>
          </reference>
          <reference field="19" count="1">
            <x v="39"/>
          </reference>
          <reference field="34" count="0" selected="0"/>
        </references>
      </pivotArea>
    </format>
    <format dxfId="117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42"/>
          </reference>
          <reference field="19" count="1">
            <x v="87"/>
          </reference>
          <reference field="34" count="0" selected="0"/>
        </references>
      </pivotArea>
    </format>
    <format dxfId="116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9"/>
          </reference>
          <reference field="9" count="1" selected="0">
            <x v="143"/>
          </reference>
          <reference field="19" count="1">
            <x v="88"/>
          </reference>
          <reference field="34" count="0" selected="0"/>
        </references>
      </pivotArea>
    </format>
    <format dxfId="115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9"/>
          </reference>
          <reference field="9" count="1" selected="0">
            <x v="144"/>
          </reference>
          <reference field="19" count="1">
            <x v="76"/>
          </reference>
          <reference field="34" count="0" selected="0"/>
        </references>
      </pivotArea>
    </format>
    <format dxfId="114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9"/>
          </reference>
          <reference field="9" count="1" selected="0">
            <x v="145"/>
          </reference>
          <reference field="19" count="1">
            <x v="74"/>
          </reference>
          <reference field="34" count="0" selected="0"/>
        </references>
      </pivotArea>
    </format>
    <format dxfId="113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9"/>
          </reference>
          <reference field="9" count="1" selected="0">
            <x v="146"/>
          </reference>
          <reference field="19" count="1">
            <x v="86"/>
          </reference>
          <reference field="34" count="0" selected="0"/>
        </references>
      </pivotArea>
    </format>
    <format dxfId="112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9"/>
          </reference>
          <reference field="9" count="1" selected="0">
            <x v="147"/>
          </reference>
          <reference field="19" count="1">
            <x v="71"/>
          </reference>
          <reference field="34" count="0" selected="0"/>
        </references>
      </pivotArea>
    </format>
    <format dxfId="111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9"/>
          </reference>
          <reference field="9" count="1" selected="0">
            <x v="148"/>
          </reference>
          <reference field="19" count="1">
            <x v="83"/>
          </reference>
          <reference field="34" count="0" selected="0"/>
        </references>
      </pivotArea>
    </format>
    <format dxfId="110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0"/>
          </reference>
          <reference field="8" count="1" selected="0">
            <x v="8"/>
          </reference>
          <reference field="9" count="1" selected="0">
            <x v="129"/>
          </reference>
          <reference field="19" count="1" selected="0">
            <x v="85"/>
          </reference>
          <reference field="34" count="0" selected="0"/>
          <reference field="42" count="1">
            <x v="14"/>
          </reference>
        </references>
      </pivotArea>
    </format>
    <format dxfId="109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9"/>
          </reference>
          <reference field="9" count="1" selected="0">
            <x v="144"/>
          </reference>
          <reference field="19" count="1" selected="0">
            <x v="76"/>
          </reference>
          <reference field="34" count="0" selected="0"/>
          <reference field="42" count="1">
            <x v="11"/>
          </reference>
        </references>
      </pivotArea>
    </format>
    <format dxfId="108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42"/>
          </reference>
          <reference field="19" count="1">
            <x v="87"/>
          </reference>
          <reference field="34" count="0" selected="0"/>
        </references>
      </pivotArea>
    </format>
    <format dxfId="107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42"/>
          </reference>
          <reference field="19" count="1">
            <x v="87"/>
          </reference>
          <reference field="34" count="0" selected="0"/>
        </references>
      </pivotArea>
    </format>
    <format dxfId="106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42"/>
          </reference>
          <reference field="19" count="1">
            <x v="87"/>
          </reference>
          <reference field="34" count="0" selected="0"/>
        </references>
      </pivotArea>
    </format>
    <format dxfId="105">
      <pivotArea dataOnly="0" labelOnly="1" outline="0" fieldPosition="0">
        <references count="5">
          <reference field="5" count="1" selected="0">
            <x v="1"/>
          </reference>
          <reference field="7" count="1" selected="0">
            <x v="12"/>
          </reference>
          <reference field="8" count="1" selected="0">
            <x v="27"/>
          </reference>
          <reference field="9" count="1">
            <x v="166"/>
          </reference>
          <reference field="34" count="0" selected="0"/>
        </references>
      </pivotArea>
    </format>
    <format dxfId="104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0"/>
          </reference>
          <reference field="8" count="1" selected="0">
            <x v="33"/>
          </reference>
          <reference field="9" count="1" selected="0">
            <x v="168"/>
          </reference>
          <reference field="19" count="1" selected="0">
            <x v="72"/>
          </reference>
          <reference field="34" count="0" selected="0"/>
          <reference field="42" count="1">
            <x v="3"/>
          </reference>
        </references>
      </pivotArea>
    </format>
    <format dxfId="103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34"/>
          </reference>
          <reference field="19" count="1" selected="0">
            <x v="73"/>
          </reference>
          <reference field="34" count="0" selected="0"/>
          <reference field="42" count="1">
            <x v="15"/>
          </reference>
        </references>
      </pivotArea>
    </format>
    <format dxfId="102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35"/>
          </reference>
          <reference field="19" count="1" selected="0">
            <x v="75"/>
          </reference>
          <reference field="34" count="0" selected="0"/>
          <reference field="42" count="1">
            <x v="19"/>
          </reference>
        </references>
      </pivotArea>
    </format>
    <format dxfId="101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36"/>
          </reference>
          <reference field="19" count="1" selected="0">
            <x v="78"/>
          </reference>
          <reference field="34" count="0" selected="0"/>
          <reference field="42" count="1">
            <x v="7"/>
          </reference>
        </references>
      </pivotArea>
    </format>
    <format dxfId="100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37"/>
          </reference>
          <reference field="19" count="1" selected="0">
            <x v="70"/>
          </reference>
          <reference field="34" count="0" selected="0"/>
          <reference field="42" count="1">
            <x v="12"/>
          </reference>
        </references>
      </pivotArea>
    </format>
    <format dxfId="99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38"/>
          </reference>
          <reference field="19" count="1" selected="0">
            <x v="82"/>
          </reference>
          <reference field="34" count="0" selected="0"/>
          <reference field="42" count="1">
            <x v="1"/>
          </reference>
        </references>
      </pivotArea>
    </format>
    <format dxfId="98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39"/>
          </reference>
          <reference field="19" count="1" selected="0">
            <x v="89"/>
          </reference>
          <reference field="34" count="0" selected="0"/>
          <reference field="42" count="1">
            <x v="9"/>
          </reference>
        </references>
      </pivotArea>
    </format>
    <format dxfId="97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40"/>
          </reference>
          <reference field="19" count="1" selected="0">
            <x v="79"/>
          </reference>
          <reference field="34" count="0" selected="0"/>
          <reference field="42" count="1">
            <x v="6"/>
          </reference>
        </references>
      </pivotArea>
    </format>
    <format dxfId="96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41"/>
          </reference>
          <reference field="19" count="1" selected="0">
            <x v="39"/>
          </reference>
          <reference field="34" count="0" selected="0"/>
          <reference field="42" count="1">
            <x v="8"/>
          </reference>
        </references>
      </pivotArea>
    </format>
    <format dxfId="95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42"/>
          </reference>
          <reference field="19" count="1" selected="0">
            <x v="87"/>
          </reference>
          <reference field="34" count="0" selected="0"/>
          <reference field="42" count="1">
            <x v="4"/>
          </reference>
        </references>
      </pivotArea>
    </format>
    <format dxfId="94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9"/>
          </reference>
          <reference field="9" count="1" selected="0">
            <x v="143"/>
          </reference>
          <reference field="19" count="1" selected="0">
            <x v="88"/>
          </reference>
          <reference field="34" count="0" selected="0"/>
          <reference field="42" count="1">
            <x v="10"/>
          </reference>
        </references>
      </pivotArea>
    </format>
    <format dxfId="93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9"/>
          </reference>
          <reference field="9" count="1" selected="0">
            <x v="144"/>
          </reference>
          <reference field="19" count="1" selected="0">
            <x v="80"/>
          </reference>
          <reference field="34" count="0" selected="0"/>
          <reference field="42" count="1">
            <x v="0"/>
          </reference>
        </references>
      </pivotArea>
    </format>
    <format dxfId="92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9"/>
          </reference>
          <reference field="9" count="1" selected="0">
            <x v="145"/>
          </reference>
          <reference field="19" count="1" selected="0">
            <x v="74"/>
          </reference>
          <reference field="34" count="0" selected="0"/>
          <reference field="42" count="1">
            <x v="2"/>
          </reference>
        </references>
      </pivotArea>
    </format>
    <format dxfId="91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9"/>
          </reference>
          <reference field="9" count="1" selected="0">
            <x v="146"/>
          </reference>
          <reference field="19" count="1" selected="0">
            <x v="86"/>
          </reference>
          <reference field="34" count="0" selected="0"/>
          <reference field="42" count="1">
            <x v="5"/>
          </reference>
        </references>
      </pivotArea>
    </format>
    <format dxfId="90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9"/>
          </reference>
          <reference field="9" count="1" selected="0">
            <x v="147"/>
          </reference>
          <reference field="19" count="1" selected="0">
            <x v="71"/>
          </reference>
          <reference field="34" count="0" selected="0"/>
          <reference field="42" count="1">
            <x v="18"/>
          </reference>
        </references>
      </pivotArea>
    </format>
    <format dxfId="89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9"/>
          </reference>
          <reference field="9" count="1" selected="0">
            <x v="148"/>
          </reference>
          <reference field="19" count="1" selected="0">
            <x v="83"/>
          </reference>
          <reference field="34" count="0" selected="0"/>
          <reference field="42" count="1">
            <x v="20"/>
          </reference>
        </references>
      </pivotArea>
    </format>
    <format dxfId="88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12"/>
          </reference>
          <reference field="8" count="1" selected="0">
            <x v="27"/>
          </reference>
          <reference field="9" count="1" selected="0">
            <x v="166"/>
          </reference>
          <reference field="19" count="1" selected="0">
            <x v="76"/>
          </reference>
          <reference field="34" count="0" selected="0"/>
          <reference field="42" count="1"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B842E-1005-414C-9579-CFC0AC39A5CD}" name="TablaDinámica6" cacheId="88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L12" firstHeaderRow="1" firstDataRow="1" firstDataCol="11"/>
  <pivotFields count="4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defaultSubtotal="0">
      <items count="10">
        <item h="1" x="3"/>
        <item h="1" x="6"/>
        <item h="1" x="0"/>
        <item x="7"/>
        <item h="1" x="1"/>
        <item h="1" x="2"/>
        <item h="1" x="4"/>
        <item h="1" x="8"/>
        <item h="1" x="5"/>
        <item h="1" x="9"/>
      </items>
    </pivotField>
    <pivotField compact="0" outline="0" showAll="0"/>
    <pivotField axis="axisRow" compact="0" outline="0" showAll="0" defaultSubtotal="0">
      <items count="18">
        <item x="14"/>
        <item x="9"/>
        <item x="5"/>
        <item x="8"/>
        <item x="6"/>
        <item x="13"/>
        <item x="0"/>
        <item x="4"/>
        <item x="10"/>
        <item x="12"/>
        <item x="1"/>
        <item x="7"/>
        <item x="15"/>
        <item x="3"/>
        <item x="11"/>
        <item m="1" x="17"/>
        <item x="2"/>
        <item x="16"/>
      </items>
    </pivotField>
    <pivotField axis="axisRow" compact="0" outline="0" showAll="0" defaultSubtotal="0">
      <items count="57">
        <item x="7"/>
        <item x="10"/>
        <item x="9"/>
        <item x="22"/>
        <item x="23"/>
        <item x="8"/>
        <item x="31"/>
        <item x="34"/>
        <item x="21"/>
        <item x="2"/>
        <item m="1" x="56"/>
        <item m="1" x="55"/>
        <item x="36"/>
        <item x="17"/>
        <item x="16"/>
        <item m="1" x="53"/>
        <item x="12"/>
        <item x="15"/>
        <item x="0"/>
        <item x="6"/>
        <item x="20"/>
        <item x="4"/>
        <item x="19"/>
        <item x="18"/>
        <item x="42"/>
        <item x="44"/>
        <item x="43"/>
        <item x="41"/>
        <item x="26"/>
        <item x="27"/>
        <item x="40"/>
        <item x="1"/>
        <item x="25"/>
        <item x="29"/>
        <item x="38"/>
        <item x="33"/>
        <item x="5"/>
        <item x="30"/>
        <item x="24"/>
        <item x="13"/>
        <item x="14"/>
        <item m="1" x="54"/>
        <item x="35"/>
        <item x="37"/>
        <item x="39"/>
        <item x="32"/>
        <item x="3"/>
        <item x="28"/>
        <item x="11"/>
        <item x="45"/>
        <item x="46"/>
        <item x="47"/>
        <item x="48"/>
        <item x="49"/>
        <item x="50"/>
        <item x="51"/>
        <item x="52"/>
      </items>
    </pivotField>
    <pivotField axis="axisRow" compact="0" outline="0" showAll="0" defaultSubtotal="0">
      <items count="262">
        <item x="35"/>
        <item x="19"/>
        <item m="1" x="261"/>
        <item x="18"/>
        <item x="27"/>
        <item x="25"/>
        <item x="2"/>
        <item x="136"/>
        <item x="1"/>
        <item x="231"/>
        <item x="236"/>
        <item x="235"/>
        <item x="237"/>
        <item x="241"/>
        <item x="169"/>
        <item x="206"/>
        <item x="98"/>
        <item x="154"/>
        <item x="104"/>
        <item x="137"/>
        <item x="95"/>
        <item x="75"/>
        <item x="111"/>
        <item x="62"/>
        <item x="67"/>
        <item x="149"/>
        <item x="7"/>
        <item x="92"/>
        <item x="147"/>
        <item x="143"/>
        <item x="139"/>
        <item x="91"/>
        <item x="63"/>
        <item x="82"/>
        <item x="39"/>
        <item x="38"/>
        <item x="211"/>
        <item x="165"/>
        <item x="198"/>
        <item x="232"/>
        <item x="210"/>
        <item x="179"/>
        <item x="203"/>
        <item x="166"/>
        <item x="209"/>
        <item x="233"/>
        <item x="202"/>
        <item x="205"/>
        <item x="167"/>
        <item x="220"/>
        <item x="219"/>
        <item x="221"/>
        <item x="222"/>
        <item x="215"/>
        <item x="218"/>
        <item x="217"/>
        <item x="216"/>
        <item x="146"/>
        <item x="64"/>
        <item x="115"/>
        <item x="127"/>
        <item x="99"/>
        <item x="47"/>
        <item x="213"/>
        <item x="224"/>
        <item x="201"/>
        <item x="228"/>
        <item x="200"/>
        <item x="96"/>
        <item x="239"/>
        <item x="238"/>
        <item x="110"/>
        <item x="108"/>
        <item x="152"/>
        <item x="57"/>
        <item x="130"/>
        <item x="121"/>
        <item x="112"/>
        <item x="117"/>
        <item x="129"/>
        <item x="23"/>
        <item x="120"/>
        <item x="153"/>
        <item x="113"/>
        <item x="131"/>
        <item x="126"/>
        <item x="122"/>
        <item x="118"/>
        <item x="116"/>
        <item x="58"/>
        <item x="24"/>
        <item x="109"/>
        <item x="124"/>
        <item x="162"/>
        <item x="125"/>
        <item x="128"/>
        <item x="0"/>
        <item x="223"/>
        <item x="11"/>
        <item x="150"/>
        <item x="114"/>
        <item x="56"/>
        <item x="68"/>
        <item x="90"/>
        <item x="138"/>
        <item x="60"/>
        <item x="87"/>
        <item x="9"/>
        <item x="144"/>
        <item x="103"/>
        <item x="14"/>
        <item x="161"/>
        <item x="61"/>
        <item x="159"/>
        <item x="102"/>
        <item x="70"/>
        <item x="55"/>
        <item x="74"/>
        <item x="15"/>
        <item x="72"/>
        <item x="66"/>
        <item x="89"/>
        <item x="81"/>
        <item x="105"/>
        <item x="8"/>
        <item x="78"/>
        <item x="107"/>
        <item x="73"/>
        <item x="65"/>
        <item x="234"/>
        <item x="88"/>
        <item x="10"/>
        <item x="100"/>
        <item x="53"/>
        <item x="59"/>
        <item x="69"/>
        <item x="77"/>
        <item x="141"/>
        <item x="86"/>
        <item x="93"/>
        <item x="142"/>
        <item x="12"/>
        <item x="13"/>
        <item x="156"/>
        <item x="123"/>
        <item x="151"/>
        <item x="84"/>
        <item x="226"/>
        <item x="101"/>
        <item x="155"/>
        <item x="49"/>
        <item x="80"/>
        <item x="76"/>
        <item x="54"/>
        <item x="160"/>
        <item x="85"/>
        <item x="148"/>
        <item x="158"/>
        <item x="71"/>
        <item x="16"/>
        <item x="83"/>
        <item x="48"/>
        <item x="119"/>
        <item x="79"/>
        <item x="52"/>
        <item x="140"/>
        <item x="106"/>
        <item x="17"/>
        <item x="3"/>
        <item x="94"/>
        <item x="170"/>
        <item x="50"/>
        <item x="97"/>
        <item x="163"/>
        <item x="26"/>
        <item x="157"/>
        <item x="230"/>
        <item x="240"/>
        <item x="212"/>
        <item x="214"/>
        <item x="145"/>
        <item x="229"/>
        <item x="199"/>
        <item x="36"/>
        <item x="196"/>
        <item x="197"/>
        <item x="208"/>
        <item x="207"/>
        <item x="225"/>
        <item x="204"/>
        <item x="227"/>
        <item x="168"/>
        <item x="171"/>
        <item x="174"/>
        <item x="173"/>
        <item x="177"/>
        <item x="172"/>
        <item x="164"/>
        <item x="176"/>
        <item x="178"/>
        <item x="175"/>
        <item x="189"/>
        <item x="186"/>
        <item x="181"/>
        <item x="185"/>
        <item x="187"/>
        <item x="193"/>
        <item x="190"/>
        <item x="192"/>
        <item x="180"/>
        <item x="184"/>
        <item x="182"/>
        <item x="188"/>
        <item x="183"/>
        <item x="191"/>
        <item x="194"/>
        <item x="195"/>
        <item x="132"/>
        <item x="133"/>
        <item x="135"/>
        <item x="134"/>
        <item x="34"/>
        <item x="32"/>
        <item x="43"/>
        <item x="28"/>
        <item x="41"/>
        <item x="33"/>
        <item x="37"/>
        <item x="45"/>
        <item x="44"/>
        <item x="29"/>
        <item x="46"/>
        <item x="40"/>
        <item x="42"/>
        <item x="30"/>
        <item x="31"/>
        <item x="4"/>
        <item x="21"/>
        <item x="5"/>
        <item x="22"/>
        <item x="6"/>
        <item x="20"/>
        <item x="5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/>
    <pivotField axis="axisRow" compact="0" outline="0" showAll="0" defaultSubtotal="0">
      <items count="142">
        <item x="66"/>
        <item x="92"/>
        <item x="9"/>
        <item x="89"/>
        <item m="1" x="137"/>
        <item x="54"/>
        <item x="84"/>
        <item x="8"/>
        <item x="51"/>
        <item x="36"/>
        <item x="100"/>
        <item x="82"/>
        <item x="10"/>
        <item x="74"/>
        <item m="1" x="131"/>
        <item x="90"/>
        <item x="102"/>
        <item m="1" x="136"/>
        <item x="6"/>
        <item x="37"/>
        <item x="98"/>
        <item x="45"/>
        <item x="58"/>
        <item x="60"/>
        <item m="1" x="139"/>
        <item x="38"/>
        <item x="94"/>
        <item x="86"/>
        <item m="1" x="138"/>
        <item x="95"/>
        <item x="71"/>
        <item x="3"/>
        <item x="93"/>
        <item x="48"/>
        <item x="34"/>
        <item x="41"/>
        <item x="61"/>
        <item x="46"/>
        <item x="4"/>
        <item x="104"/>
        <item x="50"/>
        <item x="0"/>
        <item x="67"/>
        <item x="5"/>
        <item x="2"/>
        <item x="78"/>
        <item x="44"/>
        <item x="11"/>
        <item x="47"/>
        <item m="1" x="133"/>
        <item x="39"/>
        <item x="30"/>
        <item x="53"/>
        <item x="96"/>
        <item x="70"/>
        <item x="43"/>
        <item x="85"/>
        <item x="40"/>
        <item x="87"/>
        <item x="91"/>
        <item m="1" x="140"/>
        <item x="76"/>
        <item x="57"/>
        <item x="77"/>
        <item x="72"/>
        <item x="42"/>
        <item x="68"/>
        <item x="59"/>
        <item x="73"/>
        <item x="88"/>
        <item x="62"/>
        <item x="63"/>
        <item m="1" x="135"/>
        <item x="99"/>
        <item x="69"/>
        <item x="101"/>
        <item x="52"/>
        <item x="33"/>
        <item x="75"/>
        <item x="64"/>
        <item x="56"/>
        <item x="83"/>
        <item x="81"/>
        <item x="65"/>
        <item x="35"/>
        <item x="103"/>
        <item x="80"/>
        <item x="97"/>
        <item x="116"/>
        <item x="115"/>
        <item x="79"/>
        <item x="7"/>
        <item x="105"/>
        <item x="113"/>
        <item x="13"/>
        <item x="15"/>
        <item x="24"/>
        <item x="121"/>
        <item x="117"/>
        <item x="118"/>
        <item x="119"/>
        <item x="19"/>
        <item x="25"/>
        <item x="17"/>
        <item x="12"/>
        <item x="20"/>
        <item x="28"/>
        <item x="22"/>
        <item x="31"/>
        <item x="32"/>
        <item x="26"/>
        <item x="16"/>
        <item x="23"/>
        <item x="114"/>
        <item x="21"/>
        <item x="27"/>
        <item x="29"/>
        <item x="14"/>
        <item x="107"/>
        <item x="109"/>
        <item x="106"/>
        <item x="120"/>
        <item m="1" x="141"/>
        <item x="18"/>
        <item x="55"/>
        <item x="112"/>
        <item m="1" x="132"/>
        <item m="1" x="130"/>
        <item m="1" x="134"/>
        <item x="1"/>
        <item x="108"/>
        <item x="110"/>
        <item x="111"/>
        <item x="122"/>
        <item x="123"/>
        <item x="124"/>
        <item x="125"/>
        <item x="126"/>
        <item x="49"/>
        <item x="127"/>
        <item x="128"/>
        <item x="129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8">
        <item h="1" x="4"/>
        <item h="1" x="3"/>
        <item x="1"/>
        <item h="1" m="1" x="7"/>
        <item h="1" x="2"/>
        <item h="1" m="1" x="6"/>
        <item x="0"/>
        <item h="1" x="5"/>
      </items>
    </pivotField>
    <pivotField compact="0" outline="0" showAll="0"/>
    <pivotField compact="0" outline="0" showAll="0"/>
    <pivotField axis="axisRow" compact="0" outline="0" showAll="0" defaultSubtotal="0">
      <items count="122">
        <item m="1" x="121"/>
        <item x="41"/>
        <item x="105"/>
        <item x="3"/>
        <item x="30"/>
        <item x="109"/>
        <item x="23"/>
        <item x="72"/>
        <item x="77"/>
        <item x="108"/>
        <item x="42"/>
        <item x="63"/>
        <item x="44"/>
        <item x="37"/>
        <item x="52"/>
        <item x="51"/>
        <item x="55"/>
        <item x="75"/>
        <item x="57"/>
        <item x="102"/>
        <item x="28"/>
        <item x="81"/>
        <item x="17"/>
        <item x="46"/>
        <item x="24"/>
        <item x="115"/>
        <item x="70"/>
        <item x="1"/>
        <item x="99"/>
        <item x="90"/>
        <item x="91"/>
        <item x="11"/>
        <item x="4"/>
        <item x="53"/>
        <item x="32"/>
        <item x="84"/>
        <item x="54"/>
        <item x="112"/>
        <item x="96"/>
        <item x="50"/>
        <item x="64"/>
        <item x="43"/>
        <item x="103"/>
        <item x="93"/>
        <item x="97"/>
        <item x="95"/>
        <item x="40"/>
        <item x="87"/>
        <item x="21"/>
        <item x="100"/>
        <item x="114"/>
        <item x="104"/>
        <item x="48"/>
        <item x="83"/>
        <item x="38"/>
        <item x="59"/>
        <item x="86"/>
        <item x="88"/>
        <item x="45"/>
        <item x="68"/>
        <item x="9"/>
        <item x="58"/>
        <item x="89"/>
        <item x="7"/>
        <item x="39"/>
        <item x="34"/>
        <item x="18"/>
        <item x="19"/>
        <item x="85"/>
        <item x="26"/>
        <item x="113"/>
        <item x="33"/>
        <item x="56"/>
        <item x="71"/>
        <item x="27"/>
        <item x="20"/>
        <item x="76"/>
        <item x="49"/>
        <item x="62"/>
        <item x="73"/>
        <item x="6"/>
        <item x="60"/>
        <item x="16"/>
        <item x="92"/>
        <item x="78"/>
        <item x="101"/>
        <item x="29"/>
        <item x="0"/>
        <item x="66"/>
        <item x="79"/>
        <item x="25"/>
        <item x="2"/>
        <item x="61"/>
        <item x="80"/>
        <item x="10"/>
        <item x="35"/>
        <item x="47"/>
        <item x="82"/>
        <item x="69"/>
        <item x="31"/>
        <item x="12"/>
        <item x="94"/>
        <item x="5"/>
        <item x="74"/>
        <item x="67"/>
        <item x="15"/>
        <item x="13"/>
        <item x="106"/>
        <item x="107"/>
        <item x="110"/>
        <item x="111"/>
        <item x="65"/>
        <item x="116"/>
        <item x="117"/>
        <item x="118"/>
        <item x="98"/>
        <item x="119"/>
        <item x="120"/>
        <item x="22"/>
        <item x="14"/>
        <item x="36"/>
        <item x="8"/>
      </items>
    </pivotField>
    <pivotField axis="axisRow" compact="0" outline="0" showAll="0" defaultSubtotal="0">
      <items count="93">
        <item x="66"/>
        <item x="27"/>
        <item x="68"/>
        <item x="0"/>
        <item x="15"/>
        <item m="1" x="92"/>
        <item x="22"/>
        <item x="54"/>
        <item x="6"/>
        <item x="70"/>
        <item x="46"/>
        <item x="13"/>
        <item x="44"/>
        <item x="31"/>
        <item x="30"/>
        <item x="84"/>
        <item x="45"/>
        <item x="47"/>
        <item x="83"/>
        <item x="43"/>
        <item x="32"/>
        <item x="35"/>
        <item x="87"/>
        <item x="48"/>
        <item x="59"/>
        <item x="51"/>
        <item x="19"/>
        <item x="74"/>
        <item x="57"/>
        <item x="16"/>
        <item x="26"/>
        <item m="1" x="91"/>
        <item x="55"/>
        <item x="71"/>
        <item x="76"/>
        <item x="79"/>
        <item x="8"/>
        <item x="20"/>
        <item x="53"/>
        <item x="18"/>
        <item x="61"/>
        <item x="40"/>
        <item x="24"/>
        <item x="58"/>
        <item x="10"/>
        <item x="50"/>
        <item x="56"/>
        <item x="64"/>
        <item x="52"/>
        <item x="14"/>
        <item x="36"/>
        <item x="29"/>
        <item x="72"/>
        <item x="80"/>
        <item m="1" x="90"/>
        <item x="42"/>
        <item x="25"/>
        <item x="67"/>
        <item x="28"/>
        <item x="75"/>
        <item x="62"/>
        <item x="7"/>
        <item x="17"/>
        <item x="5"/>
        <item x="4"/>
        <item x="73"/>
        <item x="37"/>
        <item x="23"/>
        <item x="88"/>
        <item x="21"/>
        <item x="3"/>
        <item x="9"/>
        <item x="78"/>
        <item x="34"/>
        <item x="33"/>
        <item x="38"/>
        <item x="49"/>
        <item x="11"/>
        <item x="63"/>
        <item x="1"/>
        <item x="41"/>
        <item x="39"/>
        <item x="69"/>
        <item x="65"/>
        <item x="77"/>
        <item x="2"/>
        <item x="60"/>
        <item x="12"/>
        <item x="81"/>
        <item x="82"/>
        <item x="85"/>
        <item x="86"/>
        <item x="89"/>
      </items>
    </pivotField>
    <pivotField axis="axisRow" compact="0" outline="0" showAll="0" defaultSubtotal="0">
      <items count="39">
        <item x="16"/>
        <item x="1"/>
        <item x="27"/>
        <item x="12"/>
        <item x="18"/>
        <item x="11"/>
        <item x="34"/>
        <item x="13"/>
        <item x="2"/>
        <item x="29"/>
        <item x="5"/>
        <item x="6"/>
        <item x="28"/>
        <item x="19"/>
        <item x="23"/>
        <item x="32"/>
        <item x="22"/>
        <item x="26"/>
        <item x="21"/>
        <item x="24"/>
        <item x="17"/>
        <item x="9"/>
        <item x="14"/>
        <item x="30"/>
        <item x="25"/>
        <item x="33"/>
        <item x="3"/>
        <item x="10"/>
        <item x="15"/>
        <item x="20"/>
        <item x="31"/>
        <item x="7"/>
        <item x="0"/>
        <item x="4"/>
        <item x="8"/>
        <item x="35"/>
        <item x="36"/>
        <item x="37"/>
        <item x="38"/>
      </items>
    </pivotField>
    <pivotField axis="axisRow" compact="0" outline="0" showAll="0" defaultSubtotal="0">
      <items count="12">
        <item x="1"/>
        <item x="8"/>
        <item x="9"/>
        <item x="2"/>
        <item x="5"/>
        <item x="3"/>
        <item x="11"/>
        <item x="7"/>
        <item x="10"/>
        <item x="0"/>
        <item x="4"/>
        <item x="6"/>
      </items>
    </pivotField>
    <pivotField compact="0" outline="0" showAll="0"/>
  </pivotFields>
  <rowFields count="11">
    <field x="34"/>
    <field x="41"/>
    <field x="40"/>
    <field x="39"/>
    <field x="38"/>
    <field x="5"/>
    <field x="7"/>
    <field x="8"/>
    <field x="9"/>
    <field x="19"/>
    <field x="35"/>
  </rowFields>
  <rowItems count="9">
    <i>
      <x/>
      <x/>
      <x v="1"/>
      <x v="15"/>
      <x v="5"/>
      <x v="3"/>
      <x v="8"/>
      <x v="42"/>
      <x v="54"/>
      <x v="119"/>
      <x v="6"/>
    </i>
    <i r="2">
      <x v="15"/>
      <x v="88"/>
      <x v="107"/>
      <x v="3"/>
      <x v="8"/>
      <x v="42"/>
      <x v="53"/>
      <x v="120"/>
      <x v="6"/>
    </i>
    <i r="2">
      <x v="29"/>
      <x v="18"/>
      <x v="9"/>
      <x v="3"/>
      <x v="8"/>
      <x v="42"/>
      <x v="55"/>
      <x v="130"/>
      <x v="6"/>
    </i>
    <i r="2">
      <x v="35"/>
      <x v="89"/>
      <x v="108"/>
      <x v="3"/>
      <x v="8"/>
      <x v="42"/>
      <x v="56"/>
      <x v="118"/>
      <x v="6"/>
    </i>
    <i r="2">
      <x v="36"/>
      <x v="90"/>
      <x v="109"/>
      <x v="3"/>
      <x v="8"/>
      <x v="42"/>
      <x v="49"/>
      <x v="131"/>
      <x v="6"/>
    </i>
    <i r="2">
      <x v="37"/>
      <x v="91"/>
      <x v="110"/>
      <x v="3"/>
      <x v="8"/>
      <x v="42"/>
      <x v="51"/>
      <x v="132"/>
      <x v="6"/>
    </i>
    <i r="1">
      <x v="9"/>
      <x v="32"/>
      <x v="85"/>
      <x v="91"/>
      <x v="3"/>
      <x v="8"/>
      <x v="42"/>
      <x v="50"/>
      <x v="129"/>
      <x v="2"/>
    </i>
    <i r="8">
      <x v="52"/>
      <x v="129"/>
      <x v="2"/>
    </i>
    <i t="grand">
      <x/>
    </i>
  </rowItems>
  <colItems count="1">
    <i/>
  </colItems>
  <dataFields count="1">
    <dataField name="Cuenta de Equipo" fld="5" subtotal="count" baseField="0" baseItem="0"/>
  </dataFields>
  <formats count="24">
    <format dxfId="87">
      <pivotArea field="34" type="button" dataOnly="0" labelOnly="1" outline="0" axis="axisRow" fieldPosition="0"/>
    </format>
    <format dxfId="86">
      <pivotArea field="41" type="button" dataOnly="0" labelOnly="1" outline="0" axis="axisRow" fieldPosition="1"/>
    </format>
    <format dxfId="85">
      <pivotArea field="40" type="button" dataOnly="0" labelOnly="1" outline="0" axis="axisRow" fieldPosition="2"/>
    </format>
    <format dxfId="84">
      <pivotArea field="39" type="button" dataOnly="0" labelOnly="1" outline="0" axis="axisRow" fieldPosition="3"/>
    </format>
    <format dxfId="83">
      <pivotArea field="38" type="button" dataOnly="0" labelOnly="1" outline="0" axis="axisRow" fieldPosition="4"/>
    </format>
    <format dxfId="82">
      <pivotArea field="5" type="button" dataOnly="0" labelOnly="1" outline="0" axis="axisRow" fieldPosition="5"/>
    </format>
    <format dxfId="81">
      <pivotArea field="7" type="button" dataOnly="0" labelOnly="1" outline="0" axis="axisRow" fieldPosition="6"/>
    </format>
    <format dxfId="80">
      <pivotArea field="8" type="button" dataOnly="0" labelOnly="1" outline="0" axis="axisRow" fieldPosition="7"/>
    </format>
    <format dxfId="79">
      <pivotArea field="9" type="button" dataOnly="0" labelOnly="1" outline="0" axis="axisRow" fieldPosition="8"/>
    </format>
    <format dxfId="78">
      <pivotArea field="19" type="button" dataOnly="0" labelOnly="1" outline="0" axis="axisRow" fieldPosition="9"/>
    </format>
    <format dxfId="77">
      <pivotArea field="35" type="button" dataOnly="0" labelOnly="1" outline="0" axis="axisRow" fieldPosition="10"/>
    </format>
    <format dxfId="76">
      <pivotArea dataOnly="0" labelOnly="1" outline="0" axis="axisValues" fieldPosition="0"/>
    </format>
    <format dxfId="75">
      <pivotArea field="34" type="button" dataOnly="0" labelOnly="1" outline="0" axis="axisRow" fieldPosition="0"/>
    </format>
    <format dxfId="74">
      <pivotArea field="41" type="button" dataOnly="0" labelOnly="1" outline="0" axis="axisRow" fieldPosition="1"/>
    </format>
    <format dxfId="73">
      <pivotArea field="40" type="button" dataOnly="0" labelOnly="1" outline="0" axis="axisRow" fieldPosition="2"/>
    </format>
    <format dxfId="72">
      <pivotArea field="39" type="button" dataOnly="0" labelOnly="1" outline="0" axis="axisRow" fieldPosition="3"/>
    </format>
    <format dxfId="71">
      <pivotArea field="38" type="button" dataOnly="0" labelOnly="1" outline="0" axis="axisRow" fieldPosition="4"/>
    </format>
    <format dxfId="70">
      <pivotArea field="5" type="button" dataOnly="0" labelOnly="1" outline="0" axis="axisRow" fieldPosition="5"/>
    </format>
    <format dxfId="69">
      <pivotArea field="7" type="button" dataOnly="0" labelOnly="1" outline="0" axis="axisRow" fieldPosition="6"/>
    </format>
    <format dxfId="68">
      <pivotArea field="8" type="button" dataOnly="0" labelOnly="1" outline="0" axis="axisRow" fieldPosition="7"/>
    </format>
    <format dxfId="67">
      <pivotArea field="9" type="button" dataOnly="0" labelOnly="1" outline="0" axis="axisRow" fieldPosition="8"/>
    </format>
    <format dxfId="66">
      <pivotArea field="19" type="button" dataOnly="0" labelOnly="1" outline="0" axis="axisRow" fieldPosition="9"/>
    </format>
    <format dxfId="65">
      <pivotArea field="35" type="button" dataOnly="0" labelOnly="1" outline="0" axis="axisRow" fieldPosition="10"/>
    </format>
    <format dxfId="6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9C24BD-58FD-4A57-807D-12E2EFA741DA}" name="TablaDinámica3" cacheId="88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B56:I78" firstHeaderRow="1" firstDataRow="1" firstDataCol="7"/>
  <pivotFields count="4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0">
        <item x="3"/>
        <item x="6"/>
        <item x="0"/>
        <item x="1"/>
        <item x="2"/>
        <item x="4"/>
        <item x="5"/>
        <item x="9"/>
        <item x="7"/>
        <item x="8"/>
      </items>
    </pivotField>
    <pivotField compact="0" outline="0" showAll="0"/>
    <pivotField axis="axisRow" compact="0" outline="0" showAll="0" defaultSubtotal="0">
      <items count="18">
        <item x="9"/>
        <item x="5"/>
        <item x="8"/>
        <item x="6"/>
        <item x="0"/>
        <item x="4"/>
        <item x="1"/>
        <item x="3"/>
        <item x="2"/>
        <item x="16"/>
        <item x="10"/>
        <item m="1" x="17"/>
        <item x="7"/>
        <item x="11"/>
        <item x="12"/>
        <item x="13"/>
        <item x="14"/>
        <item x="15"/>
      </items>
    </pivotField>
    <pivotField axis="axisRow" compact="0" outline="0" showAll="0" defaultSubtotal="0">
      <items count="57">
        <item x="7"/>
        <item x="10"/>
        <item x="9"/>
        <item x="22"/>
        <item x="23"/>
        <item x="8"/>
        <item x="21"/>
        <item x="2"/>
        <item m="1" x="55"/>
        <item x="0"/>
        <item x="6"/>
        <item x="20"/>
        <item x="4"/>
        <item x="19"/>
        <item x="18"/>
        <item x="1"/>
        <item x="5"/>
        <item x="24"/>
        <item x="13"/>
        <item x="14"/>
        <item m="1" x="54"/>
        <item x="3"/>
        <item x="11"/>
        <item x="25"/>
        <item x="26"/>
        <item x="27"/>
        <item x="28"/>
        <item x="12"/>
        <item m="1" x="56"/>
        <item x="15"/>
        <item x="29"/>
        <item m="1" x="53"/>
        <item x="16"/>
        <item x="17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</pivotField>
    <pivotField axis="axisRow" compact="0" outline="0" showAll="0" defaultSubtotal="0">
      <items count="262">
        <item m="1" x="261"/>
        <item x="18"/>
        <item x="25"/>
        <item x="2"/>
        <item x="136"/>
        <item x="1"/>
        <item x="98"/>
        <item x="154"/>
        <item x="104"/>
        <item x="137"/>
        <item x="95"/>
        <item x="75"/>
        <item x="111"/>
        <item x="62"/>
        <item x="67"/>
        <item x="149"/>
        <item x="7"/>
        <item x="92"/>
        <item x="147"/>
        <item x="143"/>
        <item x="139"/>
        <item x="91"/>
        <item x="63"/>
        <item x="82"/>
        <item x="146"/>
        <item x="64"/>
        <item x="115"/>
        <item x="127"/>
        <item x="99"/>
        <item x="96"/>
        <item x="110"/>
        <item x="108"/>
        <item x="152"/>
        <item x="57"/>
        <item x="130"/>
        <item x="121"/>
        <item x="112"/>
        <item x="117"/>
        <item x="129"/>
        <item x="23"/>
        <item x="120"/>
        <item x="153"/>
        <item x="113"/>
        <item x="131"/>
        <item x="126"/>
        <item x="122"/>
        <item x="118"/>
        <item x="116"/>
        <item x="58"/>
        <item x="24"/>
        <item x="109"/>
        <item x="124"/>
        <item x="125"/>
        <item x="128"/>
        <item x="0"/>
        <item x="11"/>
        <item x="150"/>
        <item x="114"/>
        <item x="56"/>
        <item x="68"/>
        <item x="90"/>
        <item x="138"/>
        <item x="60"/>
        <item x="87"/>
        <item x="9"/>
        <item x="144"/>
        <item x="103"/>
        <item x="14"/>
        <item x="161"/>
        <item x="61"/>
        <item x="159"/>
        <item x="102"/>
        <item x="70"/>
        <item x="55"/>
        <item x="74"/>
        <item x="15"/>
        <item x="72"/>
        <item x="66"/>
        <item x="89"/>
        <item x="81"/>
        <item x="105"/>
        <item x="8"/>
        <item x="78"/>
        <item x="107"/>
        <item x="73"/>
        <item x="65"/>
        <item x="88"/>
        <item x="10"/>
        <item x="100"/>
        <item x="53"/>
        <item x="59"/>
        <item x="69"/>
        <item x="77"/>
        <item x="141"/>
        <item x="86"/>
        <item x="93"/>
        <item x="142"/>
        <item x="12"/>
        <item x="13"/>
        <item x="156"/>
        <item x="123"/>
        <item x="151"/>
        <item x="84"/>
        <item x="101"/>
        <item x="155"/>
        <item x="49"/>
        <item x="80"/>
        <item x="76"/>
        <item x="54"/>
        <item x="160"/>
        <item x="85"/>
        <item x="148"/>
        <item x="158"/>
        <item x="71"/>
        <item x="16"/>
        <item x="83"/>
        <item x="48"/>
        <item x="119"/>
        <item x="79"/>
        <item x="52"/>
        <item x="140"/>
        <item x="106"/>
        <item x="17"/>
        <item x="94"/>
        <item x="50"/>
        <item x="97"/>
        <item x="26"/>
        <item x="157"/>
        <item x="145"/>
        <item x="36"/>
        <item x="132"/>
        <item x="133"/>
        <item x="135"/>
        <item x="134"/>
        <item x="34"/>
        <item x="32"/>
        <item x="43"/>
        <item x="28"/>
        <item x="41"/>
        <item x="33"/>
        <item x="37"/>
        <item x="45"/>
        <item x="44"/>
        <item x="29"/>
        <item x="46"/>
        <item x="40"/>
        <item x="42"/>
        <item x="30"/>
        <item x="31"/>
        <item x="4"/>
        <item x="21"/>
        <item x="5"/>
        <item x="22"/>
        <item x="6"/>
        <item x="20"/>
        <item x="51"/>
        <item x="162"/>
        <item x="3"/>
        <item x="163"/>
        <item x="164"/>
        <item x="165"/>
        <item x="166"/>
        <item x="167"/>
        <item x="168"/>
        <item x="169"/>
        <item x="170"/>
        <item x="27"/>
        <item x="38"/>
        <item x="39"/>
        <item x="47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19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35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42">
        <item x="66"/>
        <item x="92"/>
        <item x="9"/>
        <item m="1" x="137"/>
        <item x="54"/>
        <item x="84"/>
        <item x="8"/>
        <item x="51"/>
        <item x="36"/>
        <item x="100"/>
        <item x="82"/>
        <item x="10"/>
        <item x="74"/>
        <item x="90"/>
        <item x="102"/>
        <item m="1" x="136"/>
        <item x="98"/>
        <item x="45"/>
        <item x="58"/>
        <item x="60"/>
        <item m="1" x="139"/>
        <item x="38"/>
        <item x="86"/>
        <item m="1" x="138"/>
        <item x="95"/>
        <item x="71"/>
        <item x="3"/>
        <item x="93"/>
        <item x="48"/>
        <item x="34"/>
        <item x="41"/>
        <item x="61"/>
        <item x="46"/>
        <item x="67"/>
        <item x="44"/>
        <item x="11"/>
        <item x="47"/>
        <item m="1" x="133"/>
        <item x="39"/>
        <item x="30"/>
        <item x="53"/>
        <item x="96"/>
        <item x="70"/>
        <item x="43"/>
        <item x="85"/>
        <item x="40"/>
        <item x="91"/>
        <item m="1" x="140"/>
        <item x="76"/>
        <item x="57"/>
        <item x="72"/>
        <item x="68"/>
        <item x="59"/>
        <item x="73"/>
        <item x="88"/>
        <item x="62"/>
        <item x="63"/>
        <item m="1" x="135"/>
        <item x="69"/>
        <item x="101"/>
        <item x="52"/>
        <item x="33"/>
        <item x="75"/>
        <item x="64"/>
        <item x="56"/>
        <item x="83"/>
        <item x="81"/>
        <item x="35"/>
        <item x="97"/>
        <item x="79"/>
        <item x="13"/>
        <item x="15"/>
        <item x="24"/>
        <item x="19"/>
        <item x="25"/>
        <item x="17"/>
        <item x="12"/>
        <item x="20"/>
        <item x="28"/>
        <item x="22"/>
        <item x="31"/>
        <item x="32"/>
        <item x="26"/>
        <item x="16"/>
        <item x="23"/>
        <item x="21"/>
        <item x="27"/>
        <item x="29"/>
        <item x="14"/>
        <item x="18"/>
        <item x="55"/>
        <item x="1"/>
        <item x="106"/>
        <item x="103"/>
        <item x="99"/>
        <item m="1" x="141"/>
        <item x="113"/>
        <item x="37"/>
        <item x="89"/>
        <item x="104"/>
        <item x="42"/>
        <item x="80"/>
        <item x="94"/>
        <item x="77"/>
        <item x="78"/>
        <item x="50"/>
        <item x="105"/>
        <item x="6"/>
        <item m="1" x="134"/>
        <item x="5"/>
        <item x="87"/>
        <item m="1" x="132"/>
        <item m="1" x="131"/>
        <item x="107"/>
        <item x="0"/>
        <item x="4"/>
        <item x="65"/>
        <item x="109"/>
        <item x="2"/>
        <item m="1" x="130"/>
        <item x="7"/>
        <item x="112"/>
        <item x="114"/>
        <item x="115"/>
        <item x="116"/>
        <item x="117"/>
        <item x="118"/>
        <item x="119"/>
        <item x="120"/>
        <item x="121"/>
        <item x="108"/>
        <item x="110"/>
        <item x="111"/>
        <item x="122"/>
        <item x="123"/>
        <item x="124"/>
        <item x="125"/>
        <item x="126"/>
        <item x="49"/>
        <item x="127"/>
        <item x="128"/>
        <item x="129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defaultSubtotal="0">
      <items count="3">
        <item h="1" x="0"/>
        <item x="1"/>
        <item h="1" x="2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15">
        <item x="27"/>
        <item x="22"/>
        <item x="21"/>
        <item x="20"/>
        <item x="25"/>
        <item x="23"/>
        <item x="19"/>
        <item x="24"/>
        <item x="26"/>
        <item x="15"/>
        <item x="11"/>
        <item x="9"/>
        <item x="10"/>
        <item x="41"/>
        <item x="18"/>
        <item x="16"/>
        <item x="17"/>
        <item x="28"/>
        <item x="12"/>
        <item x="14"/>
        <item x="13"/>
        <item x="39"/>
        <item x="3"/>
        <item x="37"/>
        <item x="31"/>
        <item x="1"/>
        <item x="34"/>
        <item x="29"/>
        <item x="5"/>
        <item x="8"/>
        <item x="2"/>
        <item x="40"/>
        <item x="7"/>
        <item x="6"/>
        <item x="35"/>
        <item x="0"/>
        <item x="52"/>
        <item m="1" x="114"/>
        <item x="50"/>
        <item x="53"/>
        <item x="55"/>
        <item m="1" x="113"/>
        <item x="57"/>
        <item x="58"/>
        <item x="59"/>
        <item x="47"/>
        <item x="45"/>
        <item x="61"/>
        <item x="62"/>
        <item x="63"/>
        <item x="56"/>
        <item x="64"/>
        <item x="44"/>
        <item m="1" x="104"/>
        <item m="1" x="105"/>
        <item m="1" x="106"/>
        <item x="33"/>
        <item m="1" x="107"/>
        <item m="1" x="108"/>
        <item m="1" x="109"/>
        <item m="1" x="110"/>
        <item x="43"/>
        <item m="1" x="111"/>
        <item m="1" x="112"/>
        <item m="1" x="100"/>
        <item m="1" x="101"/>
        <item x="74"/>
        <item x="48"/>
        <item x="49"/>
        <item x="75"/>
        <item x="51"/>
        <item x="76"/>
        <item x="60"/>
        <item x="77"/>
        <item x="78"/>
        <item x="68"/>
        <item x="36"/>
        <item x="32"/>
        <item x="80"/>
        <item m="1" x="103"/>
        <item x="46"/>
        <item x="4"/>
        <item x="38"/>
        <item x="54"/>
        <item x="73"/>
        <item x="79"/>
        <item x="81"/>
        <item x="82"/>
        <item x="83"/>
        <item m="1" x="102"/>
        <item x="85"/>
        <item x="86"/>
        <item x="87"/>
        <item x="84"/>
        <item x="88"/>
        <item x="42"/>
        <item x="65"/>
        <item x="66"/>
        <item x="67"/>
        <item x="69"/>
        <item x="70"/>
        <item x="71"/>
        <item x="72"/>
        <item x="89"/>
        <item x="90"/>
        <item m="1" x="99"/>
        <item x="91"/>
        <item x="92"/>
        <item x="93"/>
        <item x="94"/>
        <item m="1" x="98"/>
        <item x="95"/>
        <item x="96"/>
        <item x="30"/>
        <item x="97"/>
      </items>
    </pivotField>
  </pivotFields>
  <rowFields count="7">
    <field x="34"/>
    <field x="5"/>
    <field x="7"/>
    <field x="8"/>
    <field x="9"/>
    <field x="19"/>
    <field x="42"/>
  </rowFields>
  <rowItems count="22">
    <i>
      <x v="1"/>
      <x v="1"/>
      <x/>
      <x v="32"/>
      <x v="129"/>
      <x v="85"/>
      <x v="14"/>
    </i>
    <i r="3">
      <x v="33"/>
      <x v="167"/>
      <x v="84"/>
      <x v="3"/>
    </i>
    <i r="4">
      <x v="168"/>
      <x v="72"/>
      <x v="3"/>
    </i>
    <i r="2">
      <x v="2"/>
      <x v="18"/>
      <x v="134"/>
      <x v="73"/>
      <x v="15"/>
    </i>
    <i r="4">
      <x v="135"/>
      <x v="75"/>
      <x v="19"/>
    </i>
    <i r="4">
      <x v="136"/>
      <x v="78"/>
      <x v="7"/>
    </i>
    <i r="4">
      <x v="137"/>
      <x v="70"/>
      <x v="12"/>
    </i>
    <i r="4">
      <x v="138"/>
      <x v="82"/>
      <x v="1"/>
    </i>
    <i r="4">
      <x v="139"/>
      <x v="89"/>
      <x v="9"/>
    </i>
    <i r="4">
      <x v="140"/>
      <x v="79"/>
      <x v="6"/>
    </i>
    <i r="4">
      <x v="141"/>
      <x v="39"/>
      <x v="8"/>
    </i>
    <i r="4">
      <x v="142"/>
      <x v="87"/>
      <x v="4"/>
    </i>
    <i r="3">
      <x v="19"/>
      <x v="143"/>
      <x v="88"/>
      <x v="10"/>
    </i>
    <i r="4">
      <x v="144"/>
      <x v="80"/>
      <x/>
    </i>
    <i r="4">
      <x v="145"/>
      <x v="74"/>
      <x v="2"/>
    </i>
    <i r="4">
      <x v="146"/>
      <x v="86"/>
      <x v="5"/>
    </i>
    <i r="4">
      <x v="147"/>
      <x v="71"/>
      <x v="18"/>
    </i>
    <i r="4">
      <x v="148"/>
      <x v="83"/>
      <x v="20"/>
    </i>
    <i r="2">
      <x v="12"/>
      <x v="27"/>
      <x v="166"/>
      <x v="76"/>
      <x v="11"/>
    </i>
    <i r="3">
      <x v="29"/>
      <x v="169"/>
      <x v="81"/>
      <x v="17"/>
    </i>
    <i r="4">
      <x v="232"/>
      <x v="77"/>
      <x v="16"/>
    </i>
    <i t="grand">
      <x/>
    </i>
  </rowItems>
  <colItems count="1">
    <i/>
  </colItems>
  <dataFields count="1">
    <dataField name="Cantidad Impresoras" fld="34" subtotal="count" baseField="32" baseItem="0"/>
  </dataFields>
  <formats count="63">
    <format dxfId="62">
      <pivotArea field="34" type="button" dataOnly="0" labelOnly="1" outline="0" axis="axisRow" fieldPosition="0"/>
    </format>
    <format dxfId="61">
      <pivotArea field="5" type="button" dataOnly="0" labelOnly="1" outline="0" axis="axisRow" fieldPosition="1"/>
    </format>
    <format dxfId="60">
      <pivotArea field="7" type="button" dataOnly="0" labelOnly="1" outline="0" axis="axisRow" fieldPosition="2"/>
    </format>
    <format dxfId="59">
      <pivotArea field="8" type="button" dataOnly="0" labelOnly="1" outline="0" axis="axisRow" fieldPosition="3"/>
    </format>
    <format dxfId="58">
      <pivotArea field="9" type="button" dataOnly="0" labelOnly="1" outline="0" axis="axisRow" fieldPosition="4"/>
    </format>
    <format dxfId="57">
      <pivotArea field="19" type="button" dataOnly="0" labelOnly="1" outline="0" axis="axisRow" fieldPosition="5"/>
    </format>
    <format dxfId="56">
      <pivotArea field="42" type="button" dataOnly="0" labelOnly="1" outline="0" axis="axisRow" fieldPosition="6"/>
    </format>
    <format dxfId="55">
      <pivotArea dataOnly="0" labelOnly="1" outline="0" axis="axisValues" fieldPosition="0"/>
    </format>
    <format dxfId="54">
      <pivotArea field="34" type="button" dataOnly="0" labelOnly="1" outline="0" axis="axisRow" fieldPosition="0"/>
    </format>
    <format dxfId="53">
      <pivotArea field="5" type="button" dataOnly="0" labelOnly="1" outline="0" axis="axisRow" fieldPosition="1"/>
    </format>
    <format dxfId="52">
      <pivotArea field="7" type="button" dataOnly="0" labelOnly="1" outline="0" axis="axisRow" fieldPosition="2"/>
    </format>
    <format dxfId="51">
      <pivotArea field="8" type="button" dataOnly="0" labelOnly="1" outline="0" axis="axisRow" fieldPosition="3"/>
    </format>
    <format dxfId="50">
      <pivotArea field="9" type="button" dataOnly="0" labelOnly="1" outline="0" axis="axisRow" fieldPosition="4"/>
    </format>
    <format dxfId="49">
      <pivotArea field="19" type="button" dataOnly="0" labelOnly="1" outline="0" axis="axisRow" fieldPosition="5"/>
    </format>
    <format dxfId="48">
      <pivotArea field="42" type="button" dataOnly="0" labelOnly="1" outline="0" axis="axisRow" fieldPosition="6"/>
    </format>
    <format dxfId="47">
      <pivotArea dataOnly="0" labelOnly="1" outline="0" axis="axisValues" fieldPosition="0"/>
    </format>
    <format dxfId="46">
      <pivotArea dataOnly="0" labelOnly="1" outline="0" offset="IV2:IV256" fieldPosition="0">
        <references count="4">
          <reference field="5" count="1" selected="0">
            <x v="1"/>
          </reference>
          <reference field="7" count="1" selected="0">
            <x v="0"/>
          </reference>
          <reference field="8" count="1">
            <x v="8"/>
          </reference>
          <reference field="34" count="0" selected="0"/>
        </references>
      </pivotArea>
    </format>
    <format dxfId="45">
      <pivotArea dataOnly="0" labelOnly="1" outline="0" fieldPosition="0">
        <references count="4">
          <reference field="5" count="1" selected="0">
            <x v="1"/>
          </reference>
          <reference field="7" count="1" selected="0">
            <x v="2"/>
          </reference>
          <reference field="8" count="3">
            <x v="18"/>
            <x v="19"/>
            <x v="20"/>
          </reference>
          <reference field="34" count="0" selected="0"/>
        </references>
      </pivotArea>
    </format>
    <format dxfId="44">
      <pivotArea dataOnly="0" labelOnly="1" outline="0" fieldPosition="0">
        <references count="5">
          <reference field="5" count="1" selected="0">
            <x v="1"/>
          </reference>
          <reference field="7" count="1" selected="0">
            <x v="0"/>
          </reference>
          <reference field="8" count="1" selected="0">
            <x v="8"/>
          </reference>
          <reference field="9" count="1">
            <x v="129"/>
          </reference>
          <reference field="34" count="0" selected="0"/>
        </references>
      </pivotArea>
    </format>
    <format dxfId="43">
      <pivotArea dataOnly="0" labelOnly="1" outline="0" fieldPosition="0">
        <references count="5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9">
            <x v="134"/>
            <x v="135"/>
            <x v="136"/>
            <x v="137"/>
            <x v="138"/>
            <x v="139"/>
            <x v="140"/>
            <x v="141"/>
            <x v="142"/>
          </reference>
          <reference field="34" count="0" selected="0"/>
        </references>
      </pivotArea>
    </format>
    <format dxfId="42">
      <pivotArea dataOnly="0" labelOnly="1" outline="0" fieldPosition="0">
        <references count="5">
          <reference field="5" count="1" selected="0">
            <x v="1"/>
          </reference>
          <reference field="7" count="1" selected="0">
            <x v="2"/>
          </reference>
          <reference field="8" count="1" selected="0">
            <x v="19"/>
          </reference>
          <reference field="9" count="6">
            <x v="143"/>
            <x v="144"/>
            <x v="145"/>
            <x v="146"/>
            <x v="147"/>
            <x v="148"/>
          </reference>
          <reference field="34" count="0" selected="0"/>
        </references>
      </pivotArea>
    </format>
    <format dxfId="41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0"/>
          </reference>
          <reference field="8" count="1" selected="0">
            <x v="8"/>
          </reference>
          <reference field="9" count="1" selected="0">
            <x v="129"/>
          </reference>
          <reference field="19" count="1">
            <x v="85"/>
          </reference>
          <reference field="34" count="0" selected="0"/>
        </references>
      </pivotArea>
    </format>
    <format dxfId="40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35"/>
          </reference>
          <reference field="19" count="1">
            <x v="75"/>
          </reference>
          <reference field="34" count="0" selected="0"/>
        </references>
      </pivotArea>
    </format>
    <format dxfId="39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38"/>
          </reference>
          <reference field="19" count="1">
            <x v="82"/>
          </reference>
          <reference field="34" count="0" selected="0"/>
        </references>
      </pivotArea>
    </format>
    <format dxfId="38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39"/>
          </reference>
          <reference field="19" count="1">
            <x v="89"/>
          </reference>
          <reference field="34" count="0" selected="0"/>
        </references>
      </pivotArea>
    </format>
    <format dxfId="37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40"/>
          </reference>
          <reference field="19" count="1">
            <x v="79"/>
          </reference>
          <reference field="34" count="0" selected="0"/>
        </references>
      </pivotArea>
    </format>
    <format dxfId="36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41"/>
          </reference>
          <reference field="19" count="1">
            <x v="39"/>
          </reference>
          <reference field="34" count="0" selected="0"/>
        </references>
      </pivotArea>
    </format>
    <format dxfId="35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42"/>
          </reference>
          <reference field="19" count="1">
            <x v="87"/>
          </reference>
          <reference field="34" count="0" selected="0"/>
        </references>
      </pivotArea>
    </format>
    <format dxfId="34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9"/>
          </reference>
          <reference field="9" count="1" selected="0">
            <x v="143"/>
          </reference>
          <reference field="19" count="1">
            <x v="88"/>
          </reference>
          <reference field="34" count="0" selected="0"/>
        </references>
      </pivotArea>
    </format>
    <format dxfId="33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9"/>
          </reference>
          <reference field="9" count="1" selected="0">
            <x v="144"/>
          </reference>
          <reference field="19" count="1">
            <x v="76"/>
          </reference>
          <reference field="34" count="0" selected="0"/>
        </references>
      </pivotArea>
    </format>
    <format dxfId="32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9"/>
          </reference>
          <reference field="9" count="1" selected="0">
            <x v="145"/>
          </reference>
          <reference field="19" count="1">
            <x v="74"/>
          </reference>
          <reference field="34" count="0" selected="0"/>
        </references>
      </pivotArea>
    </format>
    <format dxfId="31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9"/>
          </reference>
          <reference field="9" count="1" selected="0">
            <x v="146"/>
          </reference>
          <reference field="19" count="1">
            <x v="86"/>
          </reference>
          <reference field="34" count="0" selected="0"/>
        </references>
      </pivotArea>
    </format>
    <format dxfId="30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9"/>
          </reference>
          <reference field="9" count="1" selected="0">
            <x v="147"/>
          </reference>
          <reference field="19" count="1">
            <x v="71"/>
          </reference>
          <reference field="34" count="0" selected="0"/>
        </references>
      </pivotArea>
    </format>
    <format dxfId="29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9"/>
          </reference>
          <reference field="9" count="1" selected="0">
            <x v="148"/>
          </reference>
          <reference field="19" count="1">
            <x v="83"/>
          </reference>
          <reference field="34" count="0" selected="0"/>
        </references>
      </pivotArea>
    </format>
    <format dxfId="28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0"/>
          </reference>
          <reference field="8" count="1" selected="0">
            <x v="8"/>
          </reference>
          <reference field="9" count="1" selected="0">
            <x v="129"/>
          </reference>
          <reference field="19" count="1" selected="0">
            <x v="85"/>
          </reference>
          <reference field="34" count="0" selected="0"/>
          <reference field="42" count="1">
            <x v="14"/>
          </reference>
        </references>
      </pivotArea>
    </format>
    <format dxfId="27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9"/>
          </reference>
          <reference field="9" count="1" selected="0">
            <x v="144"/>
          </reference>
          <reference field="19" count="1" selected="0">
            <x v="76"/>
          </reference>
          <reference field="34" count="0" selected="0"/>
          <reference field="42" count="1">
            <x v="11"/>
          </reference>
        </references>
      </pivotArea>
    </format>
    <format dxfId="26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42"/>
          </reference>
          <reference field="19" count="1">
            <x v="87"/>
          </reference>
          <reference field="34" count="0" selected="0"/>
        </references>
      </pivotArea>
    </format>
    <format dxfId="25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42"/>
          </reference>
          <reference field="19" count="1">
            <x v="87"/>
          </reference>
          <reference field="34" count="0" selected="0"/>
        </references>
      </pivotArea>
    </format>
    <format dxfId="24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42"/>
          </reference>
          <reference field="19" count="1">
            <x v="87"/>
          </reference>
          <reference field="34" count="0" selected="0"/>
        </references>
      </pivotArea>
    </format>
    <format dxfId="23">
      <pivotArea dataOnly="0" labelOnly="1" outline="0" fieldPosition="0">
        <references count="5">
          <reference field="5" count="1" selected="0">
            <x v="1"/>
          </reference>
          <reference field="7" count="1" selected="0">
            <x v="12"/>
          </reference>
          <reference field="8" count="1" selected="0">
            <x v="27"/>
          </reference>
          <reference field="9" count="1">
            <x v="166"/>
          </reference>
          <reference field="34" count="0" selected="0"/>
        </references>
      </pivotArea>
    </format>
    <format dxfId="22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0"/>
          </reference>
          <reference field="8" count="1" selected="0">
            <x v="33"/>
          </reference>
          <reference field="9" count="1" selected="0">
            <x v="168"/>
          </reference>
          <reference field="19" count="1" selected="0">
            <x v="72"/>
          </reference>
          <reference field="34" count="0" selected="0"/>
          <reference field="42" count="1">
            <x v="3"/>
          </reference>
        </references>
      </pivotArea>
    </format>
    <format dxfId="21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34"/>
          </reference>
          <reference field="19" count="1" selected="0">
            <x v="73"/>
          </reference>
          <reference field="34" count="0" selected="0"/>
          <reference field="42" count="1">
            <x v="15"/>
          </reference>
        </references>
      </pivotArea>
    </format>
    <format dxfId="20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35"/>
          </reference>
          <reference field="19" count="1" selected="0">
            <x v="75"/>
          </reference>
          <reference field="34" count="0" selected="0"/>
          <reference field="42" count="1">
            <x v="19"/>
          </reference>
        </references>
      </pivotArea>
    </format>
    <format dxfId="19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36"/>
          </reference>
          <reference field="19" count="1" selected="0">
            <x v="78"/>
          </reference>
          <reference field="34" count="0" selected="0"/>
          <reference field="42" count="1">
            <x v="7"/>
          </reference>
        </references>
      </pivotArea>
    </format>
    <format dxfId="18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37"/>
          </reference>
          <reference field="19" count="1" selected="0">
            <x v="70"/>
          </reference>
          <reference field="34" count="0" selected="0"/>
          <reference field="42" count="1">
            <x v="12"/>
          </reference>
        </references>
      </pivotArea>
    </format>
    <format dxfId="17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38"/>
          </reference>
          <reference field="19" count="1" selected="0">
            <x v="82"/>
          </reference>
          <reference field="34" count="0" selected="0"/>
          <reference field="42" count="1">
            <x v="1"/>
          </reference>
        </references>
      </pivotArea>
    </format>
    <format dxfId="16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39"/>
          </reference>
          <reference field="19" count="1" selected="0">
            <x v="89"/>
          </reference>
          <reference field="34" count="0" selected="0"/>
          <reference field="42" count="1">
            <x v="9"/>
          </reference>
        </references>
      </pivotArea>
    </format>
    <format dxfId="15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40"/>
          </reference>
          <reference field="19" count="1" selected="0">
            <x v="79"/>
          </reference>
          <reference field="34" count="0" selected="0"/>
          <reference field="42" count="1">
            <x v="6"/>
          </reference>
        </references>
      </pivotArea>
    </format>
    <format dxfId="14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41"/>
          </reference>
          <reference field="19" count="1" selected="0">
            <x v="39"/>
          </reference>
          <reference field="34" count="0" selected="0"/>
          <reference field="42" count="1">
            <x v="8"/>
          </reference>
        </references>
      </pivotArea>
    </format>
    <format dxfId="13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42"/>
          </reference>
          <reference field="19" count="1" selected="0">
            <x v="87"/>
          </reference>
          <reference field="34" count="0" selected="0"/>
          <reference field="42" count="1">
            <x v="4"/>
          </reference>
        </references>
      </pivotArea>
    </format>
    <format dxfId="12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9"/>
          </reference>
          <reference field="9" count="1" selected="0">
            <x v="143"/>
          </reference>
          <reference field="19" count="1" selected="0">
            <x v="88"/>
          </reference>
          <reference field="34" count="0" selected="0"/>
          <reference field="42" count="1">
            <x v="10"/>
          </reference>
        </references>
      </pivotArea>
    </format>
    <format dxfId="11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9"/>
          </reference>
          <reference field="9" count="1" selected="0">
            <x v="144"/>
          </reference>
          <reference field="19" count="1" selected="0">
            <x v="80"/>
          </reference>
          <reference field="34" count="0" selected="0"/>
          <reference field="42" count="1">
            <x v="0"/>
          </reference>
        </references>
      </pivotArea>
    </format>
    <format dxfId="10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9"/>
          </reference>
          <reference field="9" count="1" selected="0">
            <x v="145"/>
          </reference>
          <reference field="19" count="1" selected="0">
            <x v="74"/>
          </reference>
          <reference field="34" count="0" selected="0"/>
          <reference field="42" count="1">
            <x v="2"/>
          </reference>
        </references>
      </pivotArea>
    </format>
    <format dxfId="9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9"/>
          </reference>
          <reference field="9" count="1" selected="0">
            <x v="146"/>
          </reference>
          <reference field="19" count="1" selected="0">
            <x v="86"/>
          </reference>
          <reference field="34" count="0" selected="0"/>
          <reference field="42" count="1">
            <x v="5"/>
          </reference>
        </references>
      </pivotArea>
    </format>
    <format dxfId="8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9"/>
          </reference>
          <reference field="9" count="1" selected="0">
            <x v="147"/>
          </reference>
          <reference field="19" count="1" selected="0">
            <x v="71"/>
          </reference>
          <reference field="34" count="0" selected="0"/>
          <reference field="42" count="1">
            <x v="18"/>
          </reference>
        </references>
      </pivotArea>
    </format>
    <format dxfId="7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2"/>
          </reference>
          <reference field="8" count="1" selected="0">
            <x v="19"/>
          </reference>
          <reference field="9" count="1" selected="0">
            <x v="148"/>
          </reference>
          <reference field="19" count="1" selected="0">
            <x v="83"/>
          </reference>
          <reference field="34" count="0" selected="0"/>
          <reference field="42" count="1">
            <x v="20"/>
          </reference>
        </references>
      </pivotArea>
    </format>
    <format dxfId="6">
      <pivotArea dataOnly="0" labelOnly="1" outline="0" fieldPosition="0">
        <references count="7">
          <reference field="5" count="1" selected="0">
            <x v="1"/>
          </reference>
          <reference field="7" count="1" selected="0">
            <x v="12"/>
          </reference>
          <reference field="8" count="1" selected="0">
            <x v="27"/>
          </reference>
          <reference field="9" count="1" selected="0">
            <x v="166"/>
          </reference>
          <reference field="19" count="1" selected="0">
            <x v="76"/>
          </reference>
          <reference field="34" count="0" selected="0"/>
          <reference field="42" count="1">
            <x v="11"/>
          </reference>
        </references>
      </pivotArea>
    </format>
    <format dxfId="5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42"/>
          </reference>
          <reference field="19" count="1">
            <x v="87"/>
          </reference>
          <reference field="34" count="0" selected="0"/>
        </references>
      </pivotArea>
    </format>
    <format dxfId="4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34"/>
          </reference>
          <reference field="19" count="1">
            <x v="73"/>
          </reference>
          <reference field="34" count="0" selected="0"/>
        </references>
      </pivotArea>
    </format>
    <format dxfId="3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36"/>
          </reference>
          <reference field="19" count="1">
            <x v="78"/>
          </reference>
          <reference field="34" count="0" selected="0"/>
        </references>
      </pivotArea>
    </format>
    <format dxfId="2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2"/>
          </reference>
          <reference field="8" count="1" selected="0">
            <x v="18"/>
          </reference>
          <reference field="9" count="1" selected="0">
            <x v="137"/>
          </reference>
          <reference field="19" count="1">
            <x v="70"/>
          </reference>
          <reference field="34" count="0" selected="0"/>
        </references>
      </pivotArea>
    </format>
    <format dxfId="1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0"/>
          </reference>
          <reference field="8" count="1" selected="0">
            <x v="33"/>
          </reference>
          <reference field="9" count="1" selected="0">
            <x v="167"/>
          </reference>
          <reference field="19" count="1">
            <x v="84"/>
          </reference>
          <reference field="34" count="0" selected="0"/>
        </references>
      </pivotArea>
    </format>
    <format dxfId="0">
      <pivotArea dataOnly="0" labelOnly="1" outline="0" fieldPosition="0">
        <references count="6">
          <reference field="5" count="1" selected="0">
            <x v="1"/>
          </reference>
          <reference field="7" count="1" selected="0">
            <x v="0"/>
          </reference>
          <reference field="8" count="1" selected="0">
            <x v="33"/>
          </reference>
          <reference field="9" count="1" selected="0">
            <x v="168"/>
          </reference>
          <reference field="19" count="1">
            <x v="72"/>
          </reference>
          <reference field="34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../AppData/Roaming/Microsoft/Excel/Inventario%202025%20Final.xlsx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6BF29-7DCE-460F-B110-22C69F62DB10}">
  <sheetPr codeName="Hoja1">
    <tabColor rgb="FF00B050"/>
  </sheetPr>
  <dimension ref="A1:Y282"/>
  <sheetViews>
    <sheetView zoomScale="115" zoomScaleNormal="115" workbookViewId="0">
      <pane xSplit="8" ySplit="1" topLeftCell="I105" activePane="bottomRight" state="frozen"/>
      <selection activeCell="F35" sqref="F35"/>
      <selection pane="topRight" activeCell="F35" sqref="F35"/>
      <selection pane="bottomLeft" activeCell="F35" sqref="F35"/>
      <selection pane="bottomRight" activeCell="C119" sqref="C119"/>
    </sheetView>
  </sheetViews>
  <sheetFormatPr baseColWidth="10" defaultColWidth="8.85546875" defaultRowHeight="15" x14ac:dyDescent="0.25"/>
  <cols>
    <col min="1" max="2" width="13.5703125" bestFit="1" customWidth="1"/>
    <col min="3" max="3" width="32.85546875" bestFit="1" customWidth="1"/>
    <col min="4" max="4" width="7.28515625" bestFit="1" customWidth="1"/>
    <col min="5" max="5" width="16.85546875" bestFit="1" customWidth="1"/>
    <col min="6" max="6" width="30.28515625" bestFit="1" customWidth="1"/>
    <col min="7" max="7" width="22.140625" bestFit="1" customWidth="1"/>
    <col min="8" max="8" width="21.140625" customWidth="1"/>
    <col min="9" max="9" width="25.140625" customWidth="1"/>
    <col min="10" max="10" width="9.85546875" customWidth="1"/>
  </cols>
  <sheetData>
    <row r="1" spans="1:25" s="104" customFormat="1" ht="38.25" x14ac:dyDescent="0.25">
      <c r="A1" s="100" t="s">
        <v>27</v>
      </c>
      <c r="B1" s="101" t="s">
        <v>28</v>
      </c>
      <c r="C1" s="101" t="s">
        <v>236</v>
      </c>
      <c r="D1" s="101" t="s">
        <v>237</v>
      </c>
      <c r="E1" s="101" t="s">
        <v>238</v>
      </c>
      <c r="F1" s="102" t="s">
        <v>239</v>
      </c>
      <c r="G1" s="102" t="s">
        <v>240</v>
      </c>
      <c r="H1" s="102" t="s">
        <v>241</v>
      </c>
      <c r="I1" s="102" t="s">
        <v>10</v>
      </c>
      <c r="J1" s="103" t="s">
        <v>1889</v>
      </c>
    </row>
    <row r="2" spans="1:25" x14ac:dyDescent="0.25">
      <c r="A2" s="15" t="s">
        <v>242</v>
      </c>
      <c r="B2" s="16" t="s">
        <v>243</v>
      </c>
      <c r="C2" s="17" t="s">
        <v>244</v>
      </c>
      <c r="D2" s="18" t="s">
        <v>245</v>
      </c>
      <c r="E2" s="19">
        <v>35080</v>
      </c>
      <c r="F2" s="20" t="s">
        <v>246</v>
      </c>
      <c r="G2" s="21" t="s">
        <v>247</v>
      </c>
      <c r="H2" s="21" t="s">
        <v>247</v>
      </c>
      <c r="I2" s="21" t="s">
        <v>1403</v>
      </c>
      <c r="J2" s="62"/>
    </row>
    <row r="3" spans="1:25" x14ac:dyDescent="0.25">
      <c r="A3" s="15" t="s">
        <v>248</v>
      </c>
      <c r="B3" s="16" t="s">
        <v>249</v>
      </c>
      <c r="C3" s="17" t="s">
        <v>250</v>
      </c>
      <c r="D3" s="18" t="s">
        <v>245</v>
      </c>
      <c r="E3" s="19">
        <v>35255</v>
      </c>
      <c r="F3" s="20" t="s">
        <v>251</v>
      </c>
      <c r="G3" s="21" t="s">
        <v>252</v>
      </c>
      <c r="H3" s="22" t="s">
        <v>253</v>
      </c>
      <c r="I3" s="21" t="s">
        <v>1379</v>
      </c>
      <c r="J3" s="62"/>
    </row>
    <row r="4" spans="1:25" x14ac:dyDescent="0.25">
      <c r="A4" s="15" t="s">
        <v>254</v>
      </c>
      <c r="B4" s="16" t="s">
        <v>255</v>
      </c>
      <c r="C4" s="47" t="s">
        <v>256</v>
      </c>
      <c r="D4" s="18" t="s">
        <v>245</v>
      </c>
      <c r="E4" s="19">
        <v>35262</v>
      </c>
      <c r="F4" s="20" t="s">
        <v>257</v>
      </c>
      <c r="G4" s="21" t="s">
        <v>258</v>
      </c>
      <c r="H4" s="22" t="s">
        <v>259</v>
      </c>
      <c r="I4" s="21" t="s">
        <v>1529</v>
      </c>
      <c r="J4" s="62"/>
    </row>
    <row r="5" spans="1:25" x14ac:dyDescent="0.25">
      <c r="A5" s="15" t="s">
        <v>260</v>
      </c>
      <c r="B5" s="16" t="s">
        <v>261</v>
      </c>
      <c r="C5" s="17" t="s">
        <v>262</v>
      </c>
      <c r="D5" s="18" t="s">
        <v>245</v>
      </c>
      <c r="E5" s="19">
        <v>35277</v>
      </c>
      <c r="F5" s="20" t="s">
        <v>263</v>
      </c>
      <c r="G5" s="21" t="s">
        <v>264</v>
      </c>
      <c r="H5" s="22" t="s">
        <v>264</v>
      </c>
      <c r="I5" s="21" t="s">
        <v>1409</v>
      </c>
      <c r="J5" s="62"/>
    </row>
    <row r="6" spans="1:25" x14ac:dyDescent="0.25">
      <c r="A6" s="15" t="s">
        <v>265</v>
      </c>
      <c r="B6" s="16" t="s">
        <v>266</v>
      </c>
      <c r="C6" s="47" t="s">
        <v>267</v>
      </c>
      <c r="D6" s="18" t="s">
        <v>245</v>
      </c>
      <c r="E6" s="19">
        <v>35278</v>
      </c>
      <c r="F6" s="20" t="s">
        <v>268</v>
      </c>
      <c r="G6" s="21" t="s">
        <v>264</v>
      </c>
      <c r="H6" s="22" t="s">
        <v>264</v>
      </c>
      <c r="I6" s="21" t="s">
        <v>1410</v>
      </c>
      <c r="J6" s="62"/>
      <c r="Y6" t="s">
        <v>93</v>
      </c>
    </row>
    <row r="7" spans="1:25" x14ac:dyDescent="0.25">
      <c r="A7" s="15" t="s">
        <v>269</v>
      </c>
      <c r="B7" s="16" t="s">
        <v>270</v>
      </c>
      <c r="C7" s="17" t="s">
        <v>271</v>
      </c>
      <c r="D7" s="18" t="s">
        <v>245</v>
      </c>
      <c r="E7" s="19">
        <v>35310</v>
      </c>
      <c r="F7" s="20" t="s">
        <v>272</v>
      </c>
      <c r="G7" s="21" t="s">
        <v>273</v>
      </c>
      <c r="H7" s="21" t="s">
        <v>247</v>
      </c>
      <c r="I7" s="21" t="s">
        <v>1399</v>
      </c>
      <c r="J7" s="62"/>
    </row>
    <row r="8" spans="1:25" x14ac:dyDescent="0.25">
      <c r="A8" s="15" t="s">
        <v>274</v>
      </c>
      <c r="B8" s="16" t="s">
        <v>275</v>
      </c>
      <c r="C8" s="17" t="s">
        <v>276</v>
      </c>
      <c r="D8" s="18" t="s">
        <v>245</v>
      </c>
      <c r="E8" s="19">
        <v>35317</v>
      </c>
      <c r="F8" s="20" t="s">
        <v>277</v>
      </c>
      <c r="G8" s="21" t="s">
        <v>278</v>
      </c>
      <c r="H8" s="22" t="s">
        <v>253</v>
      </c>
      <c r="I8" s="21" t="s">
        <v>1376</v>
      </c>
      <c r="J8" s="62"/>
    </row>
    <row r="9" spans="1:25" x14ac:dyDescent="0.25">
      <c r="A9" s="18">
        <v>22090547</v>
      </c>
      <c r="B9" s="16" t="s">
        <v>279</v>
      </c>
      <c r="C9" s="17" t="s">
        <v>280</v>
      </c>
      <c r="D9" s="18" t="s">
        <v>245</v>
      </c>
      <c r="E9" s="19">
        <v>35327</v>
      </c>
      <c r="F9" s="20" t="s">
        <v>281</v>
      </c>
      <c r="G9" s="21" t="s">
        <v>282</v>
      </c>
      <c r="H9" s="22" t="s">
        <v>282</v>
      </c>
      <c r="I9" s="21" t="s">
        <v>1391</v>
      </c>
      <c r="J9" s="62"/>
    </row>
    <row r="10" spans="1:25" x14ac:dyDescent="0.25">
      <c r="A10" s="15" t="s">
        <v>628</v>
      </c>
      <c r="B10" s="16" t="s">
        <v>629</v>
      </c>
      <c r="C10" s="17" t="s">
        <v>630</v>
      </c>
      <c r="D10" s="18" t="s">
        <v>245</v>
      </c>
      <c r="E10" s="19">
        <v>44991</v>
      </c>
      <c r="F10" s="23" t="s">
        <v>631</v>
      </c>
      <c r="G10" s="21" t="s">
        <v>387</v>
      </c>
      <c r="H10" s="22" t="s">
        <v>259</v>
      </c>
      <c r="I10" s="21" t="s">
        <v>1425</v>
      </c>
      <c r="J10" s="62"/>
    </row>
    <row r="11" spans="1:25" x14ac:dyDescent="0.25">
      <c r="A11" s="15" t="s">
        <v>288</v>
      </c>
      <c r="B11" s="16" t="s">
        <v>289</v>
      </c>
      <c r="C11" s="17" t="s">
        <v>290</v>
      </c>
      <c r="D11" s="18" t="s">
        <v>245</v>
      </c>
      <c r="E11" s="19">
        <v>35338</v>
      </c>
      <c r="F11" s="20" t="s">
        <v>291</v>
      </c>
      <c r="G11" s="21" t="s">
        <v>292</v>
      </c>
      <c r="H11" s="22" t="s">
        <v>259</v>
      </c>
      <c r="I11" s="21"/>
      <c r="J11" s="62"/>
    </row>
    <row r="12" spans="1:25" x14ac:dyDescent="0.25">
      <c r="A12" s="15" t="s">
        <v>293</v>
      </c>
      <c r="B12" s="16" t="s">
        <v>294</v>
      </c>
      <c r="C12" s="17" t="s">
        <v>295</v>
      </c>
      <c r="D12" s="18" t="s">
        <v>245</v>
      </c>
      <c r="E12" s="19">
        <v>35339</v>
      </c>
      <c r="F12" s="20" t="s">
        <v>296</v>
      </c>
      <c r="G12" s="21" t="s">
        <v>297</v>
      </c>
      <c r="H12" s="22" t="s">
        <v>253</v>
      </c>
      <c r="I12" s="21" t="s">
        <v>1376</v>
      </c>
      <c r="J12" s="62"/>
    </row>
    <row r="13" spans="1:25" x14ac:dyDescent="0.25">
      <c r="A13" s="15" t="s">
        <v>298</v>
      </c>
      <c r="B13" s="16" t="s">
        <v>299</v>
      </c>
      <c r="C13" s="17" t="s">
        <v>300</v>
      </c>
      <c r="D13" s="18" t="s">
        <v>245</v>
      </c>
      <c r="E13" s="19">
        <v>35345</v>
      </c>
      <c r="F13" s="20" t="s">
        <v>301</v>
      </c>
      <c r="G13" s="21" t="s">
        <v>302</v>
      </c>
      <c r="H13" s="22" t="s">
        <v>302</v>
      </c>
      <c r="I13" s="21" t="s">
        <v>1398</v>
      </c>
      <c r="J13" s="62"/>
    </row>
    <row r="14" spans="1:25" x14ac:dyDescent="0.25">
      <c r="A14" s="34" t="s">
        <v>303</v>
      </c>
      <c r="B14" s="16" t="s">
        <v>304</v>
      </c>
      <c r="C14" s="17" t="s">
        <v>305</v>
      </c>
      <c r="D14" s="18" t="s">
        <v>245</v>
      </c>
      <c r="E14" s="19">
        <v>35354</v>
      </c>
      <c r="F14" s="20" t="s">
        <v>306</v>
      </c>
      <c r="G14" s="21" t="s">
        <v>282</v>
      </c>
      <c r="H14" s="22" t="s">
        <v>282</v>
      </c>
      <c r="I14" s="21" t="s">
        <v>1391</v>
      </c>
      <c r="J14" s="62"/>
    </row>
    <row r="15" spans="1:25" x14ac:dyDescent="0.25">
      <c r="A15" s="15" t="s">
        <v>307</v>
      </c>
      <c r="B15" s="16" t="s">
        <v>308</v>
      </c>
      <c r="C15" s="17" t="s">
        <v>309</v>
      </c>
      <c r="D15" s="18" t="s">
        <v>245</v>
      </c>
      <c r="E15" s="19">
        <v>35370</v>
      </c>
      <c r="F15" s="20" t="s">
        <v>310</v>
      </c>
      <c r="G15" s="21" t="s">
        <v>302</v>
      </c>
      <c r="H15" s="22" t="s">
        <v>302</v>
      </c>
      <c r="I15" s="21" t="s">
        <v>1398</v>
      </c>
      <c r="J15" s="62"/>
    </row>
    <row r="16" spans="1:25" x14ac:dyDescent="0.25">
      <c r="A16" s="15" t="s">
        <v>311</v>
      </c>
      <c r="B16" s="16" t="s">
        <v>312</v>
      </c>
      <c r="C16" s="17" t="s">
        <v>313</v>
      </c>
      <c r="D16" s="18" t="s">
        <v>245</v>
      </c>
      <c r="E16" s="19">
        <v>35401</v>
      </c>
      <c r="F16" s="20" t="s">
        <v>314</v>
      </c>
      <c r="G16" s="21" t="s">
        <v>315</v>
      </c>
      <c r="H16" s="22" t="s">
        <v>253</v>
      </c>
      <c r="I16" s="21" t="s">
        <v>1376</v>
      </c>
      <c r="J16" s="62"/>
    </row>
    <row r="17" spans="1:10" x14ac:dyDescent="0.25">
      <c r="A17" s="15" t="s">
        <v>569</v>
      </c>
      <c r="B17" s="16" t="s">
        <v>570</v>
      </c>
      <c r="C17" s="47" t="s">
        <v>571</v>
      </c>
      <c r="D17" s="18" t="s">
        <v>245</v>
      </c>
      <c r="E17" s="19">
        <v>43640</v>
      </c>
      <c r="F17" s="20" t="s">
        <v>525</v>
      </c>
      <c r="G17" s="21" t="s">
        <v>501</v>
      </c>
      <c r="H17" s="22" t="s">
        <v>253</v>
      </c>
      <c r="I17" s="21" t="s">
        <v>1377</v>
      </c>
      <c r="J17" s="62"/>
    </row>
    <row r="18" spans="1:10" x14ac:dyDescent="0.25">
      <c r="A18" s="15" t="s">
        <v>321</v>
      </c>
      <c r="B18" s="16" t="s">
        <v>322</v>
      </c>
      <c r="C18" s="17" t="s">
        <v>323</v>
      </c>
      <c r="D18" s="18" t="s">
        <v>245</v>
      </c>
      <c r="E18" s="19">
        <v>35583</v>
      </c>
      <c r="F18" s="20" t="s">
        <v>324</v>
      </c>
      <c r="G18" s="21" t="s">
        <v>315</v>
      </c>
      <c r="H18" s="22" t="s">
        <v>253</v>
      </c>
      <c r="I18" s="21" t="s">
        <v>1376</v>
      </c>
      <c r="J18" s="62"/>
    </row>
    <row r="19" spans="1:10" x14ac:dyDescent="0.25">
      <c r="A19" s="15" t="s">
        <v>325</v>
      </c>
      <c r="B19" s="16" t="s">
        <v>326</v>
      </c>
      <c r="C19" s="17" t="s">
        <v>327</v>
      </c>
      <c r="D19" s="18" t="s">
        <v>245</v>
      </c>
      <c r="E19" s="19">
        <v>35846</v>
      </c>
      <c r="F19" s="20" t="s">
        <v>328</v>
      </c>
      <c r="G19" s="21" t="s">
        <v>297</v>
      </c>
      <c r="H19" s="22" t="s">
        <v>253</v>
      </c>
      <c r="I19" s="21" t="s">
        <v>1376</v>
      </c>
      <c r="J19" s="62"/>
    </row>
    <row r="20" spans="1:10" x14ac:dyDescent="0.25">
      <c r="A20" s="15" t="s">
        <v>771</v>
      </c>
      <c r="B20" s="16" t="s">
        <v>772</v>
      </c>
      <c r="C20" s="17" t="s">
        <v>773</v>
      </c>
      <c r="D20" s="18" t="s">
        <v>245</v>
      </c>
      <c r="E20" s="19">
        <v>45482</v>
      </c>
      <c r="F20" s="20" t="s">
        <v>608</v>
      </c>
      <c r="G20" s="21" t="s">
        <v>445</v>
      </c>
      <c r="H20" s="22" t="s">
        <v>440</v>
      </c>
      <c r="I20" s="21"/>
      <c r="J20" s="62"/>
    </row>
    <row r="21" spans="1:10" x14ac:dyDescent="0.25">
      <c r="A21" s="15" t="s">
        <v>333</v>
      </c>
      <c r="B21" s="16" t="s">
        <v>334</v>
      </c>
      <c r="C21" s="17" t="s">
        <v>335</v>
      </c>
      <c r="D21" s="18" t="s">
        <v>245</v>
      </c>
      <c r="E21" s="19">
        <v>37539</v>
      </c>
      <c r="F21" s="20" t="s">
        <v>336</v>
      </c>
      <c r="G21" s="21" t="s">
        <v>287</v>
      </c>
      <c r="H21" s="22" t="s">
        <v>259</v>
      </c>
      <c r="I21" s="21"/>
      <c r="J21" s="62"/>
    </row>
    <row r="22" spans="1:10" x14ac:dyDescent="0.25">
      <c r="A22" s="15" t="s">
        <v>337</v>
      </c>
      <c r="B22" s="16" t="s">
        <v>338</v>
      </c>
      <c r="C22" s="17" t="s">
        <v>339</v>
      </c>
      <c r="D22" s="18" t="s">
        <v>245</v>
      </c>
      <c r="E22" s="19">
        <v>37956</v>
      </c>
      <c r="F22" s="20" t="s">
        <v>340</v>
      </c>
      <c r="G22" s="21" t="s">
        <v>302</v>
      </c>
      <c r="H22" s="22" t="s">
        <v>302</v>
      </c>
      <c r="I22" s="21" t="s">
        <v>1396</v>
      </c>
      <c r="J22" s="62"/>
    </row>
    <row r="23" spans="1:10" x14ac:dyDescent="0.25">
      <c r="A23" s="15" t="s">
        <v>341</v>
      </c>
      <c r="B23" s="16" t="s">
        <v>342</v>
      </c>
      <c r="C23" s="17" t="s">
        <v>343</v>
      </c>
      <c r="D23" s="18" t="s">
        <v>245</v>
      </c>
      <c r="E23" s="19">
        <v>38054</v>
      </c>
      <c r="F23" s="20" t="s">
        <v>344</v>
      </c>
      <c r="G23" s="21" t="s">
        <v>282</v>
      </c>
      <c r="H23" s="22" t="s">
        <v>282</v>
      </c>
      <c r="I23" s="21" t="s">
        <v>1391</v>
      </c>
      <c r="J23" s="62"/>
    </row>
    <row r="24" spans="1:10" x14ac:dyDescent="0.25">
      <c r="A24" s="15" t="s">
        <v>345</v>
      </c>
      <c r="B24" s="16" t="s">
        <v>346</v>
      </c>
      <c r="C24" s="17" t="s">
        <v>347</v>
      </c>
      <c r="D24" s="18" t="s">
        <v>245</v>
      </c>
      <c r="E24" s="19">
        <v>38078</v>
      </c>
      <c r="F24" s="20" t="s">
        <v>348</v>
      </c>
      <c r="G24" s="21" t="s">
        <v>349</v>
      </c>
      <c r="H24" s="22" t="s">
        <v>350</v>
      </c>
      <c r="I24" s="21" t="s">
        <v>1385</v>
      </c>
      <c r="J24" s="62"/>
    </row>
    <row r="25" spans="1:10" x14ac:dyDescent="0.25">
      <c r="A25" s="15" t="s">
        <v>351</v>
      </c>
      <c r="B25" s="16" t="s">
        <v>352</v>
      </c>
      <c r="C25" s="17" t="s">
        <v>353</v>
      </c>
      <c r="D25" s="18" t="s">
        <v>245</v>
      </c>
      <c r="E25" s="19">
        <v>38596</v>
      </c>
      <c r="F25" s="20" t="s">
        <v>354</v>
      </c>
      <c r="G25" s="21" t="s">
        <v>320</v>
      </c>
      <c r="H25" s="21" t="s">
        <v>247</v>
      </c>
      <c r="I25" s="21" t="s">
        <v>1404</v>
      </c>
      <c r="J25" s="62"/>
    </row>
    <row r="26" spans="1:10" x14ac:dyDescent="0.25">
      <c r="A26" s="15" t="s">
        <v>355</v>
      </c>
      <c r="B26" s="16" t="s">
        <v>356</v>
      </c>
      <c r="C26" s="17" t="s">
        <v>357</v>
      </c>
      <c r="D26" s="18" t="s">
        <v>245</v>
      </c>
      <c r="E26" s="19">
        <v>38749</v>
      </c>
      <c r="F26" s="20" t="s">
        <v>358</v>
      </c>
      <c r="G26" s="21" t="s">
        <v>292</v>
      </c>
      <c r="H26" s="22" t="s">
        <v>259</v>
      </c>
      <c r="I26" s="21"/>
      <c r="J26" s="62"/>
    </row>
    <row r="27" spans="1:10" x14ac:dyDescent="0.25">
      <c r="A27" s="18">
        <v>40235456</v>
      </c>
      <c r="B27" s="16" t="s">
        <v>359</v>
      </c>
      <c r="C27" s="17" t="s">
        <v>360</v>
      </c>
      <c r="D27" s="18" t="s">
        <v>245</v>
      </c>
      <c r="E27" s="19">
        <v>38899</v>
      </c>
      <c r="F27" s="20" t="s">
        <v>361</v>
      </c>
      <c r="G27" s="21" t="s">
        <v>349</v>
      </c>
      <c r="H27" s="22" t="s">
        <v>350</v>
      </c>
      <c r="I27" s="21" t="s">
        <v>1385</v>
      </c>
      <c r="J27" s="62"/>
    </row>
    <row r="28" spans="1:10" x14ac:dyDescent="0.25">
      <c r="A28" s="15" t="s">
        <v>362</v>
      </c>
      <c r="B28" s="16" t="s">
        <v>363</v>
      </c>
      <c r="C28" s="17" t="s">
        <v>364</v>
      </c>
      <c r="D28" s="18" t="s">
        <v>245</v>
      </c>
      <c r="E28" s="19">
        <v>38901</v>
      </c>
      <c r="F28" s="20" t="s">
        <v>340</v>
      </c>
      <c r="G28" s="21" t="s">
        <v>302</v>
      </c>
      <c r="H28" s="22" t="s">
        <v>302</v>
      </c>
      <c r="I28" s="21" t="s">
        <v>1396</v>
      </c>
      <c r="J28" s="62"/>
    </row>
    <row r="29" spans="1:10" x14ac:dyDescent="0.25">
      <c r="A29" s="15" t="s">
        <v>365</v>
      </c>
      <c r="B29" s="16" t="s">
        <v>366</v>
      </c>
      <c r="C29" s="17" t="s">
        <v>367</v>
      </c>
      <c r="D29" s="18" t="s">
        <v>245</v>
      </c>
      <c r="E29" s="19">
        <v>38915</v>
      </c>
      <c r="F29" s="20" t="s">
        <v>368</v>
      </c>
      <c r="G29" s="21" t="s">
        <v>278</v>
      </c>
      <c r="H29" s="22" t="s">
        <v>253</v>
      </c>
      <c r="I29" s="21" t="s">
        <v>1491</v>
      </c>
      <c r="J29" s="62"/>
    </row>
    <row r="30" spans="1:10" x14ac:dyDescent="0.25">
      <c r="A30" s="15" t="s">
        <v>369</v>
      </c>
      <c r="B30" s="16" t="s">
        <v>370</v>
      </c>
      <c r="C30" s="17" t="s">
        <v>371</v>
      </c>
      <c r="D30" s="18" t="s">
        <v>245</v>
      </c>
      <c r="E30" s="19">
        <v>39128</v>
      </c>
      <c r="F30" s="20" t="s">
        <v>301</v>
      </c>
      <c r="G30" s="21" t="s">
        <v>302</v>
      </c>
      <c r="H30" s="22" t="s">
        <v>302</v>
      </c>
      <c r="I30" s="21" t="s">
        <v>1398</v>
      </c>
      <c r="J30" s="62"/>
    </row>
    <row r="31" spans="1:10" x14ac:dyDescent="0.25">
      <c r="A31" s="15" t="s">
        <v>376</v>
      </c>
      <c r="B31" s="16" t="s">
        <v>377</v>
      </c>
      <c r="C31" s="17" t="s">
        <v>378</v>
      </c>
      <c r="D31" s="18" t="s">
        <v>245</v>
      </c>
      <c r="E31" s="19">
        <v>39206</v>
      </c>
      <c r="F31" s="20" t="s">
        <v>277</v>
      </c>
      <c r="G31" s="21" t="s">
        <v>278</v>
      </c>
      <c r="H31" s="22" t="s">
        <v>253</v>
      </c>
      <c r="I31" s="21" t="s">
        <v>1376</v>
      </c>
      <c r="J31" s="62"/>
    </row>
    <row r="32" spans="1:10" x14ac:dyDescent="0.25">
      <c r="A32" s="15" t="s">
        <v>372</v>
      </c>
      <c r="B32" s="16" t="s">
        <v>373</v>
      </c>
      <c r="C32" s="17" t="s">
        <v>374</v>
      </c>
      <c r="D32" s="18" t="s">
        <v>245</v>
      </c>
      <c r="E32" s="19">
        <v>39206</v>
      </c>
      <c r="F32" s="20" t="s">
        <v>375</v>
      </c>
      <c r="G32" s="21" t="s">
        <v>302</v>
      </c>
      <c r="H32" s="22" t="s">
        <v>302</v>
      </c>
      <c r="I32" s="21" t="s">
        <v>1397</v>
      </c>
      <c r="J32" s="62"/>
    </row>
    <row r="33" spans="1:10" x14ac:dyDescent="0.25">
      <c r="A33" s="34" t="s">
        <v>379</v>
      </c>
      <c r="B33" s="16" t="s">
        <v>380</v>
      </c>
      <c r="C33" s="17" t="s">
        <v>381</v>
      </c>
      <c r="D33" s="18" t="s">
        <v>245</v>
      </c>
      <c r="E33" s="19">
        <v>39407</v>
      </c>
      <c r="F33" s="20" t="s">
        <v>382</v>
      </c>
      <c r="G33" s="21" t="s">
        <v>383</v>
      </c>
      <c r="H33" s="22" t="s">
        <v>350</v>
      </c>
      <c r="I33" s="21" t="s">
        <v>1383</v>
      </c>
      <c r="J33" s="62"/>
    </row>
    <row r="34" spans="1:10" x14ac:dyDescent="0.25">
      <c r="A34" s="15" t="s">
        <v>384</v>
      </c>
      <c r="B34" s="16" t="s">
        <v>385</v>
      </c>
      <c r="C34" s="17" t="s">
        <v>386</v>
      </c>
      <c r="D34" s="18" t="s">
        <v>245</v>
      </c>
      <c r="E34" s="19">
        <v>39448</v>
      </c>
      <c r="F34" s="20" t="s">
        <v>336</v>
      </c>
      <c r="G34" s="21" t="s">
        <v>387</v>
      </c>
      <c r="H34" s="22" t="s">
        <v>259</v>
      </c>
      <c r="I34" s="21" t="s">
        <v>1425</v>
      </c>
      <c r="J34" s="62"/>
    </row>
    <row r="35" spans="1:10" x14ac:dyDescent="0.25">
      <c r="A35" s="15" t="s">
        <v>388</v>
      </c>
      <c r="B35" s="16" t="s">
        <v>389</v>
      </c>
      <c r="C35" s="17" t="s">
        <v>390</v>
      </c>
      <c r="D35" s="18" t="s">
        <v>245</v>
      </c>
      <c r="E35" s="19">
        <v>40330</v>
      </c>
      <c r="F35" s="20" t="s">
        <v>391</v>
      </c>
      <c r="G35" s="21" t="s">
        <v>282</v>
      </c>
      <c r="H35" s="22" t="s">
        <v>282</v>
      </c>
      <c r="I35" s="21" t="s">
        <v>1634</v>
      </c>
      <c r="J35" s="62"/>
    </row>
    <row r="36" spans="1:10" x14ac:dyDescent="0.25">
      <c r="A36" s="15" t="s">
        <v>392</v>
      </c>
      <c r="B36" s="16" t="s">
        <v>393</v>
      </c>
      <c r="C36" s="17" t="s">
        <v>394</v>
      </c>
      <c r="D36" s="18" t="s">
        <v>245</v>
      </c>
      <c r="E36" s="19">
        <v>40502</v>
      </c>
      <c r="F36" s="20" t="s">
        <v>395</v>
      </c>
      <c r="G36" s="21" t="s">
        <v>396</v>
      </c>
      <c r="H36" s="22" t="s">
        <v>396</v>
      </c>
      <c r="I36" s="21" t="s">
        <v>1392</v>
      </c>
      <c r="J36" s="62"/>
    </row>
    <row r="37" spans="1:10" x14ac:dyDescent="0.25">
      <c r="A37" s="15" t="s">
        <v>397</v>
      </c>
      <c r="B37" s="16" t="s">
        <v>398</v>
      </c>
      <c r="C37" s="17" t="s">
        <v>399</v>
      </c>
      <c r="D37" s="18" t="s">
        <v>245</v>
      </c>
      <c r="E37" s="19">
        <v>40575</v>
      </c>
      <c r="F37" s="20" t="s">
        <v>400</v>
      </c>
      <c r="G37" s="21" t="s">
        <v>401</v>
      </c>
      <c r="H37" s="21" t="s">
        <v>247</v>
      </c>
      <c r="I37" s="21" t="s">
        <v>1400</v>
      </c>
      <c r="J37" s="62"/>
    </row>
    <row r="38" spans="1:10" x14ac:dyDescent="0.25">
      <c r="A38" s="15" t="s">
        <v>402</v>
      </c>
      <c r="B38" s="16" t="s">
        <v>403</v>
      </c>
      <c r="C38" s="17" t="s">
        <v>404</v>
      </c>
      <c r="D38" s="18" t="s">
        <v>245</v>
      </c>
      <c r="E38" s="19">
        <v>40640</v>
      </c>
      <c r="F38" s="20" t="s">
        <v>340</v>
      </c>
      <c r="G38" s="21" t="s">
        <v>302</v>
      </c>
      <c r="H38" s="22" t="s">
        <v>302</v>
      </c>
      <c r="I38" s="21" t="s">
        <v>1396</v>
      </c>
      <c r="J38" s="62"/>
    </row>
    <row r="39" spans="1:10" x14ac:dyDescent="0.25">
      <c r="A39" s="15" t="s">
        <v>405</v>
      </c>
      <c r="B39" s="16" t="s">
        <v>406</v>
      </c>
      <c r="C39" s="17" t="s">
        <v>407</v>
      </c>
      <c r="D39" s="18" t="s">
        <v>245</v>
      </c>
      <c r="E39" s="19">
        <v>40833</v>
      </c>
      <c r="F39" s="20" t="s">
        <v>408</v>
      </c>
      <c r="G39" s="21" t="s">
        <v>282</v>
      </c>
      <c r="H39" s="22" t="s">
        <v>282</v>
      </c>
      <c r="I39" s="21" t="s">
        <v>1391</v>
      </c>
      <c r="J39" s="62"/>
    </row>
    <row r="40" spans="1:10" x14ac:dyDescent="0.25">
      <c r="A40" s="15" t="s">
        <v>409</v>
      </c>
      <c r="B40" s="16" t="s">
        <v>410</v>
      </c>
      <c r="C40" s="17" t="s">
        <v>411</v>
      </c>
      <c r="D40" s="18" t="s">
        <v>245</v>
      </c>
      <c r="E40" s="19">
        <v>40940</v>
      </c>
      <c r="F40" s="20" t="s">
        <v>336</v>
      </c>
      <c r="G40" s="21" t="s">
        <v>387</v>
      </c>
      <c r="H40" s="22" t="s">
        <v>259</v>
      </c>
      <c r="I40" s="21" t="s">
        <v>1425</v>
      </c>
      <c r="J40" s="62"/>
    </row>
    <row r="41" spans="1:10" x14ac:dyDescent="0.25">
      <c r="A41" s="15" t="s">
        <v>412</v>
      </c>
      <c r="B41" s="16" t="s">
        <v>413</v>
      </c>
      <c r="C41" s="17" t="s">
        <v>414</v>
      </c>
      <c r="D41" s="18" t="s">
        <v>245</v>
      </c>
      <c r="E41" s="19">
        <v>41232</v>
      </c>
      <c r="F41" s="20" t="s">
        <v>415</v>
      </c>
      <c r="G41" s="21" t="s">
        <v>278</v>
      </c>
      <c r="H41" s="22" t="s">
        <v>253</v>
      </c>
      <c r="I41" s="21" t="s">
        <v>1376</v>
      </c>
      <c r="J41" s="62"/>
    </row>
    <row r="42" spans="1:10" x14ac:dyDescent="0.25">
      <c r="A42" s="34" t="s">
        <v>416</v>
      </c>
      <c r="B42" s="16" t="s">
        <v>417</v>
      </c>
      <c r="C42" s="17" t="s">
        <v>418</v>
      </c>
      <c r="D42" s="18" t="s">
        <v>245</v>
      </c>
      <c r="E42" s="19">
        <v>41276</v>
      </c>
      <c r="F42" s="23" t="s">
        <v>419</v>
      </c>
      <c r="G42" s="24" t="s">
        <v>349</v>
      </c>
      <c r="H42" s="25" t="s">
        <v>350</v>
      </c>
      <c r="I42" s="21" t="s">
        <v>1385</v>
      </c>
      <c r="J42" s="62"/>
    </row>
    <row r="43" spans="1:10" x14ac:dyDescent="0.25">
      <c r="A43" s="15" t="s">
        <v>420</v>
      </c>
      <c r="B43" s="16" t="s">
        <v>421</v>
      </c>
      <c r="C43" s="17" t="s">
        <v>422</v>
      </c>
      <c r="D43" s="18" t="s">
        <v>245</v>
      </c>
      <c r="E43" s="19">
        <v>41347</v>
      </c>
      <c r="F43" s="20" t="s">
        <v>423</v>
      </c>
      <c r="G43" s="21" t="s">
        <v>349</v>
      </c>
      <c r="H43" s="22" t="s">
        <v>350</v>
      </c>
      <c r="I43" s="21" t="s">
        <v>1441</v>
      </c>
      <c r="J43" s="62"/>
    </row>
    <row r="44" spans="1:10" x14ac:dyDescent="0.25">
      <c r="A44" s="15" t="s">
        <v>424</v>
      </c>
      <c r="B44" s="16" t="s">
        <v>425</v>
      </c>
      <c r="C44" s="17" t="s">
        <v>426</v>
      </c>
      <c r="D44" s="18" t="s">
        <v>245</v>
      </c>
      <c r="E44" s="19">
        <v>42072</v>
      </c>
      <c r="F44" s="20" t="s">
        <v>427</v>
      </c>
      <c r="G44" s="21" t="s">
        <v>387</v>
      </c>
      <c r="H44" s="22" t="s">
        <v>259</v>
      </c>
      <c r="I44" s="21" t="s">
        <v>1425</v>
      </c>
      <c r="J44" s="62"/>
    </row>
    <row r="45" spans="1:10" x14ac:dyDescent="0.25">
      <c r="A45" s="15" t="s">
        <v>428</v>
      </c>
      <c r="B45" s="16" t="s">
        <v>429</v>
      </c>
      <c r="C45" s="17" t="s">
        <v>430</v>
      </c>
      <c r="D45" s="18" t="s">
        <v>245</v>
      </c>
      <c r="E45" s="19">
        <v>42222</v>
      </c>
      <c r="F45" s="20" t="s">
        <v>431</v>
      </c>
      <c r="G45" s="21" t="s">
        <v>315</v>
      </c>
      <c r="H45" s="22" t="s">
        <v>253</v>
      </c>
      <c r="I45" s="21" t="s">
        <v>1376</v>
      </c>
      <c r="J45" s="62"/>
    </row>
    <row r="46" spans="1:10" x14ac:dyDescent="0.25">
      <c r="A46" s="15" t="s">
        <v>432</v>
      </c>
      <c r="B46" s="16" t="s">
        <v>433</v>
      </c>
      <c r="C46" s="17" t="s">
        <v>434</v>
      </c>
      <c r="D46" s="18" t="s">
        <v>245</v>
      </c>
      <c r="E46" s="19">
        <v>42313</v>
      </c>
      <c r="F46" s="20" t="s">
        <v>431</v>
      </c>
      <c r="G46" s="21" t="s">
        <v>315</v>
      </c>
      <c r="H46" s="22" t="s">
        <v>253</v>
      </c>
      <c r="I46" s="21" t="s">
        <v>1376</v>
      </c>
      <c r="J46" s="62"/>
    </row>
    <row r="47" spans="1:10" x14ac:dyDescent="0.25">
      <c r="A47" s="15" t="s">
        <v>435</v>
      </c>
      <c r="B47" s="16" t="s">
        <v>436</v>
      </c>
      <c r="C47" s="17" t="s">
        <v>437</v>
      </c>
      <c r="D47" s="18" t="s">
        <v>245</v>
      </c>
      <c r="E47" s="19">
        <v>42380</v>
      </c>
      <c r="F47" s="20" t="s">
        <v>438</v>
      </c>
      <c r="G47" s="21" t="s">
        <v>439</v>
      </c>
      <c r="H47" s="22" t="s">
        <v>440</v>
      </c>
      <c r="I47" s="21"/>
      <c r="J47" s="62"/>
    </row>
    <row r="48" spans="1:10" x14ac:dyDescent="0.25">
      <c r="A48" s="15" t="s">
        <v>441</v>
      </c>
      <c r="B48" s="16" t="s">
        <v>442</v>
      </c>
      <c r="C48" s="17" t="s">
        <v>443</v>
      </c>
      <c r="D48" s="18" t="s">
        <v>245</v>
      </c>
      <c r="E48" s="19">
        <v>42394</v>
      </c>
      <c r="F48" s="20" t="s">
        <v>444</v>
      </c>
      <c r="G48" s="21" t="s">
        <v>445</v>
      </c>
      <c r="H48" s="22" t="s">
        <v>440</v>
      </c>
      <c r="I48" s="21"/>
      <c r="J48" s="62"/>
    </row>
    <row r="49" spans="1:10" x14ac:dyDescent="0.25">
      <c r="A49" s="67" t="s">
        <v>1644</v>
      </c>
      <c r="B49" s="62"/>
      <c r="C49" s="38" t="s">
        <v>1624</v>
      </c>
      <c r="D49" s="62"/>
      <c r="E49" s="19">
        <v>45971</v>
      </c>
      <c r="F49" s="20" t="s">
        <v>1625</v>
      </c>
      <c r="G49" s="21" t="s">
        <v>282</v>
      </c>
      <c r="H49" s="22" t="s">
        <v>282</v>
      </c>
      <c r="I49" s="21" t="s">
        <v>1391</v>
      </c>
      <c r="J49" s="62"/>
    </row>
    <row r="50" spans="1:10" x14ac:dyDescent="0.25">
      <c r="A50" s="15" t="s">
        <v>449</v>
      </c>
      <c r="B50" s="16" t="s">
        <v>450</v>
      </c>
      <c r="C50" s="47" t="s">
        <v>451</v>
      </c>
      <c r="D50" s="18" t="s">
        <v>245</v>
      </c>
      <c r="E50" s="19">
        <v>42552</v>
      </c>
      <c r="F50" s="20" t="s">
        <v>452</v>
      </c>
      <c r="G50" s="21" t="s">
        <v>453</v>
      </c>
      <c r="H50" s="22" t="s">
        <v>259</v>
      </c>
      <c r="I50" s="21"/>
      <c r="J50" s="62"/>
    </row>
    <row r="51" spans="1:10" x14ac:dyDescent="0.25">
      <c r="A51" s="15" t="s">
        <v>454</v>
      </c>
      <c r="B51" s="16" t="s">
        <v>455</v>
      </c>
      <c r="C51" s="17" t="s">
        <v>456</v>
      </c>
      <c r="D51" s="18" t="s">
        <v>245</v>
      </c>
      <c r="E51" s="19">
        <v>42737</v>
      </c>
      <c r="F51" s="20" t="s">
        <v>431</v>
      </c>
      <c r="G51" s="21" t="s">
        <v>315</v>
      </c>
      <c r="H51" s="22" t="s">
        <v>253</v>
      </c>
      <c r="I51" s="21" t="s">
        <v>1376</v>
      </c>
      <c r="J51" s="62"/>
    </row>
    <row r="52" spans="1:10" x14ac:dyDescent="0.25">
      <c r="A52" s="15" t="s">
        <v>457</v>
      </c>
      <c r="B52" s="16" t="s">
        <v>458</v>
      </c>
      <c r="C52" s="17" t="s">
        <v>459</v>
      </c>
      <c r="D52" s="18" t="s">
        <v>245</v>
      </c>
      <c r="E52" s="19">
        <v>42772</v>
      </c>
      <c r="F52" s="20" t="s">
        <v>444</v>
      </c>
      <c r="G52" s="21" t="s">
        <v>445</v>
      </c>
      <c r="H52" s="22" t="s">
        <v>440</v>
      </c>
      <c r="I52" s="21"/>
      <c r="J52" s="62"/>
    </row>
    <row r="53" spans="1:10" x14ac:dyDescent="0.25">
      <c r="A53" s="15" t="s">
        <v>460</v>
      </c>
      <c r="B53" s="16" t="s">
        <v>461</v>
      </c>
      <c r="C53" s="17" t="s">
        <v>462</v>
      </c>
      <c r="D53" s="18" t="s">
        <v>245</v>
      </c>
      <c r="E53" s="19">
        <v>42835</v>
      </c>
      <c r="F53" s="20" t="s">
        <v>463</v>
      </c>
      <c r="G53" s="21" t="s">
        <v>464</v>
      </c>
      <c r="H53" s="22" t="s">
        <v>253</v>
      </c>
      <c r="I53" s="21" t="s">
        <v>1378</v>
      </c>
      <c r="J53" s="62"/>
    </row>
    <row r="54" spans="1:10" x14ac:dyDescent="0.25">
      <c r="A54" s="15" t="s">
        <v>465</v>
      </c>
      <c r="B54" s="16" t="s">
        <v>466</v>
      </c>
      <c r="C54" s="17" t="s">
        <v>467</v>
      </c>
      <c r="D54" s="18" t="s">
        <v>245</v>
      </c>
      <c r="E54" s="19">
        <v>42843</v>
      </c>
      <c r="F54" s="20" t="s">
        <v>468</v>
      </c>
      <c r="G54" s="21" t="s">
        <v>297</v>
      </c>
      <c r="H54" s="22" t="s">
        <v>253</v>
      </c>
      <c r="I54" s="21" t="s">
        <v>1376</v>
      </c>
      <c r="J54" s="62"/>
    </row>
    <row r="55" spans="1:10" x14ac:dyDescent="0.25">
      <c r="A55" s="15" t="s">
        <v>469</v>
      </c>
      <c r="B55" s="16" t="s">
        <v>470</v>
      </c>
      <c r="C55" s="17" t="s">
        <v>471</v>
      </c>
      <c r="D55" s="18" t="s">
        <v>245</v>
      </c>
      <c r="E55" s="19">
        <v>42859</v>
      </c>
      <c r="F55" s="20" t="s">
        <v>431</v>
      </c>
      <c r="G55" s="21" t="s">
        <v>315</v>
      </c>
      <c r="H55" s="22" t="s">
        <v>253</v>
      </c>
      <c r="I55" s="21" t="s">
        <v>1376</v>
      </c>
      <c r="J55" s="62"/>
    </row>
    <row r="56" spans="1:10" x14ac:dyDescent="0.25">
      <c r="A56" s="15" t="s">
        <v>472</v>
      </c>
      <c r="B56" s="16" t="s">
        <v>473</v>
      </c>
      <c r="C56" s="17" t="s">
        <v>474</v>
      </c>
      <c r="D56" s="18" t="s">
        <v>245</v>
      </c>
      <c r="E56" s="19">
        <v>42940</v>
      </c>
      <c r="F56" s="20" t="s">
        <v>475</v>
      </c>
      <c r="G56" s="21" t="s">
        <v>252</v>
      </c>
      <c r="H56" s="22" t="s">
        <v>253</v>
      </c>
      <c r="I56" s="21" t="s">
        <v>1379</v>
      </c>
      <c r="J56" s="62"/>
    </row>
    <row r="57" spans="1:10" x14ac:dyDescent="0.25">
      <c r="A57" s="15" t="s">
        <v>476</v>
      </c>
      <c r="B57" s="16" t="s">
        <v>477</v>
      </c>
      <c r="C57" s="17" t="s">
        <v>478</v>
      </c>
      <c r="D57" s="18" t="s">
        <v>245</v>
      </c>
      <c r="E57" s="19">
        <v>42985</v>
      </c>
      <c r="F57" s="20" t="s">
        <v>452</v>
      </c>
      <c r="G57" s="21" t="s">
        <v>479</v>
      </c>
      <c r="H57" s="22" t="s">
        <v>259</v>
      </c>
      <c r="I57" s="21"/>
      <c r="J57" s="62"/>
    </row>
    <row r="58" spans="1:10" x14ac:dyDescent="0.25">
      <c r="A58" s="15" t="s">
        <v>480</v>
      </c>
      <c r="B58" s="16" t="s">
        <v>481</v>
      </c>
      <c r="C58" s="17" t="s">
        <v>482</v>
      </c>
      <c r="D58" s="18" t="s">
        <v>245</v>
      </c>
      <c r="E58" s="19">
        <v>43009</v>
      </c>
      <c r="F58" s="20" t="s">
        <v>431</v>
      </c>
      <c r="G58" s="21" t="s">
        <v>315</v>
      </c>
      <c r="H58" s="22" t="s">
        <v>253</v>
      </c>
      <c r="I58" s="21" t="s">
        <v>1376</v>
      </c>
      <c r="J58" s="62"/>
    </row>
    <row r="59" spans="1:10" x14ac:dyDescent="0.25">
      <c r="A59" s="15" t="s">
        <v>483</v>
      </c>
      <c r="B59" s="16" t="s">
        <v>484</v>
      </c>
      <c r="C59" s="17" t="s">
        <v>485</v>
      </c>
      <c r="D59" s="18" t="s">
        <v>245</v>
      </c>
      <c r="E59" s="19">
        <v>43010</v>
      </c>
      <c r="F59" s="20" t="s">
        <v>328</v>
      </c>
      <c r="G59" s="21" t="s">
        <v>297</v>
      </c>
      <c r="H59" s="22" t="s">
        <v>253</v>
      </c>
      <c r="I59" s="21" t="s">
        <v>1376</v>
      </c>
      <c r="J59" s="62"/>
    </row>
    <row r="60" spans="1:10" x14ac:dyDescent="0.25">
      <c r="A60" s="15" t="s">
        <v>486</v>
      </c>
      <c r="B60" s="16" t="s">
        <v>487</v>
      </c>
      <c r="C60" s="17" t="s">
        <v>488</v>
      </c>
      <c r="D60" s="18" t="s">
        <v>245</v>
      </c>
      <c r="E60" s="19">
        <v>43080</v>
      </c>
      <c r="F60" s="20" t="s">
        <v>400</v>
      </c>
      <c r="G60" s="21" t="s">
        <v>401</v>
      </c>
      <c r="H60" s="21" t="s">
        <v>247</v>
      </c>
      <c r="I60" s="21" t="s">
        <v>1400</v>
      </c>
      <c r="J60" s="62"/>
    </row>
    <row r="61" spans="1:10" x14ac:dyDescent="0.25">
      <c r="A61" s="15" t="s">
        <v>489</v>
      </c>
      <c r="B61" s="16" t="s">
        <v>490</v>
      </c>
      <c r="C61" s="17" t="s">
        <v>491</v>
      </c>
      <c r="D61" s="18" t="s">
        <v>245</v>
      </c>
      <c r="E61" s="19">
        <v>43102</v>
      </c>
      <c r="F61" s="20" t="s">
        <v>328</v>
      </c>
      <c r="G61" s="21" t="s">
        <v>297</v>
      </c>
      <c r="H61" s="22" t="s">
        <v>253</v>
      </c>
      <c r="I61" s="21" t="s">
        <v>1376</v>
      </c>
      <c r="J61" s="62"/>
    </row>
    <row r="62" spans="1:10" x14ac:dyDescent="0.25">
      <c r="A62" s="15" t="s">
        <v>492</v>
      </c>
      <c r="B62" s="16" t="s">
        <v>493</v>
      </c>
      <c r="C62" s="17" t="s">
        <v>494</v>
      </c>
      <c r="D62" s="18" t="s">
        <v>245</v>
      </c>
      <c r="E62" s="19">
        <v>43118</v>
      </c>
      <c r="F62" s="20" t="s">
        <v>495</v>
      </c>
      <c r="G62" s="21" t="s">
        <v>496</v>
      </c>
      <c r="H62" s="22" t="s">
        <v>440</v>
      </c>
      <c r="I62" s="21"/>
      <c r="J62" s="62"/>
    </row>
    <row r="63" spans="1:10" x14ac:dyDescent="0.25">
      <c r="A63" s="15" t="s">
        <v>497</v>
      </c>
      <c r="B63" s="16" t="s">
        <v>498</v>
      </c>
      <c r="C63" s="17" t="s">
        <v>499</v>
      </c>
      <c r="D63" s="18" t="s">
        <v>245</v>
      </c>
      <c r="E63" s="19">
        <v>43185</v>
      </c>
      <c r="F63" s="20" t="s">
        <v>500</v>
      </c>
      <c r="G63" s="21" t="s">
        <v>501</v>
      </c>
      <c r="H63" s="22" t="s">
        <v>253</v>
      </c>
      <c r="I63" s="21" t="s">
        <v>1377</v>
      </c>
      <c r="J63" s="62"/>
    </row>
    <row r="64" spans="1:10" x14ac:dyDescent="0.25">
      <c r="A64" s="15" t="s">
        <v>505</v>
      </c>
      <c r="B64" s="16" t="s">
        <v>506</v>
      </c>
      <c r="C64" s="17" t="s">
        <v>507</v>
      </c>
      <c r="D64" s="18" t="s">
        <v>245</v>
      </c>
      <c r="E64" s="19">
        <v>43215</v>
      </c>
      <c r="F64" s="20" t="s">
        <v>328</v>
      </c>
      <c r="G64" s="21" t="s">
        <v>297</v>
      </c>
      <c r="H64" s="22" t="s">
        <v>253</v>
      </c>
      <c r="I64" s="21" t="s">
        <v>1376</v>
      </c>
      <c r="J64" s="62"/>
    </row>
    <row r="65" spans="1:10" x14ac:dyDescent="0.25">
      <c r="A65" s="15" t="s">
        <v>502</v>
      </c>
      <c r="B65" s="16" t="s">
        <v>503</v>
      </c>
      <c r="C65" s="17" t="s">
        <v>504</v>
      </c>
      <c r="D65" s="18" t="s">
        <v>245</v>
      </c>
      <c r="E65" s="19">
        <v>43215</v>
      </c>
      <c r="F65" s="20" t="s">
        <v>468</v>
      </c>
      <c r="G65" s="21" t="s">
        <v>297</v>
      </c>
      <c r="H65" s="22" t="s">
        <v>253</v>
      </c>
      <c r="I65" s="21" t="s">
        <v>1594</v>
      </c>
      <c r="J65" s="62"/>
    </row>
    <row r="66" spans="1:10" x14ac:dyDescent="0.25">
      <c r="A66" s="15" t="s">
        <v>508</v>
      </c>
      <c r="B66" s="16" t="s">
        <v>509</v>
      </c>
      <c r="C66" s="17" t="s">
        <v>510</v>
      </c>
      <c r="D66" s="18" t="s">
        <v>245</v>
      </c>
      <c r="E66" s="19">
        <v>43297</v>
      </c>
      <c r="F66" s="20" t="s">
        <v>511</v>
      </c>
      <c r="G66" s="21" t="s">
        <v>501</v>
      </c>
      <c r="H66" s="22" t="s">
        <v>253</v>
      </c>
      <c r="I66" s="21" t="s">
        <v>1377</v>
      </c>
      <c r="J66" s="62"/>
    </row>
    <row r="67" spans="1:10" x14ac:dyDescent="0.25">
      <c r="A67" s="15" t="s">
        <v>512</v>
      </c>
      <c r="B67" s="16" t="s">
        <v>513</v>
      </c>
      <c r="C67" s="17" t="s">
        <v>514</v>
      </c>
      <c r="D67" s="18" t="s">
        <v>245</v>
      </c>
      <c r="E67" s="19">
        <v>43297</v>
      </c>
      <c r="F67" s="20" t="s">
        <v>277</v>
      </c>
      <c r="G67" s="21" t="s">
        <v>278</v>
      </c>
      <c r="H67" s="22" t="s">
        <v>253</v>
      </c>
      <c r="I67" s="21" t="s">
        <v>1376</v>
      </c>
      <c r="J67" s="62"/>
    </row>
    <row r="68" spans="1:10" x14ac:dyDescent="0.25">
      <c r="A68" s="15" t="s">
        <v>515</v>
      </c>
      <c r="B68" s="16" t="s">
        <v>516</v>
      </c>
      <c r="C68" s="17" t="s">
        <v>517</v>
      </c>
      <c r="D68" s="18" t="s">
        <v>245</v>
      </c>
      <c r="E68" s="19">
        <v>43320</v>
      </c>
      <c r="F68" s="20" t="s">
        <v>500</v>
      </c>
      <c r="G68" s="21" t="s">
        <v>501</v>
      </c>
      <c r="H68" s="22" t="s">
        <v>253</v>
      </c>
      <c r="I68" s="21" t="s">
        <v>1377</v>
      </c>
      <c r="J68" s="62"/>
    </row>
    <row r="69" spans="1:10" x14ac:dyDescent="0.25">
      <c r="A69" s="34" t="s">
        <v>518</v>
      </c>
      <c r="B69" s="16" t="s">
        <v>519</v>
      </c>
      <c r="C69" s="17" t="s">
        <v>520</v>
      </c>
      <c r="D69" s="18" t="s">
        <v>245</v>
      </c>
      <c r="E69" s="19">
        <v>43321</v>
      </c>
      <c r="F69" s="20" t="s">
        <v>521</v>
      </c>
      <c r="G69" s="21" t="s">
        <v>349</v>
      </c>
      <c r="H69" s="22" t="s">
        <v>350</v>
      </c>
      <c r="I69" s="21" t="s">
        <v>1385</v>
      </c>
      <c r="J69" s="62"/>
    </row>
    <row r="70" spans="1:10" x14ac:dyDescent="0.25">
      <c r="A70" s="15" t="s">
        <v>522</v>
      </c>
      <c r="B70" s="16" t="s">
        <v>523</v>
      </c>
      <c r="C70" s="17" t="s">
        <v>524</v>
      </c>
      <c r="D70" s="18" t="s">
        <v>245</v>
      </c>
      <c r="E70" s="19">
        <v>43339</v>
      </c>
      <c r="F70" s="20" t="s">
        <v>525</v>
      </c>
      <c r="G70" s="21" t="s">
        <v>501</v>
      </c>
      <c r="H70" s="22" t="s">
        <v>253</v>
      </c>
      <c r="I70" s="21" t="s">
        <v>1377</v>
      </c>
      <c r="J70" s="62"/>
    </row>
    <row r="71" spans="1:10" x14ac:dyDescent="0.25">
      <c r="A71" s="15" t="s">
        <v>526</v>
      </c>
      <c r="B71" s="16" t="s">
        <v>527</v>
      </c>
      <c r="C71" s="17" t="s">
        <v>528</v>
      </c>
      <c r="D71" s="18" t="s">
        <v>245</v>
      </c>
      <c r="E71" s="19">
        <v>43367</v>
      </c>
      <c r="F71" s="20" t="s">
        <v>529</v>
      </c>
      <c r="G71" s="22" t="s">
        <v>530</v>
      </c>
      <c r="H71" s="22" t="s">
        <v>530</v>
      </c>
      <c r="I71" s="21" t="s">
        <v>1386</v>
      </c>
      <c r="J71" s="62"/>
    </row>
    <row r="72" spans="1:10" x14ac:dyDescent="0.25">
      <c r="A72" s="15" t="s">
        <v>531</v>
      </c>
      <c r="B72" s="16" t="s">
        <v>532</v>
      </c>
      <c r="C72" s="17" t="s">
        <v>533</v>
      </c>
      <c r="D72" s="18" t="s">
        <v>245</v>
      </c>
      <c r="E72" s="19">
        <v>43367</v>
      </c>
      <c r="F72" s="20" t="s">
        <v>534</v>
      </c>
      <c r="G72" s="22" t="s">
        <v>535</v>
      </c>
      <c r="H72" s="22" t="s">
        <v>259</v>
      </c>
      <c r="I72" s="21"/>
      <c r="J72" s="62"/>
    </row>
    <row r="73" spans="1:10" x14ac:dyDescent="0.25">
      <c r="A73" s="15" t="s">
        <v>536</v>
      </c>
      <c r="B73" s="16" t="s">
        <v>537</v>
      </c>
      <c r="C73" s="17" t="s">
        <v>538</v>
      </c>
      <c r="D73" s="18" t="s">
        <v>245</v>
      </c>
      <c r="E73" s="19">
        <v>43367</v>
      </c>
      <c r="F73" s="20" t="s">
        <v>427</v>
      </c>
      <c r="G73" s="21" t="s">
        <v>387</v>
      </c>
      <c r="H73" s="22" t="s">
        <v>259</v>
      </c>
      <c r="I73" s="21" t="s">
        <v>1425</v>
      </c>
      <c r="J73" s="62"/>
    </row>
    <row r="74" spans="1:10" x14ac:dyDescent="0.25">
      <c r="A74" s="15" t="s">
        <v>539</v>
      </c>
      <c r="B74" s="16" t="s">
        <v>540</v>
      </c>
      <c r="C74" s="17" t="s">
        <v>541</v>
      </c>
      <c r="D74" s="18" t="s">
        <v>245</v>
      </c>
      <c r="E74" s="19">
        <v>43425</v>
      </c>
      <c r="F74" s="20" t="s">
        <v>542</v>
      </c>
      <c r="G74" s="21" t="s">
        <v>543</v>
      </c>
      <c r="H74" s="22" t="s">
        <v>440</v>
      </c>
      <c r="I74" s="21"/>
      <c r="J74" s="62"/>
    </row>
    <row r="75" spans="1:10" x14ac:dyDescent="0.25">
      <c r="A75" s="15" t="s">
        <v>544</v>
      </c>
      <c r="B75" s="16" t="s">
        <v>545</v>
      </c>
      <c r="C75" s="17" t="s">
        <v>546</v>
      </c>
      <c r="D75" s="18" t="s">
        <v>245</v>
      </c>
      <c r="E75" s="19">
        <v>43517</v>
      </c>
      <c r="F75" s="20" t="s">
        <v>306</v>
      </c>
      <c r="G75" s="21" t="s">
        <v>282</v>
      </c>
      <c r="H75" s="22" t="s">
        <v>282</v>
      </c>
      <c r="I75" s="21" t="s">
        <v>1391</v>
      </c>
      <c r="J75" s="62"/>
    </row>
    <row r="76" spans="1:10" x14ac:dyDescent="0.25">
      <c r="A76" s="15" t="s">
        <v>547</v>
      </c>
      <c r="B76" s="16" t="s">
        <v>548</v>
      </c>
      <c r="C76" s="17" t="s">
        <v>549</v>
      </c>
      <c r="D76" s="18" t="s">
        <v>245</v>
      </c>
      <c r="E76" s="19">
        <v>43557</v>
      </c>
      <c r="F76" s="20" t="s">
        <v>277</v>
      </c>
      <c r="G76" s="21" t="s">
        <v>278</v>
      </c>
      <c r="H76" s="22" t="s">
        <v>253</v>
      </c>
      <c r="I76" s="21" t="s">
        <v>1376</v>
      </c>
      <c r="J76" s="62"/>
    </row>
    <row r="77" spans="1:10" x14ac:dyDescent="0.25">
      <c r="A77" s="15" t="s">
        <v>550</v>
      </c>
      <c r="B77" s="16" t="s">
        <v>551</v>
      </c>
      <c r="C77" s="17" t="s">
        <v>552</v>
      </c>
      <c r="D77" s="18" t="s">
        <v>245</v>
      </c>
      <c r="E77" s="19">
        <v>43557</v>
      </c>
      <c r="F77" s="20" t="s">
        <v>277</v>
      </c>
      <c r="G77" s="21" t="s">
        <v>278</v>
      </c>
      <c r="H77" s="22" t="s">
        <v>253</v>
      </c>
      <c r="I77" s="21" t="s">
        <v>1376</v>
      </c>
      <c r="J77" s="62"/>
    </row>
    <row r="78" spans="1:10" x14ac:dyDescent="0.25">
      <c r="A78" s="34" t="s">
        <v>553</v>
      </c>
      <c r="B78" s="16" t="s">
        <v>554</v>
      </c>
      <c r="C78" s="17" t="s">
        <v>555</v>
      </c>
      <c r="D78" s="18" t="s">
        <v>245</v>
      </c>
      <c r="E78" s="19">
        <v>43584</v>
      </c>
      <c r="F78" s="20" t="s">
        <v>534</v>
      </c>
      <c r="G78" s="21" t="s">
        <v>453</v>
      </c>
      <c r="H78" s="22" t="s">
        <v>259</v>
      </c>
      <c r="I78" s="21"/>
      <c r="J78" s="62"/>
    </row>
    <row r="79" spans="1:10" x14ac:dyDescent="0.25">
      <c r="A79" s="61" t="s">
        <v>1833</v>
      </c>
      <c r="B79" s="16" t="s">
        <v>704</v>
      </c>
      <c r="C79" s="17" t="s">
        <v>705</v>
      </c>
      <c r="D79" s="18" t="s">
        <v>245</v>
      </c>
      <c r="E79" s="19">
        <v>45356</v>
      </c>
      <c r="F79" s="20" t="s">
        <v>1840</v>
      </c>
      <c r="G79" s="21" t="s">
        <v>349</v>
      </c>
      <c r="H79" s="20" t="s">
        <v>350</v>
      </c>
      <c r="I79" s="21" t="s">
        <v>1837</v>
      </c>
      <c r="J79" s="62"/>
    </row>
    <row r="80" spans="1:10" x14ac:dyDescent="0.25">
      <c r="A80" s="15" t="s">
        <v>560</v>
      </c>
      <c r="B80" s="16" t="s">
        <v>561</v>
      </c>
      <c r="C80" s="17" t="s">
        <v>562</v>
      </c>
      <c r="D80" s="18" t="s">
        <v>245</v>
      </c>
      <c r="E80" s="19">
        <v>43584</v>
      </c>
      <c r="F80" s="20" t="s">
        <v>358</v>
      </c>
      <c r="G80" s="21" t="s">
        <v>292</v>
      </c>
      <c r="H80" s="22" t="s">
        <v>259</v>
      </c>
      <c r="I80" s="21"/>
      <c r="J80" s="62"/>
    </row>
    <row r="81" spans="1:10" x14ac:dyDescent="0.25">
      <c r="A81" s="15" t="s">
        <v>563</v>
      </c>
      <c r="B81" s="16" t="s">
        <v>564</v>
      </c>
      <c r="C81" s="17" t="s">
        <v>565</v>
      </c>
      <c r="D81" s="18" t="s">
        <v>566</v>
      </c>
      <c r="E81" s="19">
        <v>43600</v>
      </c>
      <c r="F81" s="20" t="s">
        <v>567</v>
      </c>
      <c r="G81" s="21" t="s">
        <v>568</v>
      </c>
      <c r="H81" s="22" t="s">
        <v>350</v>
      </c>
      <c r="I81" s="21" t="s">
        <v>1384</v>
      </c>
      <c r="J81" s="62"/>
    </row>
    <row r="82" spans="1:10" x14ac:dyDescent="0.25">
      <c r="A82" s="15" t="s">
        <v>316</v>
      </c>
      <c r="B82" s="16" t="s">
        <v>317</v>
      </c>
      <c r="C82" s="17" t="s">
        <v>318</v>
      </c>
      <c r="D82" s="18" t="s">
        <v>245</v>
      </c>
      <c r="E82" s="19">
        <v>35566</v>
      </c>
      <c r="F82" s="20" t="s">
        <v>319</v>
      </c>
      <c r="G82" s="21" t="s">
        <v>320</v>
      </c>
      <c r="H82" s="21" t="s">
        <v>247</v>
      </c>
      <c r="I82" s="21" t="s">
        <v>1401</v>
      </c>
      <c r="J82" s="62"/>
    </row>
    <row r="83" spans="1:10" x14ac:dyDescent="0.25">
      <c r="A83" s="15" t="s">
        <v>572</v>
      </c>
      <c r="B83" s="16" t="s">
        <v>573</v>
      </c>
      <c r="C83" s="17" t="s">
        <v>574</v>
      </c>
      <c r="D83" s="18" t="s">
        <v>245</v>
      </c>
      <c r="E83" s="19">
        <v>43851</v>
      </c>
      <c r="F83" s="20" t="s">
        <v>575</v>
      </c>
      <c r="G83" s="21" t="s">
        <v>501</v>
      </c>
      <c r="H83" s="22" t="s">
        <v>253</v>
      </c>
      <c r="I83" s="21" t="s">
        <v>1377</v>
      </c>
      <c r="J83" s="62"/>
    </row>
    <row r="84" spans="1:10" x14ac:dyDescent="0.25">
      <c r="A84" s="61" t="s">
        <v>1519</v>
      </c>
      <c r="B84" s="16" t="s">
        <v>576</v>
      </c>
      <c r="C84" s="17" t="s">
        <v>577</v>
      </c>
      <c r="D84" s="18" t="s">
        <v>245</v>
      </c>
      <c r="E84" s="19">
        <v>44445</v>
      </c>
      <c r="F84" s="20" t="s">
        <v>578</v>
      </c>
      <c r="G84" s="21" t="s">
        <v>396</v>
      </c>
      <c r="H84" s="22" t="s">
        <v>396</v>
      </c>
      <c r="I84" s="21" t="s">
        <v>1393</v>
      </c>
      <c r="J84" s="62"/>
    </row>
    <row r="85" spans="1:10" x14ac:dyDescent="0.25">
      <c r="A85" s="15" t="s">
        <v>579</v>
      </c>
      <c r="B85" s="16" t="s">
        <v>580</v>
      </c>
      <c r="C85" s="17" t="s">
        <v>581</v>
      </c>
      <c r="D85" s="18" t="s">
        <v>566</v>
      </c>
      <c r="E85" s="19">
        <v>44467</v>
      </c>
      <c r="F85" s="20" t="s">
        <v>582</v>
      </c>
      <c r="G85" s="21" t="s">
        <v>396</v>
      </c>
      <c r="H85" s="22" t="s">
        <v>396</v>
      </c>
      <c r="I85" s="21" t="s">
        <v>1394</v>
      </c>
      <c r="J85" s="62"/>
    </row>
    <row r="86" spans="1:10" x14ac:dyDescent="0.25">
      <c r="A86" s="61" t="s">
        <v>1574</v>
      </c>
      <c r="B86" s="16" t="s">
        <v>583</v>
      </c>
      <c r="C86" s="17" t="s">
        <v>584</v>
      </c>
      <c r="D86" s="18" t="s">
        <v>245</v>
      </c>
      <c r="E86" s="19">
        <v>44531</v>
      </c>
      <c r="F86" s="20" t="s">
        <v>585</v>
      </c>
      <c r="G86" s="21" t="s">
        <v>445</v>
      </c>
      <c r="H86" s="22" t="s">
        <v>440</v>
      </c>
      <c r="I86" s="21"/>
      <c r="J86" s="62"/>
    </row>
    <row r="87" spans="1:10" x14ac:dyDescent="0.25">
      <c r="A87" s="15" t="s">
        <v>586</v>
      </c>
      <c r="B87" s="16" t="s">
        <v>587</v>
      </c>
      <c r="C87" s="17" t="s">
        <v>588</v>
      </c>
      <c r="D87" s="18" t="s">
        <v>245</v>
      </c>
      <c r="E87" s="19">
        <v>44606</v>
      </c>
      <c r="F87" s="20" t="s">
        <v>281</v>
      </c>
      <c r="G87" s="21" t="s">
        <v>282</v>
      </c>
      <c r="H87" s="22" t="s">
        <v>282</v>
      </c>
      <c r="I87" s="21" t="s">
        <v>1391</v>
      </c>
      <c r="J87" s="62"/>
    </row>
    <row r="88" spans="1:10" x14ac:dyDescent="0.25">
      <c r="A88" s="34" t="s">
        <v>589</v>
      </c>
      <c r="B88" s="16" t="s">
        <v>590</v>
      </c>
      <c r="C88" s="17" t="s">
        <v>591</v>
      </c>
      <c r="D88" s="18" t="s">
        <v>245</v>
      </c>
      <c r="E88" s="19">
        <v>44697</v>
      </c>
      <c r="F88" s="20" t="s">
        <v>592</v>
      </c>
      <c r="G88" s="22" t="s">
        <v>593</v>
      </c>
      <c r="H88" s="20" t="s">
        <v>593</v>
      </c>
      <c r="I88" s="21" t="s">
        <v>1380</v>
      </c>
      <c r="J88" s="62"/>
    </row>
    <row r="89" spans="1:10" x14ac:dyDescent="0.25">
      <c r="A89" s="15" t="s">
        <v>594</v>
      </c>
      <c r="B89" s="16" t="s">
        <v>595</v>
      </c>
      <c r="C89" s="17" t="s">
        <v>596</v>
      </c>
      <c r="D89" s="18" t="s">
        <v>245</v>
      </c>
      <c r="E89" s="19">
        <v>44711</v>
      </c>
      <c r="F89" s="20" t="s">
        <v>597</v>
      </c>
      <c r="G89" s="21" t="s">
        <v>282</v>
      </c>
      <c r="H89" s="22" t="s">
        <v>282</v>
      </c>
      <c r="I89" s="21" t="s">
        <v>1391</v>
      </c>
      <c r="J89" s="62"/>
    </row>
    <row r="90" spans="1:10" x14ac:dyDescent="0.25">
      <c r="A90" s="15" t="s">
        <v>598</v>
      </c>
      <c r="B90" s="16" t="s">
        <v>599</v>
      </c>
      <c r="C90" s="17" t="s">
        <v>600</v>
      </c>
      <c r="D90" s="18" t="s">
        <v>245</v>
      </c>
      <c r="E90" s="19">
        <v>44816</v>
      </c>
      <c r="F90" s="20" t="s">
        <v>348</v>
      </c>
      <c r="G90" s="21" t="s">
        <v>349</v>
      </c>
      <c r="H90" s="22" t="s">
        <v>350</v>
      </c>
      <c r="I90" s="21" t="s">
        <v>1385</v>
      </c>
      <c r="J90" s="62"/>
    </row>
    <row r="91" spans="1:10" x14ac:dyDescent="0.25">
      <c r="A91" s="15" t="s">
        <v>605</v>
      </c>
      <c r="B91" s="16" t="s">
        <v>606</v>
      </c>
      <c r="C91" s="17" t="s">
        <v>607</v>
      </c>
      <c r="D91" s="18" t="s">
        <v>245</v>
      </c>
      <c r="E91" s="19">
        <v>44816</v>
      </c>
      <c r="F91" s="20" t="s">
        <v>608</v>
      </c>
      <c r="G91" s="21" t="s">
        <v>445</v>
      </c>
      <c r="H91" s="22" t="s">
        <v>440</v>
      </c>
      <c r="I91" s="21"/>
      <c r="J91" s="62"/>
    </row>
    <row r="92" spans="1:10" x14ac:dyDescent="0.25">
      <c r="A92" s="15" t="s">
        <v>601</v>
      </c>
      <c r="B92" s="16" t="s">
        <v>602</v>
      </c>
      <c r="C92" s="17" t="s">
        <v>603</v>
      </c>
      <c r="D92" s="18" t="s">
        <v>245</v>
      </c>
      <c r="E92" s="19">
        <v>44816</v>
      </c>
      <c r="F92" s="20" t="s">
        <v>604</v>
      </c>
      <c r="G92" s="21" t="s">
        <v>439</v>
      </c>
      <c r="H92" s="22" t="s">
        <v>440</v>
      </c>
      <c r="I92" s="21"/>
      <c r="J92" s="62"/>
    </row>
    <row r="93" spans="1:10" x14ac:dyDescent="0.25">
      <c r="A93" s="15" t="s">
        <v>609</v>
      </c>
      <c r="B93" s="16" t="s">
        <v>610</v>
      </c>
      <c r="C93" s="17" t="s">
        <v>611</v>
      </c>
      <c r="D93" s="18" t="s">
        <v>245</v>
      </c>
      <c r="E93" s="19">
        <v>44819</v>
      </c>
      <c r="F93" s="20" t="s">
        <v>612</v>
      </c>
      <c r="G93" s="21" t="s">
        <v>613</v>
      </c>
      <c r="H93" s="22" t="s">
        <v>440</v>
      </c>
      <c r="I93" s="21"/>
      <c r="J93" s="62"/>
    </row>
    <row r="94" spans="1:10" x14ac:dyDescent="0.25">
      <c r="A94" s="34" t="s">
        <v>614</v>
      </c>
      <c r="B94" s="16" t="s">
        <v>615</v>
      </c>
      <c r="C94" s="17" t="s">
        <v>616</v>
      </c>
      <c r="D94" s="18" t="s">
        <v>245</v>
      </c>
      <c r="E94" s="19">
        <v>44830</v>
      </c>
      <c r="F94" s="20" t="s">
        <v>617</v>
      </c>
      <c r="G94" s="21" t="s">
        <v>383</v>
      </c>
      <c r="H94" s="22" t="s">
        <v>350</v>
      </c>
      <c r="I94" s="21" t="s">
        <v>1383</v>
      </c>
      <c r="J94" s="62"/>
    </row>
    <row r="95" spans="1:10" x14ac:dyDescent="0.25">
      <c r="A95" s="15" t="s">
        <v>618</v>
      </c>
      <c r="B95" s="16" t="s">
        <v>619</v>
      </c>
      <c r="C95" s="17" t="s">
        <v>620</v>
      </c>
      <c r="D95" s="18" t="s">
        <v>245</v>
      </c>
      <c r="E95" s="19">
        <v>44883</v>
      </c>
      <c r="F95" s="20" t="s">
        <v>621</v>
      </c>
      <c r="G95" s="21" t="s">
        <v>543</v>
      </c>
      <c r="H95" s="22" t="s">
        <v>440</v>
      </c>
      <c r="I95" s="21"/>
      <c r="J95" s="62"/>
    </row>
    <row r="96" spans="1:10" x14ac:dyDescent="0.25">
      <c r="A96" s="15" t="s">
        <v>622</v>
      </c>
      <c r="B96" s="16" t="s">
        <v>623</v>
      </c>
      <c r="C96" s="17" t="s">
        <v>624</v>
      </c>
      <c r="D96" s="18" t="s">
        <v>245</v>
      </c>
      <c r="E96" s="19">
        <v>44893</v>
      </c>
      <c r="F96" s="20" t="s">
        <v>500</v>
      </c>
      <c r="G96" s="21" t="s">
        <v>501</v>
      </c>
      <c r="H96" s="22" t="s">
        <v>253</v>
      </c>
      <c r="I96" s="21" t="s">
        <v>1377</v>
      </c>
      <c r="J96" s="62"/>
    </row>
    <row r="97" spans="1:10" x14ac:dyDescent="0.25">
      <c r="A97" s="15" t="s">
        <v>625</v>
      </c>
      <c r="B97" s="16" t="s">
        <v>626</v>
      </c>
      <c r="C97" s="17" t="s">
        <v>627</v>
      </c>
      <c r="D97" s="18" t="s">
        <v>245</v>
      </c>
      <c r="E97" s="19">
        <v>44963</v>
      </c>
      <c r="F97" s="20" t="s">
        <v>521</v>
      </c>
      <c r="G97" s="21" t="s">
        <v>349</v>
      </c>
      <c r="H97" s="22" t="s">
        <v>350</v>
      </c>
      <c r="I97" s="21" t="s">
        <v>1385</v>
      </c>
      <c r="J97" s="62"/>
    </row>
    <row r="98" spans="1:10" x14ac:dyDescent="0.25">
      <c r="A98" s="15" t="s">
        <v>724</v>
      </c>
      <c r="B98" s="16" t="s">
        <v>725</v>
      </c>
      <c r="C98" s="17" t="s">
        <v>726</v>
      </c>
      <c r="D98" s="18" t="s">
        <v>245</v>
      </c>
      <c r="E98" s="19">
        <v>45397</v>
      </c>
      <c r="F98" s="20" t="s">
        <v>727</v>
      </c>
      <c r="G98" s="21" t="s">
        <v>320</v>
      </c>
      <c r="H98" s="21" t="s">
        <v>247</v>
      </c>
      <c r="I98" s="59" t="s">
        <v>1407</v>
      </c>
      <c r="J98" s="62"/>
    </row>
    <row r="99" spans="1:10" x14ac:dyDescent="0.25">
      <c r="A99" s="15" t="s">
        <v>632</v>
      </c>
      <c r="B99" s="16" t="s">
        <v>633</v>
      </c>
      <c r="C99" s="17" t="s">
        <v>634</v>
      </c>
      <c r="D99" s="18" t="s">
        <v>245</v>
      </c>
      <c r="E99" s="19">
        <v>45069</v>
      </c>
      <c r="F99" s="20" t="s">
        <v>635</v>
      </c>
      <c r="G99" s="21" t="s">
        <v>636</v>
      </c>
      <c r="H99" s="22" t="s">
        <v>259</v>
      </c>
      <c r="I99" s="21" t="s">
        <v>1440</v>
      </c>
      <c r="J99" s="62"/>
    </row>
    <row r="100" spans="1:10" x14ac:dyDescent="0.25">
      <c r="A100" s="15" t="s">
        <v>641</v>
      </c>
      <c r="B100" s="16" t="s">
        <v>642</v>
      </c>
      <c r="C100" s="17" t="s">
        <v>643</v>
      </c>
      <c r="D100" s="18" t="s">
        <v>245</v>
      </c>
      <c r="E100" s="19">
        <v>45078</v>
      </c>
      <c r="F100" s="20" t="s">
        <v>328</v>
      </c>
      <c r="G100" s="21" t="s">
        <v>297</v>
      </c>
      <c r="H100" s="22" t="s">
        <v>253</v>
      </c>
      <c r="I100" s="21" t="s">
        <v>1376</v>
      </c>
      <c r="J100" s="62"/>
    </row>
    <row r="101" spans="1:10" x14ac:dyDescent="0.25">
      <c r="A101" s="15" t="s">
        <v>637</v>
      </c>
      <c r="B101" s="16" t="s">
        <v>638</v>
      </c>
      <c r="C101" s="17" t="s">
        <v>639</v>
      </c>
      <c r="D101" s="18" t="s">
        <v>245</v>
      </c>
      <c r="E101" s="19">
        <v>45078</v>
      </c>
      <c r="F101" s="20" t="s">
        <v>452</v>
      </c>
      <c r="G101" s="21" t="s">
        <v>640</v>
      </c>
      <c r="H101" s="22" t="s">
        <v>259</v>
      </c>
      <c r="I101" s="21"/>
      <c r="J101" s="62"/>
    </row>
    <row r="102" spans="1:10" x14ac:dyDescent="0.25">
      <c r="A102" s="15" t="s">
        <v>644</v>
      </c>
      <c r="B102" s="16" t="s">
        <v>645</v>
      </c>
      <c r="C102" s="17" t="s">
        <v>646</v>
      </c>
      <c r="D102" s="18" t="s">
        <v>245</v>
      </c>
      <c r="E102" s="19">
        <v>45110</v>
      </c>
      <c r="F102" s="20" t="s">
        <v>525</v>
      </c>
      <c r="G102" s="21" t="s">
        <v>501</v>
      </c>
      <c r="H102" s="22" t="s">
        <v>253</v>
      </c>
      <c r="I102" s="21" t="s">
        <v>1377</v>
      </c>
      <c r="J102" s="62"/>
    </row>
    <row r="103" spans="1:10" x14ac:dyDescent="0.25">
      <c r="A103" s="15" t="s">
        <v>647</v>
      </c>
      <c r="B103" s="16" t="s">
        <v>648</v>
      </c>
      <c r="C103" s="17" t="s">
        <v>649</v>
      </c>
      <c r="D103" s="18" t="s">
        <v>245</v>
      </c>
      <c r="E103" s="19">
        <v>45110</v>
      </c>
      <c r="F103" s="20" t="s">
        <v>521</v>
      </c>
      <c r="G103" s="21" t="s">
        <v>349</v>
      </c>
      <c r="H103" s="22" t="s">
        <v>350</v>
      </c>
      <c r="I103" s="21" t="s">
        <v>1385</v>
      </c>
      <c r="J103" s="62"/>
    </row>
    <row r="104" spans="1:10" x14ac:dyDescent="0.25">
      <c r="A104" s="15" t="s">
        <v>650</v>
      </c>
      <c r="B104" s="16" t="s">
        <v>651</v>
      </c>
      <c r="C104" s="17" t="s">
        <v>652</v>
      </c>
      <c r="D104" s="18" t="s">
        <v>245</v>
      </c>
      <c r="E104" s="19">
        <v>45131</v>
      </c>
      <c r="F104" s="20" t="s">
        <v>452</v>
      </c>
      <c r="G104" s="21" t="s">
        <v>453</v>
      </c>
      <c r="H104" s="22" t="s">
        <v>259</v>
      </c>
      <c r="I104" s="21"/>
      <c r="J104" s="62"/>
    </row>
    <row r="105" spans="1:10" x14ac:dyDescent="0.25">
      <c r="A105" s="15" t="s">
        <v>657</v>
      </c>
      <c r="B105" s="16" t="s">
        <v>658</v>
      </c>
      <c r="C105" s="17" t="s">
        <v>659</v>
      </c>
      <c r="D105" s="18" t="s">
        <v>245</v>
      </c>
      <c r="E105" s="19">
        <v>45139</v>
      </c>
      <c r="F105" s="20" t="s">
        <v>660</v>
      </c>
      <c r="G105" s="21" t="s">
        <v>543</v>
      </c>
      <c r="H105" s="22" t="s">
        <v>440</v>
      </c>
      <c r="I105" s="21"/>
      <c r="J105" s="62"/>
    </row>
    <row r="106" spans="1:10" x14ac:dyDescent="0.25">
      <c r="A106" s="15" t="s">
        <v>653</v>
      </c>
      <c r="B106" s="16" t="s">
        <v>654</v>
      </c>
      <c r="C106" s="17" t="s">
        <v>655</v>
      </c>
      <c r="D106" s="18" t="s">
        <v>245</v>
      </c>
      <c r="E106" s="19">
        <v>45139</v>
      </c>
      <c r="F106" s="20" t="s">
        <v>656</v>
      </c>
      <c r="G106" s="21" t="s">
        <v>349</v>
      </c>
      <c r="H106" s="22" t="s">
        <v>350</v>
      </c>
      <c r="I106" s="21" t="s">
        <v>1385</v>
      </c>
      <c r="J106" s="62"/>
    </row>
    <row r="107" spans="1:10" x14ac:dyDescent="0.25">
      <c r="A107" s="15" t="s">
        <v>661</v>
      </c>
      <c r="B107" s="16" t="s">
        <v>662</v>
      </c>
      <c r="C107" s="17" t="s">
        <v>663</v>
      </c>
      <c r="D107" s="18" t="s">
        <v>245</v>
      </c>
      <c r="E107" s="19">
        <v>45145</v>
      </c>
      <c r="F107" s="20" t="s">
        <v>608</v>
      </c>
      <c r="G107" s="21" t="s">
        <v>439</v>
      </c>
      <c r="H107" s="22" t="s">
        <v>440</v>
      </c>
      <c r="I107" s="21"/>
      <c r="J107" s="62"/>
    </row>
    <row r="108" spans="1:10" x14ac:dyDescent="0.25">
      <c r="A108" s="34" t="s">
        <v>664</v>
      </c>
      <c r="B108" s="16" t="s">
        <v>665</v>
      </c>
      <c r="C108" s="17" t="s">
        <v>666</v>
      </c>
      <c r="D108" s="18" t="s">
        <v>245</v>
      </c>
      <c r="E108" s="19">
        <v>45173</v>
      </c>
      <c r="F108" s="20" t="s">
        <v>667</v>
      </c>
      <c r="G108" s="22" t="s">
        <v>530</v>
      </c>
      <c r="H108" s="22" t="s">
        <v>530</v>
      </c>
      <c r="I108" s="21" t="s">
        <v>1387</v>
      </c>
      <c r="J108" s="62"/>
    </row>
    <row r="109" spans="1:10" x14ac:dyDescent="0.25">
      <c r="A109" s="15" t="s">
        <v>668</v>
      </c>
      <c r="B109" s="16" t="s">
        <v>669</v>
      </c>
      <c r="C109" s="17" t="s">
        <v>670</v>
      </c>
      <c r="D109" s="18" t="s">
        <v>245</v>
      </c>
      <c r="E109" s="19">
        <v>45194</v>
      </c>
      <c r="F109" s="20" t="s">
        <v>671</v>
      </c>
      <c r="G109" s="21" t="s">
        <v>439</v>
      </c>
      <c r="H109" s="22" t="s">
        <v>440</v>
      </c>
      <c r="I109" s="21"/>
      <c r="J109" s="62"/>
    </row>
    <row r="110" spans="1:10" x14ac:dyDescent="0.25">
      <c r="A110" s="15" t="s">
        <v>672</v>
      </c>
      <c r="B110" s="16" t="s">
        <v>673</v>
      </c>
      <c r="C110" s="17" t="s">
        <v>674</v>
      </c>
      <c r="D110" s="18" t="s">
        <v>245</v>
      </c>
      <c r="E110" s="19">
        <v>45201</v>
      </c>
      <c r="F110" s="20" t="s">
        <v>475</v>
      </c>
      <c r="G110" s="21" t="s">
        <v>252</v>
      </c>
      <c r="H110" s="22" t="s">
        <v>253</v>
      </c>
      <c r="I110" s="21" t="s">
        <v>1379</v>
      </c>
      <c r="J110" s="62"/>
    </row>
    <row r="111" spans="1:10" x14ac:dyDescent="0.25">
      <c r="A111" s="15" t="s">
        <v>675</v>
      </c>
      <c r="B111" s="16" t="s">
        <v>676</v>
      </c>
      <c r="C111" s="17" t="s">
        <v>677</v>
      </c>
      <c r="D111" s="18" t="s">
        <v>245</v>
      </c>
      <c r="E111" s="19">
        <v>45209</v>
      </c>
      <c r="F111" s="20" t="s">
        <v>511</v>
      </c>
      <c r="G111" s="21" t="s">
        <v>501</v>
      </c>
      <c r="H111" s="22" t="s">
        <v>253</v>
      </c>
      <c r="I111" s="21" t="s">
        <v>1377</v>
      </c>
      <c r="J111" s="62"/>
    </row>
    <row r="112" spans="1:10" x14ac:dyDescent="0.25">
      <c r="A112" s="15" t="s">
        <v>682</v>
      </c>
      <c r="B112" s="16" t="s">
        <v>683</v>
      </c>
      <c r="C112" s="17" t="s">
        <v>684</v>
      </c>
      <c r="D112" s="18" t="s">
        <v>245</v>
      </c>
      <c r="E112" s="19">
        <v>45245</v>
      </c>
      <c r="F112" s="20" t="s">
        <v>277</v>
      </c>
      <c r="G112" s="21" t="s">
        <v>278</v>
      </c>
      <c r="H112" s="22" t="s">
        <v>253</v>
      </c>
      <c r="I112" s="21" t="s">
        <v>1376</v>
      </c>
      <c r="J112" s="62"/>
    </row>
    <row r="113" spans="1:10" x14ac:dyDescent="0.25">
      <c r="A113" s="15" t="s">
        <v>678</v>
      </c>
      <c r="B113" s="16" t="s">
        <v>679</v>
      </c>
      <c r="C113" s="17" t="s">
        <v>680</v>
      </c>
      <c r="D113" s="18" t="s">
        <v>245</v>
      </c>
      <c r="E113" s="19">
        <v>45245</v>
      </c>
      <c r="F113" s="20" t="s">
        <v>681</v>
      </c>
      <c r="G113" s="21" t="s">
        <v>282</v>
      </c>
      <c r="H113" s="22" t="s">
        <v>282</v>
      </c>
      <c r="I113" s="21" t="s">
        <v>1391</v>
      </c>
      <c r="J113" s="62"/>
    </row>
    <row r="114" spans="1:10" x14ac:dyDescent="0.25">
      <c r="A114" s="15" t="s">
        <v>685</v>
      </c>
      <c r="B114" s="16" t="s">
        <v>686</v>
      </c>
      <c r="C114" s="17" t="s">
        <v>687</v>
      </c>
      <c r="D114" s="18" t="s">
        <v>245</v>
      </c>
      <c r="E114" s="19">
        <v>45264</v>
      </c>
      <c r="F114" s="20" t="s">
        <v>688</v>
      </c>
      <c r="G114" s="21" t="s">
        <v>568</v>
      </c>
      <c r="H114" s="22" t="s">
        <v>350</v>
      </c>
      <c r="I114" s="21" t="s">
        <v>1384</v>
      </c>
      <c r="J114" s="62"/>
    </row>
    <row r="115" spans="1:10" x14ac:dyDescent="0.25">
      <c r="A115" s="15" t="s">
        <v>689</v>
      </c>
      <c r="B115" s="16" t="s">
        <v>690</v>
      </c>
      <c r="C115" s="17" t="s">
        <v>691</v>
      </c>
      <c r="D115" s="18" t="s">
        <v>245</v>
      </c>
      <c r="E115" s="19">
        <v>45303</v>
      </c>
      <c r="F115" s="20" t="s">
        <v>692</v>
      </c>
      <c r="G115" s="21" t="s">
        <v>439</v>
      </c>
      <c r="H115" s="22" t="s">
        <v>440</v>
      </c>
      <c r="I115" s="21"/>
      <c r="J115" s="62"/>
    </row>
    <row r="116" spans="1:10" x14ac:dyDescent="0.25">
      <c r="A116" s="15" t="s">
        <v>693</v>
      </c>
      <c r="B116" s="16" t="s">
        <v>694</v>
      </c>
      <c r="C116" s="17" t="s">
        <v>695</v>
      </c>
      <c r="D116" s="18" t="s">
        <v>245</v>
      </c>
      <c r="E116" s="19">
        <v>45337</v>
      </c>
      <c r="F116" s="20" t="s">
        <v>452</v>
      </c>
      <c r="G116" s="21" t="s">
        <v>479</v>
      </c>
      <c r="H116" s="22" t="s">
        <v>259</v>
      </c>
      <c r="I116" s="21"/>
      <c r="J116" s="62"/>
    </row>
    <row r="117" spans="1:10" x14ac:dyDescent="0.25">
      <c r="A117" s="15" t="s">
        <v>696</v>
      </c>
      <c r="B117" s="16" t="s">
        <v>697</v>
      </c>
      <c r="C117" s="17" t="s">
        <v>698</v>
      </c>
      <c r="D117" s="18" t="s">
        <v>245</v>
      </c>
      <c r="E117" s="19">
        <v>45338</v>
      </c>
      <c r="F117" s="20" t="s">
        <v>699</v>
      </c>
      <c r="G117" s="21" t="s">
        <v>700</v>
      </c>
      <c r="H117" s="22" t="s">
        <v>302</v>
      </c>
      <c r="I117" s="21" t="s">
        <v>1395</v>
      </c>
      <c r="J117" s="62"/>
    </row>
    <row r="118" spans="1:10" x14ac:dyDescent="0.25">
      <c r="A118" s="15" t="s">
        <v>701</v>
      </c>
      <c r="B118" s="16" t="s">
        <v>702</v>
      </c>
      <c r="C118" s="17" t="s">
        <v>703</v>
      </c>
      <c r="D118" s="18" t="s">
        <v>245</v>
      </c>
      <c r="E118" s="19">
        <v>45356</v>
      </c>
      <c r="F118" s="20" t="s">
        <v>452</v>
      </c>
      <c r="G118" s="21" t="s">
        <v>453</v>
      </c>
      <c r="H118" s="22" t="s">
        <v>259</v>
      </c>
      <c r="I118" s="21"/>
      <c r="J118" s="62"/>
    </row>
    <row r="119" spans="1:10" x14ac:dyDescent="0.25">
      <c r="A119" s="15" t="s">
        <v>556</v>
      </c>
      <c r="B119" s="16" t="s">
        <v>557</v>
      </c>
      <c r="C119" s="17" t="s">
        <v>558</v>
      </c>
      <c r="D119" s="18" t="s">
        <v>245</v>
      </c>
      <c r="E119" s="19">
        <v>43584</v>
      </c>
      <c r="F119" s="23" t="s">
        <v>559</v>
      </c>
      <c r="G119" s="21" t="s">
        <v>387</v>
      </c>
      <c r="H119" s="22" t="s">
        <v>259</v>
      </c>
      <c r="I119" s="21" t="s">
        <v>1425</v>
      </c>
      <c r="J119" s="62"/>
    </row>
    <row r="120" spans="1:10" x14ac:dyDescent="0.25">
      <c r="A120" s="15" t="s">
        <v>706</v>
      </c>
      <c r="B120" s="16" t="s">
        <v>707</v>
      </c>
      <c r="C120" s="17" t="s">
        <v>708</v>
      </c>
      <c r="D120" s="18" t="s">
        <v>245</v>
      </c>
      <c r="E120" s="19">
        <v>45356</v>
      </c>
      <c r="F120" s="20" t="s">
        <v>452</v>
      </c>
      <c r="G120" s="21" t="s">
        <v>640</v>
      </c>
      <c r="H120" s="22" t="s">
        <v>259</v>
      </c>
      <c r="I120" s="21"/>
      <c r="J120" s="62"/>
    </row>
    <row r="121" spans="1:10" x14ac:dyDescent="0.25">
      <c r="A121" s="34" t="s">
        <v>709</v>
      </c>
      <c r="B121" s="16" t="s">
        <v>710</v>
      </c>
      <c r="C121" s="17" t="s">
        <v>711</v>
      </c>
      <c r="D121" s="18" t="s">
        <v>245</v>
      </c>
      <c r="E121" s="19">
        <v>45356</v>
      </c>
      <c r="F121" s="21" t="s">
        <v>1844</v>
      </c>
      <c r="G121" s="21" t="s">
        <v>258</v>
      </c>
      <c r="H121" s="22" t="s">
        <v>259</v>
      </c>
      <c r="I121" s="21"/>
      <c r="J121" s="62"/>
    </row>
    <row r="122" spans="1:10" x14ac:dyDescent="0.25">
      <c r="A122" s="15" t="s">
        <v>718</v>
      </c>
      <c r="B122" s="16" t="s">
        <v>719</v>
      </c>
      <c r="C122" s="17" t="s">
        <v>720</v>
      </c>
      <c r="D122" s="18" t="s">
        <v>245</v>
      </c>
      <c r="E122" s="19">
        <v>45383</v>
      </c>
      <c r="F122" s="20" t="s">
        <v>328</v>
      </c>
      <c r="G122" s="21" t="s">
        <v>297</v>
      </c>
      <c r="H122" s="22" t="s">
        <v>253</v>
      </c>
      <c r="I122" s="21" t="s">
        <v>1376</v>
      </c>
      <c r="J122" s="62"/>
    </row>
    <row r="123" spans="1:10" x14ac:dyDescent="0.25">
      <c r="A123" s="15" t="s">
        <v>712</v>
      </c>
      <c r="B123" s="16" t="s">
        <v>713</v>
      </c>
      <c r="C123" s="17" t="s">
        <v>714</v>
      </c>
      <c r="D123" s="18" t="s">
        <v>245</v>
      </c>
      <c r="E123" s="19">
        <v>45383</v>
      </c>
      <c r="F123" s="20" t="s">
        <v>511</v>
      </c>
      <c r="G123" s="21" t="s">
        <v>501</v>
      </c>
      <c r="H123" s="22" t="s">
        <v>253</v>
      </c>
      <c r="I123" s="21" t="s">
        <v>1377</v>
      </c>
      <c r="J123" s="62"/>
    </row>
    <row r="124" spans="1:10" x14ac:dyDescent="0.25">
      <c r="A124" s="15" t="s">
        <v>715</v>
      </c>
      <c r="B124" s="16" t="s">
        <v>716</v>
      </c>
      <c r="C124" s="17" t="s">
        <v>717</v>
      </c>
      <c r="D124" s="18" t="s">
        <v>245</v>
      </c>
      <c r="E124" s="19">
        <v>45383</v>
      </c>
      <c r="F124" s="20" t="s">
        <v>452</v>
      </c>
      <c r="G124" s="21" t="s">
        <v>387</v>
      </c>
      <c r="H124" s="22" t="s">
        <v>259</v>
      </c>
      <c r="I124" s="21" t="s">
        <v>1425</v>
      </c>
      <c r="J124" s="62"/>
    </row>
    <row r="125" spans="1:10" x14ac:dyDescent="0.25">
      <c r="A125" s="15" t="s">
        <v>721</v>
      </c>
      <c r="B125" s="16" t="s">
        <v>722</v>
      </c>
      <c r="C125" s="17" t="s">
        <v>723</v>
      </c>
      <c r="D125" s="18" t="s">
        <v>245</v>
      </c>
      <c r="E125" s="19">
        <v>45383</v>
      </c>
      <c r="F125" s="20" t="s">
        <v>452</v>
      </c>
      <c r="G125" s="21" t="s">
        <v>387</v>
      </c>
      <c r="H125" s="22" t="s">
        <v>259</v>
      </c>
      <c r="I125" s="21" t="s">
        <v>1425</v>
      </c>
      <c r="J125" s="62"/>
    </row>
    <row r="126" spans="1:10" x14ac:dyDescent="0.25">
      <c r="A126" s="15" t="s">
        <v>728</v>
      </c>
      <c r="B126" s="16" t="s">
        <v>729</v>
      </c>
      <c r="C126" s="17" t="s">
        <v>730</v>
      </c>
      <c r="D126" s="18" t="s">
        <v>245</v>
      </c>
      <c r="E126" s="19">
        <v>45397</v>
      </c>
      <c r="F126" s="20" t="s">
        <v>452</v>
      </c>
      <c r="G126" s="21" t="s">
        <v>387</v>
      </c>
      <c r="H126" s="22" t="s">
        <v>259</v>
      </c>
      <c r="I126" s="21" t="s">
        <v>1425</v>
      </c>
      <c r="J126" s="62"/>
    </row>
    <row r="127" spans="1:10" x14ac:dyDescent="0.25">
      <c r="A127" s="15" t="s">
        <v>283</v>
      </c>
      <c r="B127" s="16" t="s">
        <v>284</v>
      </c>
      <c r="C127" s="17" t="s">
        <v>285</v>
      </c>
      <c r="D127" s="18" t="s">
        <v>245</v>
      </c>
      <c r="E127" s="19">
        <v>35332</v>
      </c>
      <c r="F127" s="20" t="s">
        <v>286</v>
      </c>
      <c r="G127" s="21" t="s">
        <v>287</v>
      </c>
      <c r="H127" s="22" t="s">
        <v>259</v>
      </c>
      <c r="I127" s="21"/>
      <c r="J127" s="62"/>
    </row>
    <row r="128" spans="1:10" x14ac:dyDescent="0.25">
      <c r="A128" s="15" t="s">
        <v>731</v>
      </c>
      <c r="B128" s="16" t="s">
        <v>732</v>
      </c>
      <c r="C128" s="17" t="s">
        <v>733</v>
      </c>
      <c r="D128" s="18" t="s">
        <v>245</v>
      </c>
      <c r="E128" s="19">
        <v>45413</v>
      </c>
      <c r="F128" s="20" t="s">
        <v>734</v>
      </c>
      <c r="G128" s="21" t="s">
        <v>287</v>
      </c>
      <c r="H128" s="22" t="s">
        <v>259</v>
      </c>
      <c r="I128" s="21"/>
      <c r="J128" s="62"/>
    </row>
    <row r="129" spans="1:10" x14ac:dyDescent="0.25">
      <c r="A129" s="15" t="s">
        <v>735</v>
      </c>
      <c r="B129" s="16" t="s">
        <v>736</v>
      </c>
      <c r="C129" s="17" t="s">
        <v>737</v>
      </c>
      <c r="D129" s="18" t="s">
        <v>245</v>
      </c>
      <c r="E129" s="19">
        <v>45414</v>
      </c>
      <c r="F129" s="20" t="s">
        <v>734</v>
      </c>
      <c r="G129" s="21" t="s">
        <v>535</v>
      </c>
      <c r="H129" s="22" t="s">
        <v>259</v>
      </c>
      <c r="I129" s="21"/>
      <c r="J129" s="62"/>
    </row>
    <row r="130" spans="1:10" x14ac:dyDescent="0.25">
      <c r="A130" s="15" t="s">
        <v>738</v>
      </c>
      <c r="B130" s="16" t="s">
        <v>739</v>
      </c>
      <c r="C130" s="17" t="s">
        <v>740</v>
      </c>
      <c r="D130" s="18" t="s">
        <v>245</v>
      </c>
      <c r="E130" s="19">
        <v>45418</v>
      </c>
      <c r="F130" s="20" t="s">
        <v>452</v>
      </c>
      <c r="G130" s="21" t="s">
        <v>453</v>
      </c>
      <c r="H130" s="22" t="s">
        <v>259</v>
      </c>
      <c r="I130" s="21"/>
      <c r="J130" s="62"/>
    </row>
    <row r="131" spans="1:10" x14ac:dyDescent="0.25">
      <c r="A131" s="15" t="s">
        <v>748</v>
      </c>
      <c r="B131" s="16" t="s">
        <v>749</v>
      </c>
      <c r="C131" s="17" t="s">
        <v>750</v>
      </c>
      <c r="D131" s="18" t="s">
        <v>245</v>
      </c>
      <c r="E131" s="19">
        <v>45460</v>
      </c>
      <c r="F131" s="20" t="s">
        <v>431</v>
      </c>
      <c r="G131" s="21" t="s">
        <v>315</v>
      </c>
      <c r="H131" s="22" t="s">
        <v>253</v>
      </c>
      <c r="I131" s="21" t="s">
        <v>1376</v>
      </c>
      <c r="J131" s="62"/>
    </row>
    <row r="132" spans="1:10" x14ac:dyDescent="0.25">
      <c r="A132" s="18">
        <v>73178717</v>
      </c>
      <c r="B132" s="16" t="s">
        <v>744</v>
      </c>
      <c r="C132" s="17" t="s">
        <v>745</v>
      </c>
      <c r="D132" s="18" t="s">
        <v>245</v>
      </c>
      <c r="E132" s="19">
        <v>45442</v>
      </c>
      <c r="F132" s="20" t="s">
        <v>746</v>
      </c>
      <c r="G132" s="21" t="s">
        <v>747</v>
      </c>
      <c r="H132" s="22" t="s">
        <v>440</v>
      </c>
      <c r="I132" s="21" t="s">
        <v>1412</v>
      </c>
      <c r="J132" s="62"/>
    </row>
    <row r="133" spans="1:10" x14ac:dyDescent="0.25">
      <c r="A133" s="15" t="s">
        <v>833</v>
      </c>
      <c r="B133" s="16" t="s">
        <v>834</v>
      </c>
      <c r="C133" s="17" t="s">
        <v>835</v>
      </c>
      <c r="D133" s="18" t="s">
        <v>245</v>
      </c>
      <c r="E133" s="19">
        <v>45586</v>
      </c>
      <c r="F133" s="20" t="s">
        <v>754</v>
      </c>
      <c r="G133" s="21" t="s">
        <v>252</v>
      </c>
      <c r="H133" s="22" t="s">
        <v>253</v>
      </c>
      <c r="I133" s="21" t="s">
        <v>1379</v>
      </c>
      <c r="J133" s="62"/>
    </row>
    <row r="134" spans="1:10" x14ac:dyDescent="0.25">
      <c r="A134" s="15" t="s">
        <v>755</v>
      </c>
      <c r="B134" s="16" t="s">
        <v>756</v>
      </c>
      <c r="C134" s="17" t="s">
        <v>757</v>
      </c>
      <c r="D134" s="18" t="s">
        <v>245</v>
      </c>
      <c r="E134" s="19">
        <v>45467</v>
      </c>
      <c r="F134" s="20" t="s">
        <v>608</v>
      </c>
      <c r="G134" s="21" t="s">
        <v>496</v>
      </c>
      <c r="H134" s="22" t="s">
        <v>440</v>
      </c>
      <c r="I134" s="21"/>
      <c r="J134" s="62"/>
    </row>
    <row r="135" spans="1:10" x14ac:dyDescent="0.25">
      <c r="A135" s="15" t="s">
        <v>751</v>
      </c>
      <c r="B135" s="16" t="s">
        <v>752</v>
      </c>
      <c r="C135" s="17" t="s">
        <v>753</v>
      </c>
      <c r="D135" s="18" t="s">
        <v>245</v>
      </c>
      <c r="E135" s="19">
        <v>45467</v>
      </c>
      <c r="F135" s="20" t="s">
        <v>754</v>
      </c>
      <c r="G135" s="21" t="s">
        <v>252</v>
      </c>
      <c r="H135" s="22" t="s">
        <v>253</v>
      </c>
      <c r="I135" s="21" t="s">
        <v>1379</v>
      </c>
      <c r="J135" s="62"/>
    </row>
    <row r="136" spans="1:10" x14ac:dyDescent="0.25">
      <c r="A136" s="15" t="s">
        <v>761</v>
      </c>
      <c r="B136" s="16" t="s">
        <v>762</v>
      </c>
      <c r="C136" s="17" t="s">
        <v>763</v>
      </c>
      <c r="D136" s="18" t="s">
        <v>245</v>
      </c>
      <c r="E136" s="19">
        <v>45474</v>
      </c>
      <c r="F136" s="20" t="s">
        <v>340</v>
      </c>
      <c r="G136" s="21" t="s">
        <v>302</v>
      </c>
      <c r="H136" s="22" t="s">
        <v>302</v>
      </c>
      <c r="I136" s="21" t="s">
        <v>1396</v>
      </c>
      <c r="J136" s="62"/>
    </row>
    <row r="137" spans="1:10" x14ac:dyDescent="0.25">
      <c r="A137" s="15" t="s">
        <v>758</v>
      </c>
      <c r="B137" s="16" t="s">
        <v>759</v>
      </c>
      <c r="C137" s="17" t="s">
        <v>760</v>
      </c>
      <c r="D137" s="18" t="s">
        <v>245</v>
      </c>
      <c r="E137" s="19">
        <v>45474</v>
      </c>
      <c r="F137" s="20" t="s">
        <v>692</v>
      </c>
      <c r="G137" s="21" t="s">
        <v>439</v>
      </c>
      <c r="H137" s="22" t="s">
        <v>440</v>
      </c>
      <c r="I137" s="21"/>
      <c r="J137" s="62"/>
    </row>
    <row r="138" spans="1:10" x14ac:dyDescent="0.25">
      <c r="A138" s="15" t="s">
        <v>764</v>
      </c>
      <c r="B138" s="16" t="s">
        <v>765</v>
      </c>
      <c r="C138" s="17" t="s">
        <v>766</v>
      </c>
      <c r="D138" s="18" t="s">
        <v>245</v>
      </c>
      <c r="E138" s="19">
        <v>45482</v>
      </c>
      <c r="F138" s="20" t="s">
        <v>767</v>
      </c>
      <c r="G138" s="21" t="s">
        <v>320</v>
      </c>
      <c r="H138" s="21" t="s">
        <v>247</v>
      </c>
      <c r="I138" s="21" t="s">
        <v>1405</v>
      </c>
      <c r="J138" s="62"/>
    </row>
    <row r="139" spans="1:10" x14ac:dyDescent="0.25">
      <c r="A139" s="15" t="s">
        <v>768</v>
      </c>
      <c r="B139" s="16" t="s">
        <v>769</v>
      </c>
      <c r="C139" s="17" t="s">
        <v>770</v>
      </c>
      <c r="D139" s="18" t="s">
        <v>245</v>
      </c>
      <c r="E139" s="19">
        <v>45482</v>
      </c>
      <c r="F139" s="20" t="s">
        <v>328</v>
      </c>
      <c r="G139" s="21" t="s">
        <v>297</v>
      </c>
      <c r="H139" s="22" t="s">
        <v>253</v>
      </c>
      <c r="I139" s="21" t="s">
        <v>1376</v>
      </c>
      <c r="J139" s="62"/>
    </row>
    <row r="140" spans="1:10" x14ac:dyDescent="0.25">
      <c r="A140" s="15" t="s">
        <v>329</v>
      </c>
      <c r="B140" s="16" t="s">
        <v>330</v>
      </c>
      <c r="C140" s="17" t="s">
        <v>331</v>
      </c>
      <c r="D140" s="18" t="s">
        <v>245</v>
      </c>
      <c r="E140" s="19">
        <v>36054</v>
      </c>
      <c r="F140" s="20" t="s">
        <v>332</v>
      </c>
      <c r="G140" s="21" t="s">
        <v>320</v>
      </c>
      <c r="H140" s="21" t="s">
        <v>247</v>
      </c>
      <c r="I140" s="21" t="s">
        <v>1402</v>
      </c>
      <c r="J140" s="62"/>
    </row>
    <row r="141" spans="1:10" x14ac:dyDescent="0.25">
      <c r="A141" s="15" t="s">
        <v>774</v>
      </c>
      <c r="B141" s="16" t="s">
        <v>775</v>
      </c>
      <c r="C141" s="17" t="s">
        <v>776</v>
      </c>
      <c r="D141" s="18" t="s">
        <v>245</v>
      </c>
      <c r="E141" s="19">
        <v>45498</v>
      </c>
      <c r="F141" s="20" t="s">
        <v>340</v>
      </c>
      <c r="G141" s="21" t="s">
        <v>302</v>
      </c>
      <c r="H141" s="22" t="s">
        <v>302</v>
      </c>
      <c r="I141" s="21" t="s">
        <v>1396</v>
      </c>
      <c r="J141" s="62"/>
    </row>
    <row r="142" spans="1:10" x14ac:dyDescent="0.25">
      <c r="A142" s="15" t="s">
        <v>777</v>
      </c>
      <c r="B142" s="16" t="s">
        <v>778</v>
      </c>
      <c r="C142" s="17" t="s">
        <v>779</v>
      </c>
      <c r="D142" s="18" t="s">
        <v>245</v>
      </c>
      <c r="E142" s="19">
        <v>45511</v>
      </c>
      <c r="F142" s="20" t="s">
        <v>277</v>
      </c>
      <c r="G142" s="21" t="s">
        <v>278</v>
      </c>
      <c r="H142" s="22" t="s">
        <v>253</v>
      </c>
      <c r="I142" s="21" t="s">
        <v>1376</v>
      </c>
      <c r="J142" s="62"/>
    </row>
    <row r="143" spans="1:10" x14ac:dyDescent="0.25">
      <c r="A143" s="15" t="s">
        <v>780</v>
      </c>
      <c r="B143" s="16" t="s">
        <v>781</v>
      </c>
      <c r="C143" s="17" t="s">
        <v>782</v>
      </c>
      <c r="D143" s="18" t="s">
        <v>245</v>
      </c>
      <c r="E143" s="19">
        <v>45517</v>
      </c>
      <c r="F143" s="20" t="s">
        <v>328</v>
      </c>
      <c r="G143" s="21" t="s">
        <v>297</v>
      </c>
      <c r="H143" s="22" t="s">
        <v>253</v>
      </c>
      <c r="I143" s="21" t="s">
        <v>1376</v>
      </c>
      <c r="J143" s="62"/>
    </row>
    <row r="144" spans="1:10" x14ac:dyDescent="0.25">
      <c r="A144" s="15" t="s">
        <v>783</v>
      </c>
      <c r="B144" s="16" t="s">
        <v>784</v>
      </c>
      <c r="C144" s="17" t="s">
        <v>785</v>
      </c>
      <c r="D144" s="18" t="s">
        <v>245</v>
      </c>
      <c r="E144" s="19">
        <v>45517</v>
      </c>
      <c r="F144" s="20" t="s">
        <v>328</v>
      </c>
      <c r="G144" s="21" t="s">
        <v>297</v>
      </c>
      <c r="H144" s="22" t="s">
        <v>253</v>
      </c>
      <c r="I144" s="21" t="s">
        <v>1376</v>
      </c>
      <c r="J144" s="62"/>
    </row>
    <row r="145" spans="1:10" x14ac:dyDescent="0.25">
      <c r="A145" s="15" t="s">
        <v>786</v>
      </c>
      <c r="B145" s="16" t="s">
        <v>787</v>
      </c>
      <c r="C145" s="17" t="s">
        <v>788</v>
      </c>
      <c r="D145" s="18" t="s">
        <v>245</v>
      </c>
      <c r="E145" s="19">
        <v>45523</v>
      </c>
      <c r="F145" s="20" t="s">
        <v>328</v>
      </c>
      <c r="G145" s="21" t="s">
        <v>297</v>
      </c>
      <c r="H145" s="22" t="s">
        <v>253</v>
      </c>
      <c r="I145" s="21" t="s">
        <v>1376</v>
      </c>
      <c r="J145" s="62"/>
    </row>
    <row r="146" spans="1:10" x14ac:dyDescent="0.25">
      <c r="A146" s="15" t="s">
        <v>789</v>
      </c>
      <c r="B146" s="16" t="s">
        <v>790</v>
      </c>
      <c r="C146" s="17" t="s">
        <v>791</v>
      </c>
      <c r="D146" s="18" t="s">
        <v>245</v>
      </c>
      <c r="E146" s="19">
        <v>45536</v>
      </c>
      <c r="F146" s="20" t="s">
        <v>608</v>
      </c>
      <c r="G146" s="21" t="s">
        <v>439</v>
      </c>
      <c r="H146" s="22" t="s">
        <v>440</v>
      </c>
      <c r="I146" s="21"/>
      <c r="J146" s="62"/>
    </row>
    <row r="147" spans="1:10" x14ac:dyDescent="0.25">
      <c r="A147" s="15" t="s">
        <v>792</v>
      </c>
      <c r="B147" s="16" t="s">
        <v>793</v>
      </c>
      <c r="C147" s="17" t="s">
        <v>794</v>
      </c>
      <c r="D147" s="18" t="s">
        <v>245</v>
      </c>
      <c r="E147" s="19">
        <v>45537</v>
      </c>
      <c r="F147" s="20" t="s">
        <v>452</v>
      </c>
      <c r="G147" s="21" t="s">
        <v>479</v>
      </c>
      <c r="H147" s="22" t="s">
        <v>259</v>
      </c>
      <c r="I147" s="21"/>
      <c r="J147" s="62"/>
    </row>
    <row r="148" spans="1:10" x14ac:dyDescent="0.25">
      <c r="A148" s="15" t="s">
        <v>795</v>
      </c>
      <c r="B148" s="16" t="s">
        <v>796</v>
      </c>
      <c r="C148" s="17" t="s">
        <v>797</v>
      </c>
      <c r="D148" s="18" t="s">
        <v>245</v>
      </c>
      <c r="E148" s="19">
        <v>45539</v>
      </c>
      <c r="F148" s="20" t="s">
        <v>692</v>
      </c>
      <c r="G148" s="21" t="s">
        <v>613</v>
      </c>
      <c r="H148" s="22" t="s">
        <v>440</v>
      </c>
      <c r="I148" s="21"/>
      <c r="J148" s="62"/>
    </row>
    <row r="149" spans="1:10" x14ac:dyDescent="0.25">
      <c r="A149" s="15" t="s">
        <v>798</v>
      </c>
      <c r="B149" s="16" t="s">
        <v>799</v>
      </c>
      <c r="C149" s="17" t="s">
        <v>800</v>
      </c>
      <c r="D149" s="18" t="s">
        <v>245</v>
      </c>
      <c r="E149" s="19">
        <v>45545</v>
      </c>
      <c r="F149" s="20" t="s">
        <v>597</v>
      </c>
      <c r="G149" s="21" t="s">
        <v>282</v>
      </c>
      <c r="H149" s="22" t="s">
        <v>282</v>
      </c>
      <c r="I149" s="21" t="s">
        <v>1391</v>
      </c>
      <c r="J149" s="62"/>
    </row>
    <row r="150" spans="1:10" x14ac:dyDescent="0.25">
      <c r="A150" s="15" t="s">
        <v>801</v>
      </c>
      <c r="B150" s="16" t="s">
        <v>802</v>
      </c>
      <c r="C150" s="17" t="s">
        <v>803</v>
      </c>
      <c r="D150" s="18" t="s">
        <v>245</v>
      </c>
      <c r="E150" s="19">
        <v>45545</v>
      </c>
      <c r="F150" s="20" t="s">
        <v>358</v>
      </c>
      <c r="G150" s="21" t="s">
        <v>292</v>
      </c>
      <c r="H150" s="22" t="s">
        <v>259</v>
      </c>
      <c r="I150" s="21"/>
      <c r="J150" s="62"/>
    </row>
    <row r="151" spans="1:10" x14ac:dyDescent="0.25">
      <c r="A151" s="15" t="s">
        <v>804</v>
      </c>
      <c r="B151" s="16" t="s">
        <v>805</v>
      </c>
      <c r="C151" s="17" t="s">
        <v>806</v>
      </c>
      <c r="D151" s="18" t="s">
        <v>245</v>
      </c>
      <c r="E151" s="19">
        <v>45547</v>
      </c>
      <c r="F151" s="20" t="s">
        <v>358</v>
      </c>
      <c r="G151" s="21" t="s">
        <v>292</v>
      </c>
      <c r="H151" s="22" t="s">
        <v>259</v>
      </c>
      <c r="I151" s="21"/>
      <c r="J151" s="62"/>
    </row>
    <row r="152" spans="1:10" x14ac:dyDescent="0.25">
      <c r="A152" s="15" t="s">
        <v>807</v>
      </c>
      <c r="B152" s="16" t="s">
        <v>808</v>
      </c>
      <c r="C152" s="17" t="s">
        <v>809</v>
      </c>
      <c r="D152" s="18" t="s">
        <v>245</v>
      </c>
      <c r="E152" s="19">
        <v>45552</v>
      </c>
      <c r="F152" s="20" t="s">
        <v>692</v>
      </c>
      <c r="G152" s="21" t="s">
        <v>445</v>
      </c>
      <c r="H152" s="22" t="s">
        <v>440</v>
      </c>
      <c r="I152" s="21"/>
      <c r="J152" s="62"/>
    </row>
    <row r="153" spans="1:10" x14ac:dyDescent="0.25">
      <c r="A153" s="26" t="s">
        <v>810</v>
      </c>
      <c r="B153" s="27" t="s">
        <v>811</v>
      </c>
      <c r="C153" s="28" t="s">
        <v>812</v>
      </c>
      <c r="D153" s="29" t="s">
        <v>245</v>
      </c>
      <c r="E153" s="30">
        <v>45566</v>
      </c>
      <c r="F153" s="31" t="s">
        <v>475</v>
      </c>
      <c r="G153" s="32" t="s">
        <v>252</v>
      </c>
      <c r="H153" s="33" t="s">
        <v>253</v>
      </c>
      <c r="I153" s="21" t="s">
        <v>1379</v>
      </c>
      <c r="J153" s="62"/>
    </row>
    <row r="154" spans="1:10" x14ac:dyDescent="0.25">
      <c r="A154" s="15" t="s">
        <v>813</v>
      </c>
      <c r="B154" s="16" t="s">
        <v>814</v>
      </c>
      <c r="C154" s="17" t="s">
        <v>815</v>
      </c>
      <c r="D154" s="18" t="s">
        <v>245</v>
      </c>
      <c r="E154" s="19">
        <v>45566</v>
      </c>
      <c r="F154" s="20" t="s">
        <v>608</v>
      </c>
      <c r="G154" s="21" t="s">
        <v>445</v>
      </c>
      <c r="H154" s="22" t="s">
        <v>440</v>
      </c>
      <c r="I154" s="21"/>
      <c r="J154" s="62"/>
    </row>
    <row r="155" spans="1:10" x14ac:dyDescent="0.25">
      <c r="A155" s="15" t="s">
        <v>816</v>
      </c>
      <c r="B155" s="16" t="s">
        <v>817</v>
      </c>
      <c r="C155" s="17" t="s">
        <v>818</v>
      </c>
      <c r="D155" s="18" t="s">
        <v>245</v>
      </c>
      <c r="E155" s="19">
        <v>45574</v>
      </c>
      <c r="F155" s="20" t="s">
        <v>819</v>
      </c>
      <c r="G155" s="21" t="s">
        <v>543</v>
      </c>
      <c r="H155" s="22" t="s">
        <v>440</v>
      </c>
      <c r="I155" s="21"/>
      <c r="J155" s="62"/>
    </row>
    <row r="156" spans="1:10" x14ac:dyDescent="0.25">
      <c r="A156" s="15" t="s">
        <v>836</v>
      </c>
      <c r="B156" s="16" t="s">
        <v>837</v>
      </c>
      <c r="C156" s="17" t="s">
        <v>838</v>
      </c>
      <c r="D156" s="18" t="s">
        <v>245</v>
      </c>
      <c r="E156" s="19">
        <v>45586</v>
      </c>
      <c r="F156" s="20" t="s">
        <v>839</v>
      </c>
      <c r="G156" s="21" t="s">
        <v>440</v>
      </c>
      <c r="H156" s="22" t="s">
        <v>440</v>
      </c>
      <c r="I156" s="21" t="s">
        <v>1411</v>
      </c>
      <c r="J156" s="62"/>
    </row>
    <row r="157" spans="1:10" x14ac:dyDescent="0.25">
      <c r="A157" s="15" t="s">
        <v>823</v>
      </c>
      <c r="B157" s="16" t="s">
        <v>824</v>
      </c>
      <c r="C157" s="17" t="s">
        <v>825</v>
      </c>
      <c r="D157" s="18" t="s">
        <v>245</v>
      </c>
      <c r="E157" s="19">
        <v>45586</v>
      </c>
      <c r="F157" s="20" t="s">
        <v>328</v>
      </c>
      <c r="G157" s="21" t="s">
        <v>297</v>
      </c>
      <c r="H157" s="22" t="s">
        <v>253</v>
      </c>
      <c r="I157" s="21" t="s">
        <v>1376</v>
      </c>
      <c r="J157" s="62"/>
    </row>
    <row r="158" spans="1:10" x14ac:dyDescent="0.25">
      <c r="A158" s="15" t="s">
        <v>830</v>
      </c>
      <c r="B158" s="16" t="s">
        <v>831</v>
      </c>
      <c r="C158" s="17" t="s">
        <v>832</v>
      </c>
      <c r="D158" s="18" t="s">
        <v>245</v>
      </c>
      <c r="E158" s="19">
        <v>45586</v>
      </c>
      <c r="F158" s="20" t="s">
        <v>328</v>
      </c>
      <c r="G158" s="21" t="s">
        <v>297</v>
      </c>
      <c r="H158" s="22" t="s">
        <v>253</v>
      </c>
      <c r="I158" s="21" t="s">
        <v>1376</v>
      </c>
      <c r="J158" s="62"/>
    </row>
    <row r="159" spans="1:10" x14ac:dyDescent="0.25">
      <c r="A159" s="15" t="s">
        <v>826</v>
      </c>
      <c r="B159" s="16" t="s">
        <v>827</v>
      </c>
      <c r="C159" s="17" t="s">
        <v>828</v>
      </c>
      <c r="D159" s="18" t="s">
        <v>566</v>
      </c>
      <c r="E159" s="19">
        <v>45586</v>
      </c>
      <c r="F159" s="20" t="s">
        <v>829</v>
      </c>
      <c r="G159" s="22" t="s">
        <v>530</v>
      </c>
      <c r="H159" s="22" t="s">
        <v>530</v>
      </c>
      <c r="I159" s="21" t="s">
        <v>1388</v>
      </c>
      <c r="J159" s="62"/>
    </row>
    <row r="160" spans="1:10" x14ac:dyDescent="0.25">
      <c r="A160" s="15" t="s">
        <v>820</v>
      </c>
      <c r="B160" s="16" t="s">
        <v>821</v>
      </c>
      <c r="C160" s="17" t="s">
        <v>822</v>
      </c>
      <c r="D160" s="18" t="s">
        <v>245</v>
      </c>
      <c r="E160" s="19">
        <v>45586</v>
      </c>
      <c r="F160" s="20" t="s">
        <v>468</v>
      </c>
      <c r="G160" s="21" t="s">
        <v>297</v>
      </c>
      <c r="H160" s="22" t="s">
        <v>253</v>
      </c>
      <c r="I160" s="21" t="s">
        <v>1376</v>
      </c>
      <c r="J160" s="62"/>
    </row>
    <row r="161" spans="1:10" x14ac:dyDescent="0.25">
      <c r="A161" s="15" t="s">
        <v>446</v>
      </c>
      <c r="B161" s="16" t="s">
        <v>447</v>
      </c>
      <c r="C161" s="17" t="s">
        <v>448</v>
      </c>
      <c r="D161" s="18" t="s">
        <v>245</v>
      </c>
      <c r="E161" s="19">
        <v>42411</v>
      </c>
      <c r="F161" s="20" t="s">
        <v>328</v>
      </c>
      <c r="G161" s="21" t="s">
        <v>297</v>
      </c>
      <c r="H161" s="22" t="s">
        <v>253</v>
      </c>
      <c r="I161" s="21" t="s">
        <v>1376</v>
      </c>
      <c r="J161" s="62"/>
    </row>
    <row r="162" spans="1:10" x14ac:dyDescent="0.25">
      <c r="A162" s="15" t="s">
        <v>840</v>
      </c>
      <c r="B162" s="16" t="s">
        <v>841</v>
      </c>
      <c r="C162" s="17" t="s">
        <v>842</v>
      </c>
      <c r="D162" s="18" t="s">
        <v>245</v>
      </c>
      <c r="E162" s="19">
        <v>45588</v>
      </c>
      <c r="F162" s="20" t="s">
        <v>843</v>
      </c>
      <c r="G162" s="21" t="s">
        <v>297</v>
      </c>
      <c r="H162" s="22" t="s">
        <v>253</v>
      </c>
      <c r="I162" s="21" t="s">
        <v>1593</v>
      </c>
      <c r="J162" s="62"/>
    </row>
    <row r="163" spans="1:10" x14ac:dyDescent="0.25">
      <c r="A163" s="15" t="s">
        <v>844</v>
      </c>
      <c r="B163" s="16" t="s">
        <v>845</v>
      </c>
      <c r="C163" s="17" t="s">
        <v>846</v>
      </c>
      <c r="D163" s="18" t="s">
        <v>245</v>
      </c>
      <c r="E163" s="19">
        <v>45597</v>
      </c>
      <c r="F163" s="20" t="s">
        <v>847</v>
      </c>
      <c r="G163" s="21" t="s">
        <v>543</v>
      </c>
      <c r="H163" s="22" t="s">
        <v>440</v>
      </c>
      <c r="I163" s="21"/>
      <c r="J163" s="62"/>
    </row>
    <row r="164" spans="1:10" x14ac:dyDescent="0.25">
      <c r="A164" s="15" t="s">
        <v>860</v>
      </c>
      <c r="B164" s="16" t="s">
        <v>861</v>
      </c>
      <c r="C164" s="17" t="s">
        <v>862</v>
      </c>
      <c r="D164" s="18" t="s">
        <v>245</v>
      </c>
      <c r="E164" s="19">
        <v>45600</v>
      </c>
      <c r="F164" s="20" t="s">
        <v>671</v>
      </c>
      <c r="G164" s="21" t="s">
        <v>496</v>
      </c>
      <c r="H164" s="22" t="s">
        <v>440</v>
      </c>
      <c r="I164" s="21"/>
      <c r="J164" s="62"/>
    </row>
    <row r="165" spans="1:10" x14ac:dyDescent="0.25">
      <c r="A165" s="15" t="s">
        <v>851</v>
      </c>
      <c r="B165" s="16" t="s">
        <v>852</v>
      </c>
      <c r="C165" s="17" t="s">
        <v>853</v>
      </c>
      <c r="D165" s="18" t="s">
        <v>245</v>
      </c>
      <c r="E165" s="19">
        <v>45600</v>
      </c>
      <c r="F165" s="20" t="s">
        <v>671</v>
      </c>
      <c r="G165" s="21" t="s">
        <v>613</v>
      </c>
      <c r="H165" s="22" t="s">
        <v>440</v>
      </c>
      <c r="I165" s="21"/>
      <c r="J165" s="62"/>
    </row>
    <row r="166" spans="1:10" x14ac:dyDescent="0.25">
      <c r="A166" s="15" t="s">
        <v>854</v>
      </c>
      <c r="B166" s="16" t="s">
        <v>855</v>
      </c>
      <c r="C166" s="17" t="s">
        <v>856</v>
      </c>
      <c r="D166" s="18" t="s">
        <v>245</v>
      </c>
      <c r="E166" s="19">
        <v>45600</v>
      </c>
      <c r="F166" s="20" t="s">
        <v>671</v>
      </c>
      <c r="G166" s="21" t="s">
        <v>613</v>
      </c>
      <c r="H166" s="22" t="s">
        <v>440</v>
      </c>
      <c r="I166" s="21"/>
      <c r="J166" s="62"/>
    </row>
    <row r="167" spans="1:10" x14ac:dyDescent="0.25">
      <c r="A167" s="15" t="s">
        <v>857</v>
      </c>
      <c r="B167" s="16" t="s">
        <v>858</v>
      </c>
      <c r="C167" s="17" t="s">
        <v>859</v>
      </c>
      <c r="D167" s="18" t="s">
        <v>245</v>
      </c>
      <c r="E167" s="19">
        <v>45600</v>
      </c>
      <c r="F167" s="20" t="s">
        <v>671</v>
      </c>
      <c r="G167" s="21" t="s">
        <v>613</v>
      </c>
      <c r="H167" s="22" t="s">
        <v>440</v>
      </c>
      <c r="I167" s="21"/>
      <c r="J167" s="62"/>
    </row>
    <row r="168" spans="1:10" x14ac:dyDescent="0.25">
      <c r="A168" s="15" t="s">
        <v>848</v>
      </c>
      <c r="B168" s="16" t="s">
        <v>849</v>
      </c>
      <c r="C168" s="17" t="s">
        <v>850</v>
      </c>
      <c r="D168" s="18" t="s">
        <v>245</v>
      </c>
      <c r="E168" s="19">
        <v>45600</v>
      </c>
      <c r="F168" s="20" t="s">
        <v>671</v>
      </c>
      <c r="G168" s="21" t="s">
        <v>439</v>
      </c>
      <c r="H168" s="22" t="s">
        <v>440</v>
      </c>
      <c r="I168" s="21"/>
      <c r="J168" s="62"/>
    </row>
    <row r="169" spans="1:10" x14ac:dyDescent="0.25">
      <c r="A169" s="34" t="s">
        <v>863</v>
      </c>
      <c r="B169" s="16" t="s">
        <v>864</v>
      </c>
      <c r="C169" s="17" t="s">
        <v>865</v>
      </c>
      <c r="D169" s="18" t="s">
        <v>245</v>
      </c>
      <c r="E169" s="19">
        <v>45618</v>
      </c>
      <c r="F169" s="20" t="s">
        <v>866</v>
      </c>
      <c r="G169" s="22" t="s">
        <v>530</v>
      </c>
      <c r="H169" s="22" t="s">
        <v>530</v>
      </c>
      <c r="I169" s="21" t="s">
        <v>1389</v>
      </c>
      <c r="J169" s="62"/>
    </row>
    <row r="170" spans="1:10" x14ac:dyDescent="0.25">
      <c r="A170" s="15" t="s">
        <v>867</v>
      </c>
      <c r="B170" s="16" t="s">
        <v>868</v>
      </c>
      <c r="C170" s="17" t="s">
        <v>869</v>
      </c>
      <c r="D170" s="18" t="s">
        <v>245</v>
      </c>
      <c r="E170" s="19">
        <v>45628</v>
      </c>
      <c r="F170" s="20" t="s">
        <v>431</v>
      </c>
      <c r="G170" s="21" t="s">
        <v>315</v>
      </c>
      <c r="H170" s="22" t="s">
        <v>253</v>
      </c>
      <c r="I170" s="21" t="s">
        <v>1376</v>
      </c>
      <c r="J170" s="62"/>
    </row>
    <row r="171" spans="1:10" x14ac:dyDescent="0.25">
      <c r="A171" s="15" t="s">
        <v>870</v>
      </c>
      <c r="B171" s="16" t="s">
        <v>871</v>
      </c>
      <c r="C171" s="17" t="s">
        <v>872</v>
      </c>
      <c r="D171" s="18" t="s">
        <v>245</v>
      </c>
      <c r="E171" s="19">
        <v>45632</v>
      </c>
      <c r="F171" s="20" t="s">
        <v>819</v>
      </c>
      <c r="G171" s="21" t="s">
        <v>543</v>
      </c>
      <c r="H171" s="22" t="s">
        <v>440</v>
      </c>
      <c r="I171" s="21"/>
      <c r="J171" s="62"/>
    </row>
    <row r="172" spans="1:10" x14ac:dyDescent="0.25">
      <c r="A172" s="15" t="s">
        <v>873</v>
      </c>
      <c r="B172" s="16" t="s">
        <v>874</v>
      </c>
      <c r="C172" s="17" t="s">
        <v>875</v>
      </c>
      <c r="D172" s="18" t="s">
        <v>245</v>
      </c>
      <c r="E172" s="19">
        <v>45642</v>
      </c>
      <c r="F172" s="20" t="s">
        <v>608</v>
      </c>
      <c r="G172" s="21" t="s">
        <v>613</v>
      </c>
      <c r="H172" s="22" t="s">
        <v>440</v>
      </c>
      <c r="I172" s="21"/>
      <c r="J172" s="62"/>
    </row>
    <row r="173" spans="1:10" x14ac:dyDescent="0.25">
      <c r="A173" s="15">
        <v>71857607</v>
      </c>
      <c r="B173" s="16" t="s">
        <v>878</v>
      </c>
      <c r="C173" s="17" t="s">
        <v>879</v>
      </c>
      <c r="D173" s="18" t="s">
        <v>245</v>
      </c>
      <c r="E173" s="19">
        <v>45652</v>
      </c>
      <c r="F173" s="20" t="s">
        <v>671</v>
      </c>
      <c r="G173" s="21" t="s">
        <v>496</v>
      </c>
      <c r="H173" s="22" t="s">
        <v>440</v>
      </c>
      <c r="I173" s="21"/>
      <c r="J173" s="62"/>
    </row>
    <row r="174" spans="1:10" x14ac:dyDescent="0.25">
      <c r="A174" s="15">
        <v>75785286</v>
      </c>
      <c r="B174" s="16" t="s">
        <v>876</v>
      </c>
      <c r="C174" s="17" t="s">
        <v>877</v>
      </c>
      <c r="D174" s="18" t="s">
        <v>245</v>
      </c>
      <c r="E174" s="19">
        <v>45652</v>
      </c>
      <c r="F174" s="20" t="s">
        <v>671</v>
      </c>
      <c r="G174" s="21" t="s">
        <v>439</v>
      </c>
      <c r="H174" s="22" t="s">
        <v>440</v>
      </c>
      <c r="I174" s="21"/>
      <c r="J174" s="62"/>
    </row>
    <row r="175" spans="1:10" x14ac:dyDescent="0.25">
      <c r="A175" s="34" t="s">
        <v>880</v>
      </c>
      <c r="B175" s="16" t="s">
        <v>881</v>
      </c>
      <c r="C175" s="17" t="s">
        <v>882</v>
      </c>
      <c r="D175" s="18" t="s">
        <v>245</v>
      </c>
      <c r="E175" s="19">
        <v>45658</v>
      </c>
      <c r="F175" s="20" t="s">
        <v>608</v>
      </c>
      <c r="G175" s="21" t="s">
        <v>445</v>
      </c>
      <c r="H175" s="22" t="s">
        <v>440</v>
      </c>
      <c r="I175" s="21"/>
      <c r="J175" s="62"/>
    </row>
    <row r="176" spans="1:10" x14ac:dyDescent="0.25">
      <c r="A176" s="34" t="s">
        <v>883</v>
      </c>
      <c r="B176" s="16" t="s">
        <v>884</v>
      </c>
      <c r="C176" s="17" t="s">
        <v>885</v>
      </c>
      <c r="D176" s="18" t="s">
        <v>245</v>
      </c>
      <c r="E176" s="19">
        <v>45658</v>
      </c>
      <c r="F176" s="20" t="s">
        <v>847</v>
      </c>
      <c r="G176" s="21" t="s">
        <v>543</v>
      </c>
      <c r="H176" s="22" t="s">
        <v>440</v>
      </c>
      <c r="I176" s="21"/>
      <c r="J176" s="62"/>
    </row>
    <row r="177" spans="1:10" x14ac:dyDescent="0.25">
      <c r="A177" s="15">
        <v>74714888</v>
      </c>
      <c r="B177" s="16" t="s">
        <v>886</v>
      </c>
      <c r="C177" s="17" t="s">
        <v>887</v>
      </c>
      <c r="D177" s="18" t="s">
        <v>245</v>
      </c>
      <c r="E177" s="19">
        <v>45663</v>
      </c>
      <c r="F177" s="20" t="s">
        <v>692</v>
      </c>
      <c r="G177" s="21" t="s">
        <v>496</v>
      </c>
      <c r="H177" s="20" t="s">
        <v>440</v>
      </c>
      <c r="I177" s="21"/>
      <c r="J177" s="62"/>
    </row>
    <row r="178" spans="1:10" x14ac:dyDescent="0.25">
      <c r="A178" s="35" t="s">
        <v>898</v>
      </c>
      <c r="B178" s="16" t="s">
        <v>899</v>
      </c>
      <c r="C178" s="17" t="s">
        <v>900</v>
      </c>
      <c r="D178" s="18" t="s">
        <v>245</v>
      </c>
      <c r="E178" s="19">
        <v>45670</v>
      </c>
      <c r="F178" s="20" t="s">
        <v>296</v>
      </c>
      <c r="G178" s="21" t="s">
        <v>297</v>
      </c>
      <c r="H178" s="20" t="s">
        <v>253</v>
      </c>
      <c r="I178" s="21" t="s">
        <v>1376</v>
      </c>
      <c r="J178" s="62"/>
    </row>
    <row r="179" spans="1:10" x14ac:dyDescent="0.25">
      <c r="A179" s="35" t="s">
        <v>888</v>
      </c>
      <c r="B179" s="16" t="s">
        <v>889</v>
      </c>
      <c r="C179" s="17" t="s">
        <v>890</v>
      </c>
      <c r="D179" s="18" t="s">
        <v>245</v>
      </c>
      <c r="E179" s="19">
        <v>45670</v>
      </c>
      <c r="F179" s="20" t="s">
        <v>617</v>
      </c>
      <c r="G179" s="21" t="s">
        <v>383</v>
      </c>
      <c r="H179" s="20" t="s">
        <v>350</v>
      </c>
      <c r="I179" s="21" t="s">
        <v>1383</v>
      </c>
      <c r="J179" s="62"/>
    </row>
    <row r="180" spans="1:10" x14ac:dyDescent="0.25">
      <c r="A180" s="35" t="s">
        <v>891</v>
      </c>
      <c r="B180" s="16" t="s">
        <v>892</v>
      </c>
      <c r="C180" s="17" t="s">
        <v>893</v>
      </c>
      <c r="D180" s="18" t="s">
        <v>245</v>
      </c>
      <c r="E180" s="19">
        <v>45670</v>
      </c>
      <c r="F180" s="20" t="s">
        <v>692</v>
      </c>
      <c r="G180" s="21" t="s">
        <v>613</v>
      </c>
      <c r="H180" s="20" t="s">
        <v>440</v>
      </c>
      <c r="I180" s="21"/>
      <c r="J180" s="62"/>
    </row>
    <row r="181" spans="1:10" x14ac:dyDescent="0.25">
      <c r="A181" s="35" t="s">
        <v>894</v>
      </c>
      <c r="B181" s="16" t="s">
        <v>895</v>
      </c>
      <c r="C181" s="17" t="s">
        <v>896</v>
      </c>
      <c r="D181" s="18" t="s">
        <v>245</v>
      </c>
      <c r="E181" s="19">
        <v>45670</v>
      </c>
      <c r="F181" s="20" t="s">
        <v>897</v>
      </c>
      <c r="G181" s="20" t="s">
        <v>282</v>
      </c>
      <c r="H181" s="20" t="s">
        <v>282</v>
      </c>
      <c r="I181" s="21" t="s">
        <v>1391</v>
      </c>
      <c r="J181" s="62"/>
    </row>
    <row r="182" spans="1:10" x14ac:dyDescent="0.25">
      <c r="A182" s="35" t="s">
        <v>901</v>
      </c>
      <c r="B182" s="16" t="s">
        <v>902</v>
      </c>
      <c r="C182" s="17" t="s">
        <v>903</v>
      </c>
      <c r="D182" s="18" t="s">
        <v>245</v>
      </c>
      <c r="E182" s="19">
        <v>45670</v>
      </c>
      <c r="F182" s="20" t="s">
        <v>608</v>
      </c>
      <c r="G182" s="21" t="s">
        <v>439</v>
      </c>
      <c r="H182" s="20" t="s">
        <v>440</v>
      </c>
      <c r="I182" s="21"/>
      <c r="J182" s="62"/>
    </row>
    <row r="183" spans="1:10" x14ac:dyDescent="0.25">
      <c r="A183" s="35">
        <v>42378596</v>
      </c>
      <c r="B183" s="36" t="s">
        <v>904</v>
      </c>
      <c r="C183" s="17" t="s">
        <v>905</v>
      </c>
      <c r="D183" s="18" t="s">
        <v>245</v>
      </c>
      <c r="E183" s="19">
        <v>45679</v>
      </c>
      <c r="F183" s="20" t="s">
        <v>340</v>
      </c>
      <c r="G183" s="21" t="s">
        <v>302</v>
      </c>
      <c r="H183" s="20" t="s">
        <v>302</v>
      </c>
      <c r="I183" s="21" t="s">
        <v>1396</v>
      </c>
      <c r="J183" s="62"/>
    </row>
    <row r="184" spans="1:10" x14ac:dyDescent="0.25">
      <c r="A184" s="35">
        <v>45237718</v>
      </c>
      <c r="B184" s="36" t="s">
        <v>906</v>
      </c>
      <c r="C184" s="17" t="s">
        <v>907</v>
      </c>
      <c r="D184" s="18" t="s">
        <v>245</v>
      </c>
      <c r="E184" s="19">
        <v>45679</v>
      </c>
      <c r="F184" s="20" t="s">
        <v>511</v>
      </c>
      <c r="G184" s="21" t="s">
        <v>501</v>
      </c>
      <c r="H184" s="20" t="s">
        <v>253</v>
      </c>
      <c r="I184" s="21" t="s">
        <v>1377</v>
      </c>
      <c r="J184" s="62"/>
    </row>
    <row r="185" spans="1:10" x14ac:dyDescent="0.25">
      <c r="A185" s="35" t="s">
        <v>908</v>
      </c>
      <c r="B185" s="36" t="s">
        <v>909</v>
      </c>
      <c r="C185" s="17" t="s">
        <v>910</v>
      </c>
      <c r="D185" s="18" t="s">
        <v>245</v>
      </c>
      <c r="E185" s="19">
        <v>45691</v>
      </c>
      <c r="F185" s="20" t="s">
        <v>911</v>
      </c>
      <c r="G185" s="21" t="s">
        <v>543</v>
      </c>
      <c r="H185" s="22" t="s">
        <v>440</v>
      </c>
      <c r="I185" s="21"/>
      <c r="J185" s="62"/>
    </row>
    <row r="186" spans="1:10" x14ac:dyDescent="0.25">
      <c r="A186" s="35">
        <v>45658153</v>
      </c>
      <c r="B186" s="36" t="s">
        <v>912</v>
      </c>
      <c r="C186" s="17" t="s">
        <v>913</v>
      </c>
      <c r="D186" s="18" t="s">
        <v>245</v>
      </c>
      <c r="E186" s="19">
        <v>45705</v>
      </c>
      <c r="F186" s="20" t="s">
        <v>328</v>
      </c>
      <c r="G186" s="20" t="s">
        <v>297</v>
      </c>
      <c r="H186" s="20" t="s">
        <v>253</v>
      </c>
      <c r="I186" s="21" t="s">
        <v>1376</v>
      </c>
      <c r="J186" s="62"/>
    </row>
    <row r="187" spans="1:10" x14ac:dyDescent="0.25">
      <c r="A187" s="35">
        <v>72663208</v>
      </c>
      <c r="B187" s="36" t="s">
        <v>914</v>
      </c>
      <c r="C187" s="17" t="s">
        <v>915</v>
      </c>
      <c r="D187" s="18" t="s">
        <v>245</v>
      </c>
      <c r="E187" s="19">
        <v>45709</v>
      </c>
      <c r="F187" s="20" t="s">
        <v>328</v>
      </c>
      <c r="G187" s="20" t="s">
        <v>297</v>
      </c>
      <c r="H187" s="20" t="s">
        <v>253</v>
      </c>
      <c r="I187" s="21" t="s">
        <v>1376</v>
      </c>
      <c r="J187" s="62"/>
    </row>
    <row r="188" spans="1:10" x14ac:dyDescent="0.25">
      <c r="A188" s="35">
        <v>74394612</v>
      </c>
      <c r="B188" s="36" t="s">
        <v>916</v>
      </c>
      <c r="C188" s="17" t="s">
        <v>917</v>
      </c>
      <c r="D188" s="18" t="s">
        <v>245</v>
      </c>
      <c r="E188" s="19">
        <v>45709</v>
      </c>
      <c r="F188" s="20" t="s">
        <v>608</v>
      </c>
      <c r="G188" s="20" t="s">
        <v>496</v>
      </c>
      <c r="H188" s="20" t="s">
        <v>440</v>
      </c>
      <c r="I188" s="21"/>
      <c r="J188" s="62"/>
    </row>
    <row r="189" spans="1:10" x14ac:dyDescent="0.25">
      <c r="A189" s="35">
        <v>75660844</v>
      </c>
      <c r="B189" s="36" t="s">
        <v>918</v>
      </c>
      <c r="C189" s="17" t="s">
        <v>919</v>
      </c>
      <c r="D189" s="18" t="s">
        <v>245</v>
      </c>
      <c r="E189" s="19">
        <v>45719</v>
      </c>
      <c r="F189" s="20" t="s">
        <v>358</v>
      </c>
      <c r="G189" s="20" t="s">
        <v>292</v>
      </c>
      <c r="H189" s="20" t="s">
        <v>259</v>
      </c>
      <c r="I189" s="21"/>
      <c r="J189" s="62"/>
    </row>
    <row r="190" spans="1:10" x14ac:dyDescent="0.25">
      <c r="A190" s="35" t="s">
        <v>1541</v>
      </c>
      <c r="B190" s="36" t="s">
        <v>920</v>
      </c>
      <c r="C190" s="17" t="s">
        <v>921</v>
      </c>
      <c r="D190" s="18" t="s">
        <v>245</v>
      </c>
      <c r="E190" s="19">
        <v>45733</v>
      </c>
      <c r="F190" s="20" t="s">
        <v>922</v>
      </c>
      <c r="G190" s="21" t="s">
        <v>349</v>
      </c>
      <c r="H190" s="20" t="s">
        <v>350</v>
      </c>
      <c r="I190" s="21" t="s">
        <v>1385</v>
      </c>
      <c r="J190" s="62"/>
    </row>
    <row r="191" spans="1:10" x14ac:dyDescent="0.25">
      <c r="A191" s="35">
        <v>73240401</v>
      </c>
      <c r="B191" s="16" t="s">
        <v>923</v>
      </c>
      <c r="C191" s="17" t="s">
        <v>924</v>
      </c>
      <c r="D191" s="18" t="s">
        <v>245</v>
      </c>
      <c r="E191" s="19">
        <v>45733</v>
      </c>
      <c r="F191" s="20" t="s">
        <v>925</v>
      </c>
      <c r="G191" s="20" t="s">
        <v>543</v>
      </c>
      <c r="H191" s="20" t="s">
        <v>440</v>
      </c>
      <c r="I191" s="21"/>
      <c r="J191" s="62"/>
    </row>
    <row r="192" spans="1:10" x14ac:dyDescent="0.25">
      <c r="A192" s="35">
        <v>73673932</v>
      </c>
      <c r="B192" s="16" t="s">
        <v>926</v>
      </c>
      <c r="C192" s="17" t="s">
        <v>927</v>
      </c>
      <c r="D192" s="18" t="s">
        <v>245</v>
      </c>
      <c r="E192" s="19">
        <v>45733</v>
      </c>
      <c r="F192" s="20" t="s">
        <v>925</v>
      </c>
      <c r="G192" s="20" t="s">
        <v>543</v>
      </c>
      <c r="H192" s="22" t="s">
        <v>440</v>
      </c>
      <c r="I192" s="21"/>
      <c r="J192" s="62"/>
    </row>
    <row r="193" spans="1:10" x14ac:dyDescent="0.25">
      <c r="A193" s="35">
        <v>74465001</v>
      </c>
      <c r="B193" s="16" t="s">
        <v>928</v>
      </c>
      <c r="C193" s="17" t="s">
        <v>929</v>
      </c>
      <c r="D193" s="18" t="s">
        <v>245</v>
      </c>
      <c r="E193" s="19">
        <v>45733</v>
      </c>
      <c r="F193" s="20" t="s">
        <v>925</v>
      </c>
      <c r="G193" s="20" t="s">
        <v>543</v>
      </c>
      <c r="H193" s="22" t="s">
        <v>440</v>
      </c>
      <c r="I193" s="21"/>
      <c r="J193" s="62"/>
    </row>
    <row r="194" spans="1:10" x14ac:dyDescent="0.25">
      <c r="A194" s="35">
        <v>70676759</v>
      </c>
      <c r="B194" s="36" t="s">
        <v>934</v>
      </c>
      <c r="C194" s="17" t="s">
        <v>935</v>
      </c>
      <c r="D194" s="18" t="s">
        <v>245</v>
      </c>
      <c r="E194" s="19">
        <v>45737</v>
      </c>
      <c r="F194" s="20" t="s">
        <v>328</v>
      </c>
      <c r="G194" s="20" t="s">
        <v>297</v>
      </c>
      <c r="H194" s="20" t="s">
        <v>253</v>
      </c>
      <c r="I194" s="21" t="s">
        <v>1376</v>
      </c>
      <c r="J194" s="62"/>
    </row>
    <row r="195" spans="1:10" x14ac:dyDescent="0.25">
      <c r="A195" s="35">
        <v>41641824</v>
      </c>
      <c r="B195" s="36" t="s">
        <v>930</v>
      </c>
      <c r="C195" s="17" t="s">
        <v>931</v>
      </c>
      <c r="D195" s="18" t="s">
        <v>245</v>
      </c>
      <c r="E195" s="19">
        <v>45737</v>
      </c>
      <c r="F195" s="20" t="s">
        <v>277</v>
      </c>
      <c r="G195" s="21" t="s">
        <v>278</v>
      </c>
      <c r="H195" s="20" t="s">
        <v>253</v>
      </c>
      <c r="I195" s="21" t="s">
        <v>1376</v>
      </c>
      <c r="J195" s="62"/>
    </row>
    <row r="196" spans="1:10" x14ac:dyDescent="0.25">
      <c r="A196" s="35" t="s">
        <v>1647</v>
      </c>
      <c r="B196" s="36" t="s">
        <v>932</v>
      </c>
      <c r="C196" s="17" t="s">
        <v>933</v>
      </c>
      <c r="D196" s="18" t="s">
        <v>245</v>
      </c>
      <c r="E196" s="19">
        <v>45737</v>
      </c>
      <c r="F196" s="20" t="s">
        <v>525</v>
      </c>
      <c r="G196" s="21" t="s">
        <v>501</v>
      </c>
      <c r="H196" s="20" t="s">
        <v>253</v>
      </c>
      <c r="I196" s="21" t="s">
        <v>1377</v>
      </c>
      <c r="J196" s="62"/>
    </row>
    <row r="197" spans="1:10" x14ac:dyDescent="0.25">
      <c r="A197" s="35">
        <v>46124492</v>
      </c>
      <c r="B197" s="36" t="s">
        <v>936</v>
      </c>
      <c r="C197" s="17" t="s">
        <v>937</v>
      </c>
      <c r="D197" s="18" t="s">
        <v>245</v>
      </c>
      <c r="E197" s="19">
        <v>45740</v>
      </c>
      <c r="F197" s="20" t="s">
        <v>608</v>
      </c>
      <c r="G197" s="21" t="s">
        <v>613</v>
      </c>
      <c r="H197" s="20" t="s">
        <v>440</v>
      </c>
      <c r="I197" s="21"/>
      <c r="J197" s="62"/>
    </row>
    <row r="198" spans="1:10" x14ac:dyDescent="0.25">
      <c r="A198" s="15" t="s">
        <v>941</v>
      </c>
      <c r="B198" s="16" t="s">
        <v>942</v>
      </c>
      <c r="C198" s="17" t="s">
        <v>943</v>
      </c>
      <c r="D198" s="18" t="s">
        <v>245</v>
      </c>
      <c r="E198" s="19">
        <v>45748</v>
      </c>
      <c r="F198" s="20" t="s">
        <v>608</v>
      </c>
      <c r="G198" s="21" t="s">
        <v>496</v>
      </c>
      <c r="H198" s="22" t="s">
        <v>440</v>
      </c>
      <c r="I198" s="21"/>
      <c r="J198" s="62"/>
    </row>
    <row r="199" spans="1:10" x14ac:dyDescent="0.25">
      <c r="A199" s="15" t="s">
        <v>944</v>
      </c>
      <c r="B199" s="16" t="s">
        <v>945</v>
      </c>
      <c r="C199" s="17" t="s">
        <v>946</v>
      </c>
      <c r="D199" s="18" t="s">
        <v>245</v>
      </c>
      <c r="E199" s="19">
        <v>45748</v>
      </c>
      <c r="F199" s="20" t="s">
        <v>608</v>
      </c>
      <c r="G199" s="21" t="s">
        <v>613</v>
      </c>
      <c r="H199" s="22" t="s">
        <v>440</v>
      </c>
      <c r="I199" s="21"/>
      <c r="J199" s="62"/>
    </row>
    <row r="200" spans="1:10" x14ac:dyDescent="0.25">
      <c r="A200" s="15" t="s">
        <v>938</v>
      </c>
      <c r="B200" s="16" t="s">
        <v>939</v>
      </c>
      <c r="C200" s="17" t="s">
        <v>940</v>
      </c>
      <c r="D200" s="18" t="s">
        <v>245</v>
      </c>
      <c r="E200" s="19">
        <v>45748</v>
      </c>
      <c r="F200" s="20" t="s">
        <v>452</v>
      </c>
      <c r="G200" s="21" t="s">
        <v>287</v>
      </c>
      <c r="H200" s="22" t="s">
        <v>259</v>
      </c>
      <c r="I200" s="21"/>
      <c r="J200" s="62"/>
    </row>
    <row r="201" spans="1:10" x14ac:dyDescent="0.25">
      <c r="A201" s="15" t="s">
        <v>947</v>
      </c>
      <c r="B201" s="16" t="s">
        <v>948</v>
      </c>
      <c r="C201" s="17" t="s">
        <v>949</v>
      </c>
      <c r="D201" s="18" t="s">
        <v>245</v>
      </c>
      <c r="E201" s="19">
        <v>45758</v>
      </c>
      <c r="F201" s="20" t="s">
        <v>950</v>
      </c>
      <c r="G201" s="21" t="s">
        <v>951</v>
      </c>
      <c r="H201" s="21" t="s">
        <v>350</v>
      </c>
      <c r="I201" s="21" t="s">
        <v>1382</v>
      </c>
      <c r="J201" s="62"/>
    </row>
    <row r="202" spans="1:10" x14ac:dyDescent="0.25">
      <c r="A202" s="15" t="s">
        <v>952</v>
      </c>
      <c r="B202" s="36" t="s">
        <v>953</v>
      </c>
      <c r="C202" s="17" t="s">
        <v>954</v>
      </c>
      <c r="D202" s="18" t="s">
        <v>566</v>
      </c>
      <c r="E202" s="19">
        <v>45778</v>
      </c>
      <c r="F202" s="20" t="s">
        <v>955</v>
      </c>
      <c r="G202" s="22" t="s">
        <v>440</v>
      </c>
      <c r="H202" s="22" t="s">
        <v>440</v>
      </c>
      <c r="I202" s="21" t="s">
        <v>1571</v>
      </c>
      <c r="J202" s="62"/>
    </row>
    <row r="203" spans="1:10" x14ac:dyDescent="0.25">
      <c r="A203" s="15" t="s">
        <v>1718</v>
      </c>
      <c r="B203" s="16" t="s">
        <v>956</v>
      </c>
      <c r="C203" s="17" t="s">
        <v>957</v>
      </c>
      <c r="D203" s="18" t="s">
        <v>245</v>
      </c>
      <c r="E203" s="19">
        <v>45789</v>
      </c>
      <c r="F203" s="20" t="s">
        <v>958</v>
      </c>
      <c r="G203" s="21" t="s">
        <v>501</v>
      </c>
      <c r="H203" s="20" t="s">
        <v>253</v>
      </c>
      <c r="I203" s="21" t="s">
        <v>1377</v>
      </c>
      <c r="J203" s="62"/>
    </row>
    <row r="204" spans="1:10" x14ac:dyDescent="0.25">
      <c r="A204" s="61" t="s">
        <v>1993</v>
      </c>
      <c r="B204" s="16" t="s">
        <v>961</v>
      </c>
      <c r="C204" s="17" t="s">
        <v>962</v>
      </c>
      <c r="D204" s="18" t="s">
        <v>245</v>
      </c>
      <c r="E204" s="19">
        <v>45796</v>
      </c>
      <c r="F204" s="20" t="s">
        <v>963</v>
      </c>
      <c r="G204" s="20" t="s">
        <v>320</v>
      </c>
      <c r="H204" s="20" t="s">
        <v>247</v>
      </c>
      <c r="I204" s="21" t="s">
        <v>1406</v>
      </c>
      <c r="J204" s="62"/>
    </row>
    <row r="205" spans="1:10" x14ac:dyDescent="0.25">
      <c r="A205" s="34" t="s">
        <v>1994</v>
      </c>
      <c r="B205" s="16" t="s">
        <v>959</v>
      </c>
      <c r="C205" s="17" t="s">
        <v>960</v>
      </c>
      <c r="D205" s="18" t="s">
        <v>245</v>
      </c>
      <c r="E205" s="19">
        <v>45796</v>
      </c>
      <c r="F205" s="20" t="s">
        <v>452</v>
      </c>
      <c r="G205" s="20" t="s">
        <v>453</v>
      </c>
      <c r="H205" s="20" t="s">
        <v>259</v>
      </c>
      <c r="I205" s="21"/>
      <c r="J205" s="62"/>
    </row>
    <row r="206" spans="1:10" x14ac:dyDescent="0.25">
      <c r="A206" s="15">
        <v>73512298</v>
      </c>
      <c r="B206" s="16" t="s">
        <v>964</v>
      </c>
      <c r="C206" s="17" t="s">
        <v>965</v>
      </c>
      <c r="D206" s="18" t="s">
        <v>245</v>
      </c>
      <c r="E206" s="19">
        <v>45796</v>
      </c>
      <c r="F206" s="20" t="s">
        <v>281</v>
      </c>
      <c r="G206" s="20" t="s">
        <v>282</v>
      </c>
      <c r="H206" s="20" t="s">
        <v>282</v>
      </c>
      <c r="I206" s="21" t="s">
        <v>1391</v>
      </c>
      <c r="J206" s="62"/>
    </row>
    <row r="207" spans="1:10" x14ac:dyDescent="0.25">
      <c r="A207" s="15" t="s">
        <v>1542</v>
      </c>
      <c r="B207" s="16" t="s">
        <v>966</v>
      </c>
      <c r="C207" s="17" t="s">
        <v>967</v>
      </c>
      <c r="D207" s="18" t="s">
        <v>245</v>
      </c>
      <c r="E207" s="19">
        <v>45804</v>
      </c>
      <c r="F207" s="20" t="s">
        <v>419</v>
      </c>
      <c r="G207" s="21" t="s">
        <v>349</v>
      </c>
      <c r="H207" s="20" t="s">
        <v>350</v>
      </c>
      <c r="I207" s="21" t="s">
        <v>1385</v>
      </c>
      <c r="J207" s="62"/>
    </row>
    <row r="208" spans="1:10" x14ac:dyDescent="0.25">
      <c r="A208" s="37" t="s">
        <v>968</v>
      </c>
      <c r="B208" s="16" t="s">
        <v>969</v>
      </c>
      <c r="C208" s="38" t="s">
        <v>970</v>
      </c>
      <c r="D208" s="18" t="s">
        <v>245</v>
      </c>
      <c r="E208" s="19">
        <v>45809</v>
      </c>
      <c r="F208" s="20" t="s">
        <v>608</v>
      </c>
      <c r="G208" s="39" t="s">
        <v>613</v>
      </c>
      <c r="H208" s="40" t="s">
        <v>440</v>
      </c>
      <c r="I208" s="21"/>
      <c r="J208" s="62"/>
    </row>
    <row r="209" spans="1:10" x14ac:dyDescent="0.25">
      <c r="A209" s="41" t="s">
        <v>971</v>
      </c>
      <c r="B209" s="16" t="s">
        <v>972</v>
      </c>
      <c r="C209" s="42" t="s">
        <v>973</v>
      </c>
      <c r="D209" s="18" t="s">
        <v>245</v>
      </c>
      <c r="E209" s="19">
        <v>45809</v>
      </c>
      <c r="F209" s="20" t="s">
        <v>452</v>
      </c>
      <c r="G209" s="21" t="s">
        <v>636</v>
      </c>
      <c r="H209" s="40" t="s">
        <v>259</v>
      </c>
      <c r="I209" s="21"/>
      <c r="J209" s="62"/>
    </row>
    <row r="210" spans="1:10" x14ac:dyDescent="0.25">
      <c r="A210" s="15">
        <v>76193914</v>
      </c>
      <c r="B210" s="16" t="s">
        <v>974</v>
      </c>
      <c r="C210" s="42" t="s">
        <v>975</v>
      </c>
      <c r="D210" s="18" t="s">
        <v>245</v>
      </c>
      <c r="E210" s="19">
        <v>45810</v>
      </c>
      <c r="F210" s="20" t="s">
        <v>452</v>
      </c>
      <c r="G210" s="21" t="s">
        <v>287</v>
      </c>
      <c r="H210" s="22" t="s">
        <v>259</v>
      </c>
      <c r="I210" s="21"/>
      <c r="J210" s="62"/>
    </row>
    <row r="211" spans="1:10" x14ac:dyDescent="0.25">
      <c r="A211" s="41">
        <v>70163212</v>
      </c>
      <c r="B211" s="16" t="s">
        <v>976</v>
      </c>
      <c r="C211" s="42" t="s">
        <v>977</v>
      </c>
      <c r="D211" s="18" t="s">
        <v>245</v>
      </c>
      <c r="E211" s="19">
        <v>45812</v>
      </c>
      <c r="F211" s="20" t="s">
        <v>847</v>
      </c>
      <c r="G211" s="39" t="s">
        <v>543</v>
      </c>
      <c r="H211" s="22" t="s">
        <v>440</v>
      </c>
      <c r="I211" s="21"/>
      <c r="J211" s="62"/>
    </row>
    <row r="212" spans="1:10" x14ac:dyDescent="0.25">
      <c r="A212" s="43" t="s">
        <v>1537</v>
      </c>
      <c r="B212" s="16" t="s">
        <v>978</v>
      </c>
      <c r="C212" s="42" t="s">
        <v>979</v>
      </c>
      <c r="D212" s="18" t="s">
        <v>245</v>
      </c>
      <c r="E212" s="19">
        <v>45817</v>
      </c>
      <c r="F212" s="20" t="s">
        <v>419</v>
      </c>
      <c r="G212" s="21" t="s">
        <v>349</v>
      </c>
      <c r="H212" s="20" t="s">
        <v>350</v>
      </c>
      <c r="I212" s="21" t="s">
        <v>1385</v>
      </c>
      <c r="J212" s="62"/>
    </row>
    <row r="213" spans="1:10" x14ac:dyDescent="0.25">
      <c r="A213" s="41">
        <v>71336417</v>
      </c>
      <c r="B213" s="44" t="s">
        <v>983</v>
      </c>
      <c r="C213" s="42" t="s">
        <v>984</v>
      </c>
      <c r="D213" s="18" t="s">
        <v>245</v>
      </c>
      <c r="E213" s="19">
        <v>45839</v>
      </c>
      <c r="F213" s="20" t="s">
        <v>612</v>
      </c>
      <c r="G213" s="21" t="s">
        <v>496</v>
      </c>
      <c r="H213" s="22" t="s">
        <v>440</v>
      </c>
      <c r="I213" s="21"/>
      <c r="J213" s="62"/>
    </row>
    <row r="214" spans="1:10" x14ac:dyDescent="0.25">
      <c r="A214" s="43" t="s">
        <v>980</v>
      </c>
      <c r="B214" s="44" t="s">
        <v>981</v>
      </c>
      <c r="C214" s="42" t="s">
        <v>982</v>
      </c>
      <c r="D214" s="18" t="s">
        <v>245</v>
      </c>
      <c r="E214" s="19">
        <v>45839</v>
      </c>
      <c r="F214" s="20" t="s">
        <v>727</v>
      </c>
      <c r="G214" s="21" t="s">
        <v>320</v>
      </c>
      <c r="H214" s="21" t="s">
        <v>247</v>
      </c>
      <c r="I214" s="59" t="s">
        <v>1408</v>
      </c>
      <c r="J214" s="62"/>
    </row>
    <row r="215" spans="1:10" x14ac:dyDescent="0.25">
      <c r="A215" s="41">
        <v>74954696</v>
      </c>
      <c r="B215" s="44" t="s">
        <v>988</v>
      </c>
      <c r="C215" s="42" t="s">
        <v>989</v>
      </c>
      <c r="D215" s="18" t="s">
        <v>245</v>
      </c>
      <c r="E215" s="19">
        <v>45845</v>
      </c>
      <c r="F215" s="20" t="s">
        <v>431</v>
      </c>
      <c r="G215" s="20" t="s">
        <v>315</v>
      </c>
      <c r="H215" s="20" t="s">
        <v>253</v>
      </c>
      <c r="I215" s="21" t="s">
        <v>1376</v>
      </c>
      <c r="J215" s="62"/>
    </row>
    <row r="216" spans="1:10" x14ac:dyDescent="0.25">
      <c r="A216" s="41" t="s">
        <v>985</v>
      </c>
      <c r="B216" s="44" t="s">
        <v>986</v>
      </c>
      <c r="C216" s="42" t="s">
        <v>987</v>
      </c>
      <c r="D216" s="18" t="s">
        <v>245</v>
      </c>
      <c r="E216" s="19">
        <v>45845</v>
      </c>
      <c r="F216" s="20" t="s">
        <v>819</v>
      </c>
      <c r="G216" s="20" t="s">
        <v>543</v>
      </c>
      <c r="H216" s="20" t="s">
        <v>440</v>
      </c>
      <c r="I216" s="21"/>
      <c r="J216" s="62"/>
    </row>
    <row r="217" spans="1:10" x14ac:dyDescent="0.25">
      <c r="A217" s="41" t="s">
        <v>1540</v>
      </c>
      <c r="B217" s="44" t="s">
        <v>990</v>
      </c>
      <c r="C217" s="42" t="s">
        <v>991</v>
      </c>
      <c r="D217" s="18" t="s">
        <v>245</v>
      </c>
      <c r="E217" s="19">
        <v>45854</v>
      </c>
      <c r="F217" s="20" t="s">
        <v>992</v>
      </c>
      <c r="G217" s="20" t="s">
        <v>568</v>
      </c>
      <c r="H217" s="20" t="s">
        <v>350</v>
      </c>
      <c r="I217" s="21" t="s">
        <v>1384</v>
      </c>
      <c r="J217" s="62"/>
    </row>
    <row r="218" spans="1:10" x14ac:dyDescent="0.25">
      <c r="A218" s="41" t="s">
        <v>993</v>
      </c>
      <c r="B218" s="44" t="s">
        <v>994</v>
      </c>
      <c r="C218" s="42" t="s">
        <v>995</v>
      </c>
      <c r="D218" s="18" t="s">
        <v>245</v>
      </c>
      <c r="E218" s="19">
        <v>45870</v>
      </c>
      <c r="F218" s="20" t="s">
        <v>847</v>
      </c>
      <c r="G218" s="20" t="s">
        <v>543</v>
      </c>
      <c r="H218" s="22" t="s">
        <v>440</v>
      </c>
      <c r="I218" s="21"/>
      <c r="J218" s="62"/>
    </row>
    <row r="219" spans="1:10" x14ac:dyDescent="0.25">
      <c r="A219" s="41" t="s">
        <v>996</v>
      </c>
      <c r="B219" s="44" t="s">
        <v>997</v>
      </c>
      <c r="C219" s="42" t="s">
        <v>998</v>
      </c>
      <c r="D219" s="18" t="s">
        <v>245</v>
      </c>
      <c r="E219" s="19">
        <v>45876</v>
      </c>
      <c r="F219" s="20" t="s">
        <v>999</v>
      </c>
      <c r="G219" s="20" t="s">
        <v>543</v>
      </c>
      <c r="H219" s="22" t="s">
        <v>440</v>
      </c>
      <c r="I219" s="21"/>
      <c r="J219" s="62"/>
    </row>
    <row r="220" spans="1:10" x14ac:dyDescent="0.25">
      <c r="A220" s="41" t="s">
        <v>1000</v>
      </c>
      <c r="B220" s="44" t="s">
        <v>1001</v>
      </c>
      <c r="C220" s="42" t="s">
        <v>1002</v>
      </c>
      <c r="D220" s="18" t="s">
        <v>245</v>
      </c>
      <c r="E220" s="19">
        <v>45876</v>
      </c>
      <c r="F220" s="20" t="s">
        <v>925</v>
      </c>
      <c r="G220" s="20" t="s">
        <v>543</v>
      </c>
      <c r="H220" s="22" t="s">
        <v>440</v>
      </c>
      <c r="I220" s="21"/>
      <c r="J220" s="62"/>
    </row>
    <row r="221" spans="1:10" x14ac:dyDescent="0.25">
      <c r="A221" s="56">
        <v>41531474</v>
      </c>
      <c r="B221" s="45" t="s">
        <v>1003</v>
      </c>
      <c r="C221" s="42" t="s">
        <v>1004</v>
      </c>
      <c r="D221" s="18" t="s">
        <v>566</v>
      </c>
      <c r="E221" s="19">
        <v>45880</v>
      </c>
      <c r="F221" s="20" t="s">
        <v>1203</v>
      </c>
      <c r="G221" s="20" t="s">
        <v>258</v>
      </c>
      <c r="H221" s="22" t="s">
        <v>259</v>
      </c>
      <c r="I221" s="21"/>
      <c r="J221" s="62"/>
    </row>
    <row r="222" spans="1:10" x14ac:dyDescent="0.25">
      <c r="A222" s="41" t="s">
        <v>1005</v>
      </c>
      <c r="B222" s="44" t="s">
        <v>1006</v>
      </c>
      <c r="C222" s="42" t="s">
        <v>1007</v>
      </c>
      <c r="D222" s="18" t="s">
        <v>1008</v>
      </c>
      <c r="E222" s="19">
        <v>45880</v>
      </c>
      <c r="F222" s="20" t="s">
        <v>452</v>
      </c>
      <c r="G222" s="21" t="s">
        <v>636</v>
      </c>
      <c r="H222" s="22" t="s">
        <v>259</v>
      </c>
      <c r="I222" s="21"/>
      <c r="J222" s="62"/>
    </row>
    <row r="223" spans="1:10" x14ac:dyDescent="0.25">
      <c r="A223" s="41" t="s">
        <v>1009</v>
      </c>
      <c r="B223" s="44" t="s">
        <v>1010</v>
      </c>
      <c r="C223" s="42" t="s">
        <v>1011</v>
      </c>
      <c r="D223" s="18" t="s">
        <v>1008</v>
      </c>
      <c r="E223" s="19">
        <v>45894</v>
      </c>
      <c r="F223" s="20" t="s">
        <v>692</v>
      </c>
      <c r="G223" s="20" t="s">
        <v>613</v>
      </c>
      <c r="H223" s="22" t="s">
        <v>440</v>
      </c>
      <c r="I223" s="21"/>
      <c r="J223" s="62"/>
    </row>
    <row r="224" spans="1:10" x14ac:dyDescent="0.25">
      <c r="A224" s="41">
        <v>73326807</v>
      </c>
      <c r="B224" s="44" t="s">
        <v>1017</v>
      </c>
      <c r="C224" s="42" t="s">
        <v>1018</v>
      </c>
      <c r="D224" s="18" t="s">
        <v>1008</v>
      </c>
      <c r="E224" s="19">
        <v>45901</v>
      </c>
      <c r="F224" s="20" t="s">
        <v>608</v>
      </c>
      <c r="G224" s="20" t="s">
        <v>496</v>
      </c>
      <c r="H224" s="20" t="s">
        <v>440</v>
      </c>
      <c r="I224" s="21"/>
      <c r="J224" s="62"/>
    </row>
    <row r="225" spans="1:10" x14ac:dyDescent="0.25">
      <c r="A225" s="37">
        <v>72898401</v>
      </c>
      <c r="B225" s="46" t="s">
        <v>1019</v>
      </c>
      <c r="C225" s="38" t="s">
        <v>1020</v>
      </c>
      <c r="D225" s="18" t="s">
        <v>1008</v>
      </c>
      <c r="E225" s="19">
        <v>45901</v>
      </c>
      <c r="F225" s="20" t="s">
        <v>671</v>
      </c>
      <c r="G225" s="20" t="s">
        <v>496</v>
      </c>
      <c r="H225" s="20" t="s">
        <v>440</v>
      </c>
      <c r="I225" s="21"/>
      <c r="J225" s="62"/>
    </row>
    <row r="226" spans="1:10" x14ac:dyDescent="0.25">
      <c r="A226" s="37">
        <v>46565297</v>
      </c>
      <c r="B226" s="46" t="s">
        <v>1015</v>
      </c>
      <c r="C226" s="38" t="s">
        <v>1016</v>
      </c>
      <c r="D226" s="18" t="s">
        <v>1008</v>
      </c>
      <c r="E226" s="19">
        <v>45901</v>
      </c>
      <c r="F226" s="20" t="s">
        <v>340</v>
      </c>
      <c r="G226" s="20" t="s">
        <v>302</v>
      </c>
      <c r="H226" s="20" t="s">
        <v>302</v>
      </c>
      <c r="I226" s="21" t="s">
        <v>1396</v>
      </c>
      <c r="J226" s="62"/>
    </row>
    <row r="227" spans="1:10" x14ac:dyDescent="0.25">
      <c r="A227" s="37" t="s">
        <v>1543</v>
      </c>
      <c r="B227" s="46" t="s">
        <v>1012</v>
      </c>
      <c r="C227" s="38" t="s">
        <v>1013</v>
      </c>
      <c r="D227" s="18" t="s">
        <v>1008</v>
      </c>
      <c r="E227" s="19">
        <v>45901</v>
      </c>
      <c r="F227" s="20" t="s">
        <v>1014</v>
      </c>
      <c r="G227" s="22" t="s">
        <v>530</v>
      </c>
      <c r="H227" s="22" t="s">
        <v>530</v>
      </c>
      <c r="I227" s="21" t="s">
        <v>1390</v>
      </c>
      <c r="J227" s="62"/>
    </row>
    <row r="228" spans="1:10" x14ac:dyDescent="0.25">
      <c r="A228" s="37">
        <v>43039674</v>
      </c>
      <c r="B228" s="46" t="s">
        <v>1021</v>
      </c>
      <c r="C228" s="38" t="s">
        <v>1022</v>
      </c>
      <c r="D228" s="18" t="s">
        <v>245</v>
      </c>
      <c r="E228" s="19">
        <v>45915</v>
      </c>
      <c r="F228" s="20" t="s">
        <v>475</v>
      </c>
      <c r="G228" s="20" t="s">
        <v>252</v>
      </c>
      <c r="H228" s="20" t="s">
        <v>253</v>
      </c>
      <c r="I228" s="21" t="s">
        <v>1379</v>
      </c>
      <c r="J228" s="62"/>
    </row>
    <row r="229" spans="1:10" x14ac:dyDescent="0.25">
      <c r="A229" s="37">
        <v>43488382</v>
      </c>
      <c r="B229" s="46" t="s">
        <v>1023</v>
      </c>
      <c r="C229" s="38" t="s">
        <v>1024</v>
      </c>
      <c r="D229" s="18" t="s">
        <v>245</v>
      </c>
      <c r="E229" s="19">
        <v>45915</v>
      </c>
      <c r="F229" s="20" t="s">
        <v>1025</v>
      </c>
      <c r="G229" s="20" t="s">
        <v>593</v>
      </c>
      <c r="H229" s="20" t="s">
        <v>593</v>
      </c>
      <c r="I229" s="21" t="s">
        <v>1381</v>
      </c>
      <c r="J229" s="62"/>
    </row>
    <row r="230" spans="1:10" x14ac:dyDescent="0.25">
      <c r="A230" s="70">
        <v>41093999</v>
      </c>
      <c r="B230" s="16" t="s">
        <v>1188</v>
      </c>
      <c r="C230" s="38" t="s">
        <v>1184</v>
      </c>
      <c r="D230" s="62"/>
      <c r="E230" s="19">
        <v>45931</v>
      </c>
      <c r="F230" s="20" t="s">
        <v>521</v>
      </c>
      <c r="G230" s="21" t="s">
        <v>349</v>
      </c>
      <c r="H230" s="22" t="s">
        <v>350</v>
      </c>
      <c r="I230" s="21" t="s">
        <v>1385</v>
      </c>
      <c r="J230" s="62"/>
    </row>
    <row r="231" spans="1:10" x14ac:dyDescent="0.25">
      <c r="A231" s="71" t="s">
        <v>1305</v>
      </c>
      <c r="B231" s="46" t="s">
        <v>1305</v>
      </c>
      <c r="C231" s="38" t="s">
        <v>1305</v>
      </c>
      <c r="D231" s="18"/>
      <c r="E231" s="19"/>
      <c r="F231" s="20" t="s">
        <v>340</v>
      </c>
      <c r="G231" s="20" t="s">
        <v>302</v>
      </c>
      <c r="H231" s="20" t="s">
        <v>302</v>
      </c>
      <c r="I231" s="21" t="s">
        <v>1396</v>
      </c>
      <c r="J231" s="62"/>
    </row>
    <row r="232" spans="1:10" x14ac:dyDescent="0.25">
      <c r="A232" s="72" t="s">
        <v>1651</v>
      </c>
      <c r="B232" s="71" t="s">
        <v>1244</v>
      </c>
      <c r="C232" s="38" t="s">
        <v>1651</v>
      </c>
      <c r="D232" s="18"/>
      <c r="E232" s="19"/>
      <c r="F232" s="20" t="s">
        <v>525</v>
      </c>
      <c r="G232" s="21" t="s">
        <v>501</v>
      </c>
      <c r="H232" s="20" t="s">
        <v>253</v>
      </c>
      <c r="I232" s="21" t="s">
        <v>1377</v>
      </c>
      <c r="J232" s="62"/>
    </row>
    <row r="233" spans="1:10" x14ac:dyDescent="0.25">
      <c r="A233" s="71" t="s">
        <v>530</v>
      </c>
      <c r="B233" s="16" t="s">
        <v>530</v>
      </c>
      <c r="C233" s="38" t="s">
        <v>530</v>
      </c>
      <c r="D233" s="62"/>
      <c r="E233" s="62"/>
      <c r="F233" s="20" t="s">
        <v>530</v>
      </c>
      <c r="G233" s="21" t="s">
        <v>530</v>
      </c>
      <c r="H233" s="22" t="s">
        <v>530</v>
      </c>
      <c r="I233" s="21"/>
      <c r="J233" s="62"/>
    </row>
    <row r="234" spans="1:10" x14ac:dyDescent="0.25">
      <c r="A234" s="15" t="s">
        <v>741</v>
      </c>
      <c r="B234" s="16" t="s">
        <v>742</v>
      </c>
      <c r="C234" s="47" t="s">
        <v>743</v>
      </c>
      <c r="D234" s="18" t="s">
        <v>245</v>
      </c>
      <c r="E234" s="19">
        <v>45432</v>
      </c>
      <c r="F234" s="20" t="s">
        <v>452</v>
      </c>
      <c r="G234" s="21" t="s">
        <v>640</v>
      </c>
      <c r="H234" s="22" t="s">
        <v>259</v>
      </c>
      <c r="I234" s="21"/>
      <c r="J234" s="62"/>
    </row>
    <row r="235" spans="1:10" x14ac:dyDescent="0.25">
      <c r="A235" s="72" t="s">
        <v>1648</v>
      </c>
      <c r="B235" s="71" t="s">
        <v>1244</v>
      </c>
      <c r="C235" s="38" t="s">
        <v>1648</v>
      </c>
      <c r="D235" s="18"/>
      <c r="E235" s="19"/>
      <c r="F235" s="20" t="s">
        <v>525</v>
      </c>
      <c r="G235" s="21" t="s">
        <v>501</v>
      </c>
      <c r="H235" s="20" t="s">
        <v>253</v>
      </c>
      <c r="I235" s="21" t="s">
        <v>1377</v>
      </c>
      <c r="J235" s="62"/>
    </row>
    <row r="236" spans="1:10" x14ac:dyDescent="0.25">
      <c r="A236" s="72" t="s">
        <v>1649</v>
      </c>
      <c r="B236" s="71" t="s">
        <v>1244</v>
      </c>
      <c r="C236" s="38" t="s">
        <v>1649</v>
      </c>
      <c r="D236" s="18"/>
      <c r="E236" s="19"/>
      <c r="F236" s="20" t="s">
        <v>525</v>
      </c>
      <c r="G236" s="21" t="s">
        <v>501</v>
      </c>
      <c r="H236" s="20" t="s">
        <v>253</v>
      </c>
      <c r="I236" s="21" t="s">
        <v>1377</v>
      </c>
      <c r="J236" s="62"/>
    </row>
    <row r="237" spans="1:10" x14ac:dyDescent="0.25">
      <c r="A237" s="72" t="s">
        <v>1650</v>
      </c>
      <c r="B237" s="71" t="s">
        <v>1244</v>
      </c>
      <c r="C237" s="38" t="s">
        <v>1650</v>
      </c>
      <c r="D237" s="18"/>
      <c r="E237" s="19"/>
      <c r="F237" s="20" t="s">
        <v>525</v>
      </c>
      <c r="G237" s="21" t="s">
        <v>501</v>
      </c>
      <c r="H237" s="20" t="s">
        <v>253</v>
      </c>
      <c r="I237" s="21" t="s">
        <v>1377</v>
      </c>
      <c r="J237" s="62"/>
    </row>
    <row r="238" spans="1:10" x14ac:dyDescent="0.25">
      <c r="A238" s="71" t="s">
        <v>535</v>
      </c>
      <c r="B238" s="62"/>
      <c r="C238" s="38" t="s">
        <v>1671</v>
      </c>
      <c r="D238" s="62"/>
      <c r="E238" s="62"/>
      <c r="F238" s="20" t="s">
        <v>1677</v>
      </c>
      <c r="G238" s="22" t="s">
        <v>535</v>
      </c>
      <c r="H238" s="22" t="s">
        <v>259</v>
      </c>
      <c r="I238" s="21"/>
      <c r="J238" s="62"/>
    </row>
    <row r="239" spans="1:10" x14ac:dyDescent="0.25">
      <c r="A239" s="67" t="s">
        <v>1684</v>
      </c>
      <c r="B239" s="16" t="s">
        <v>1685</v>
      </c>
      <c r="C239" s="38" t="s">
        <v>1682</v>
      </c>
      <c r="D239" s="62"/>
      <c r="E239" s="19">
        <v>45993</v>
      </c>
      <c r="F239" s="20" t="s">
        <v>1683</v>
      </c>
      <c r="G239" s="20" t="s">
        <v>282</v>
      </c>
      <c r="H239" s="20" t="s">
        <v>282</v>
      </c>
      <c r="I239" s="21" t="s">
        <v>1391</v>
      </c>
      <c r="J239" s="62"/>
    </row>
    <row r="240" spans="1:10" x14ac:dyDescent="0.25">
      <c r="A240" s="67" t="s">
        <v>1705</v>
      </c>
      <c r="B240" s="67" t="s">
        <v>1705</v>
      </c>
      <c r="C240" s="38" t="s">
        <v>1705</v>
      </c>
      <c r="D240" s="62"/>
      <c r="E240" s="62"/>
      <c r="F240" s="20" t="s">
        <v>328</v>
      </c>
      <c r="G240" s="20" t="s">
        <v>297</v>
      </c>
      <c r="H240" s="20" t="s">
        <v>253</v>
      </c>
      <c r="I240" s="21"/>
      <c r="J240" s="62"/>
    </row>
    <row r="241" spans="1:10" x14ac:dyDescent="0.25">
      <c r="A241" s="67" t="s">
        <v>1720</v>
      </c>
      <c r="B241" s="78" t="s">
        <v>1721</v>
      </c>
      <c r="C241" s="38" t="s">
        <v>1723</v>
      </c>
      <c r="D241" s="62"/>
      <c r="E241" s="62"/>
      <c r="F241" s="20" t="s">
        <v>1722</v>
      </c>
      <c r="G241" s="20" t="s">
        <v>530</v>
      </c>
      <c r="H241" s="20" t="s">
        <v>530</v>
      </c>
      <c r="I241" s="21"/>
      <c r="J241" s="62"/>
    </row>
    <row r="242" spans="1:10" x14ac:dyDescent="0.25">
      <c r="A242" s="34" t="s">
        <v>1732</v>
      </c>
      <c r="B242" s="15" t="s">
        <v>1743</v>
      </c>
      <c r="C242" s="17" t="s">
        <v>1733</v>
      </c>
      <c r="D242" s="15"/>
      <c r="E242" s="15" t="s">
        <v>1735</v>
      </c>
      <c r="F242" s="15" t="s">
        <v>1734</v>
      </c>
      <c r="G242" s="15" t="s">
        <v>258</v>
      </c>
      <c r="H242" s="15" t="s">
        <v>259</v>
      </c>
      <c r="I242" s="21" t="s">
        <v>1736</v>
      </c>
      <c r="J242" s="62"/>
    </row>
    <row r="243" spans="1:10" x14ac:dyDescent="0.25">
      <c r="A243" s="15" t="s">
        <v>1740</v>
      </c>
      <c r="B243" s="15"/>
      <c r="C243" s="15" t="s">
        <v>1739</v>
      </c>
      <c r="D243" s="15"/>
      <c r="E243" s="15"/>
      <c r="F243" s="15" t="s">
        <v>1738</v>
      </c>
      <c r="G243" s="15" t="s">
        <v>320</v>
      </c>
      <c r="H243" s="15" t="s">
        <v>247</v>
      </c>
      <c r="I243" s="21"/>
      <c r="J243" s="62"/>
    </row>
    <row r="244" spans="1:10" x14ac:dyDescent="0.25">
      <c r="A244" s="15" t="s">
        <v>500</v>
      </c>
      <c r="B244" s="15"/>
      <c r="C244" s="15" t="s">
        <v>500</v>
      </c>
      <c r="D244" s="15"/>
      <c r="E244" s="15"/>
      <c r="F244" s="20" t="s">
        <v>500</v>
      </c>
      <c r="G244" s="21" t="s">
        <v>501</v>
      </c>
      <c r="H244" s="22" t="s">
        <v>253</v>
      </c>
      <c r="I244" s="21"/>
      <c r="J244" s="62"/>
    </row>
    <row r="245" spans="1:10" x14ac:dyDescent="0.25">
      <c r="A245" s="15" t="s">
        <v>1748</v>
      </c>
      <c r="B245" s="15"/>
      <c r="C245" s="22" t="s">
        <v>593</v>
      </c>
      <c r="D245" s="15"/>
      <c r="E245" s="15"/>
      <c r="F245" s="22" t="s">
        <v>593</v>
      </c>
      <c r="G245" s="22" t="s">
        <v>593</v>
      </c>
      <c r="H245" s="20" t="s">
        <v>593</v>
      </c>
      <c r="I245" s="21"/>
      <c r="J245" s="62"/>
    </row>
    <row r="246" spans="1:10" x14ac:dyDescent="0.25">
      <c r="A246" s="15" t="s">
        <v>2100</v>
      </c>
      <c r="B246" s="15"/>
      <c r="C246" s="20" t="s">
        <v>2101</v>
      </c>
      <c r="D246" s="15"/>
      <c r="E246" s="15"/>
      <c r="F246" s="20" t="s">
        <v>340</v>
      </c>
      <c r="G246" s="20" t="s">
        <v>302</v>
      </c>
      <c r="H246" s="20" t="s">
        <v>302</v>
      </c>
      <c r="I246" s="21"/>
      <c r="J246" s="62"/>
    </row>
    <row r="247" spans="1:10" x14ac:dyDescent="0.25">
      <c r="A247" s="34" t="s">
        <v>1785</v>
      </c>
      <c r="B247" s="15" t="s">
        <v>1787</v>
      </c>
      <c r="C247" s="15" t="s">
        <v>1788</v>
      </c>
      <c r="D247" s="15"/>
      <c r="E247" s="15"/>
      <c r="F247" s="15" t="s">
        <v>1786</v>
      </c>
      <c r="G247" s="15" t="s">
        <v>747</v>
      </c>
      <c r="H247" s="15" t="s">
        <v>440</v>
      </c>
      <c r="I247" s="21"/>
      <c r="J247" s="62"/>
    </row>
    <row r="248" spans="1:10" x14ac:dyDescent="0.25">
      <c r="A248" s="34" t="s">
        <v>1818</v>
      </c>
      <c r="B248" s="15" t="s">
        <v>1815</v>
      </c>
      <c r="C248" s="15" t="s">
        <v>1816</v>
      </c>
      <c r="D248" s="15"/>
      <c r="E248" s="15" t="s">
        <v>1817</v>
      </c>
      <c r="F248" s="15" t="s">
        <v>727</v>
      </c>
      <c r="G248" s="15" t="s">
        <v>320</v>
      </c>
      <c r="H248" s="15" t="s">
        <v>247</v>
      </c>
      <c r="I248" s="59" t="s">
        <v>1875</v>
      </c>
      <c r="J248" s="62"/>
    </row>
    <row r="249" spans="1:10" x14ac:dyDescent="0.25">
      <c r="A249" s="34" t="s">
        <v>1825</v>
      </c>
      <c r="B249" s="67" t="s">
        <v>1826</v>
      </c>
      <c r="C249" s="15" t="s">
        <v>1827</v>
      </c>
      <c r="D249" s="62"/>
      <c r="E249" s="19">
        <v>46091</v>
      </c>
      <c r="F249" s="20" t="s">
        <v>1683</v>
      </c>
      <c r="G249" s="20" t="s">
        <v>282</v>
      </c>
      <c r="H249" s="20" t="s">
        <v>282</v>
      </c>
      <c r="I249" s="21"/>
      <c r="J249" s="62"/>
    </row>
    <row r="250" spans="1:10" x14ac:dyDescent="0.25">
      <c r="A250" s="15" t="s">
        <v>278</v>
      </c>
      <c r="B250" s="15" t="s">
        <v>278</v>
      </c>
      <c r="C250" s="15" t="s">
        <v>278</v>
      </c>
      <c r="D250" s="62"/>
      <c r="E250" s="62"/>
      <c r="F250" s="20" t="s">
        <v>277</v>
      </c>
      <c r="G250" s="21" t="s">
        <v>278</v>
      </c>
      <c r="H250" s="22" t="s">
        <v>253</v>
      </c>
      <c r="I250" s="21"/>
      <c r="J250" s="62"/>
    </row>
    <row r="251" spans="1:10" x14ac:dyDescent="0.25">
      <c r="A251" s="34" t="s">
        <v>1858</v>
      </c>
      <c r="B251" s="34" t="s">
        <v>1859</v>
      </c>
      <c r="C251" s="15" t="s">
        <v>1860</v>
      </c>
      <c r="D251" s="62"/>
      <c r="E251" s="62"/>
      <c r="F251" s="20" t="s">
        <v>521</v>
      </c>
      <c r="G251" s="21" t="s">
        <v>349</v>
      </c>
      <c r="H251" s="22" t="s">
        <v>350</v>
      </c>
      <c r="I251" s="21"/>
      <c r="J251" s="62"/>
    </row>
    <row r="252" spans="1:10" x14ac:dyDescent="0.25">
      <c r="A252" s="15" t="s">
        <v>1868</v>
      </c>
      <c r="B252" s="62"/>
      <c r="C252" s="22" t="s">
        <v>593</v>
      </c>
      <c r="D252" s="15"/>
      <c r="E252" s="15"/>
      <c r="F252" s="22" t="s">
        <v>593</v>
      </c>
      <c r="G252" s="22" t="s">
        <v>593</v>
      </c>
      <c r="H252" s="20" t="s">
        <v>593</v>
      </c>
      <c r="I252" s="21"/>
      <c r="J252" s="62"/>
    </row>
    <row r="253" spans="1:10" x14ac:dyDescent="0.25">
      <c r="A253" s="95" t="s">
        <v>1885</v>
      </c>
      <c r="B253" s="94" t="s">
        <v>1878</v>
      </c>
      <c r="C253" s="98" t="s">
        <v>1877</v>
      </c>
      <c r="D253" s="98"/>
      <c r="E253" s="96">
        <v>46076</v>
      </c>
      <c r="F253" s="97" t="s">
        <v>452</v>
      </c>
      <c r="G253" s="97" t="s">
        <v>287</v>
      </c>
      <c r="H253" s="97" t="s">
        <v>259</v>
      </c>
      <c r="I253" s="21"/>
      <c r="J253" s="62" t="s">
        <v>1888</v>
      </c>
    </row>
    <row r="254" spans="1:10" x14ac:dyDescent="0.25">
      <c r="A254" s="95" t="s">
        <v>1884</v>
      </c>
      <c r="B254" s="94" t="s">
        <v>1879</v>
      </c>
      <c r="C254" s="98" t="s">
        <v>1880</v>
      </c>
      <c r="D254" s="98"/>
      <c r="E254" s="96">
        <v>46090</v>
      </c>
      <c r="F254" s="97" t="s">
        <v>452</v>
      </c>
      <c r="G254" s="97" t="s">
        <v>479</v>
      </c>
      <c r="H254" s="97" t="s">
        <v>259</v>
      </c>
      <c r="I254" s="21"/>
      <c r="J254" s="62" t="s">
        <v>1888</v>
      </c>
    </row>
    <row r="255" spans="1:10" x14ac:dyDescent="0.25">
      <c r="A255" s="95" t="s">
        <v>938</v>
      </c>
      <c r="B255" s="94" t="s">
        <v>939</v>
      </c>
      <c r="C255" s="99" t="s">
        <v>940</v>
      </c>
      <c r="D255" s="99"/>
      <c r="E255" s="96">
        <v>45748</v>
      </c>
      <c r="F255" s="97" t="s">
        <v>452</v>
      </c>
      <c r="G255" s="21" t="s">
        <v>287</v>
      </c>
      <c r="H255" s="22" t="s">
        <v>259</v>
      </c>
      <c r="I255" s="21"/>
      <c r="J255" s="62" t="s">
        <v>1888</v>
      </c>
    </row>
    <row r="256" spans="1:10" x14ac:dyDescent="0.25">
      <c r="A256" s="95" t="s">
        <v>1883</v>
      </c>
      <c r="B256" s="94" t="s">
        <v>1881</v>
      </c>
      <c r="C256" s="98" t="s">
        <v>1882</v>
      </c>
      <c r="D256" s="98"/>
      <c r="E256" s="96">
        <v>46076</v>
      </c>
      <c r="F256" s="97" t="s">
        <v>452</v>
      </c>
      <c r="G256" s="97" t="s">
        <v>636</v>
      </c>
      <c r="H256" s="97" t="s">
        <v>259</v>
      </c>
      <c r="I256" s="21"/>
      <c r="J256" s="62" t="s">
        <v>1888</v>
      </c>
    </row>
    <row r="257" spans="1:10" x14ac:dyDescent="0.25">
      <c r="A257" s="95" t="s">
        <v>1005</v>
      </c>
      <c r="B257" s="98" t="s">
        <v>1006</v>
      </c>
      <c r="C257" s="124" t="s">
        <v>1007</v>
      </c>
      <c r="D257" s="124"/>
      <c r="E257" s="96">
        <v>45880</v>
      </c>
      <c r="F257" s="97" t="s">
        <v>452</v>
      </c>
      <c r="G257" s="21" t="s">
        <v>636</v>
      </c>
      <c r="H257" s="22" t="s">
        <v>259</v>
      </c>
      <c r="I257" s="21"/>
      <c r="J257" s="62" t="s">
        <v>1888</v>
      </c>
    </row>
    <row r="258" spans="1:10" x14ac:dyDescent="0.25">
      <c r="A258" s="95">
        <v>44803246</v>
      </c>
      <c r="B258" s="94" t="s">
        <v>1886</v>
      </c>
      <c r="C258" s="98" t="s">
        <v>1887</v>
      </c>
      <c r="D258" s="98"/>
      <c r="E258" s="96">
        <v>46076</v>
      </c>
      <c r="F258" s="97" t="s">
        <v>452</v>
      </c>
      <c r="G258" s="97" t="s">
        <v>453</v>
      </c>
      <c r="H258" s="97" t="s">
        <v>259</v>
      </c>
      <c r="I258" s="21"/>
      <c r="J258" s="62" t="s">
        <v>1888</v>
      </c>
    </row>
    <row r="259" spans="1:10" x14ac:dyDescent="0.25">
      <c r="A259" s="95" t="s">
        <v>1908</v>
      </c>
      <c r="B259" s="94" t="s">
        <v>1906</v>
      </c>
      <c r="C259" s="125" t="s">
        <v>1907</v>
      </c>
      <c r="D259" s="62"/>
      <c r="E259" s="96">
        <v>46139</v>
      </c>
      <c r="F259" s="20" t="s">
        <v>521</v>
      </c>
      <c r="G259" s="21" t="s">
        <v>349</v>
      </c>
      <c r="H259" s="22" t="s">
        <v>350</v>
      </c>
      <c r="I259" s="62"/>
      <c r="J259" s="62"/>
    </row>
    <row r="260" spans="1:10" x14ac:dyDescent="0.25">
      <c r="A260" s="95">
        <v>12345678</v>
      </c>
      <c r="B260" s="94"/>
      <c r="C260" s="98" t="s">
        <v>1919</v>
      </c>
      <c r="D260" s="62"/>
      <c r="E260" s="96"/>
      <c r="F260" s="20" t="s">
        <v>1920</v>
      </c>
      <c r="G260" s="21" t="s">
        <v>349</v>
      </c>
      <c r="H260" s="22" t="s">
        <v>350</v>
      </c>
      <c r="I260" s="62"/>
      <c r="J260" s="62"/>
    </row>
    <row r="261" spans="1:10" x14ac:dyDescent="0.25">
      <c r="A261" s="95" t="s">
        <v>2112</v>
      </c>
      <c r="B261" s="94" t="s">
        <v>1934</v>
      </c>
      <c r="C261" s="98" t="s">
        <v>2111</v>
      </c>
      <c r="D261" s="62"/>
      <c r="E261" s="96"/>
      <c r="F261" s="20" t="s">
        <v>1923</v>
      </c>
      <c r="G261" s="20" t="s">
        <v>282</v>
      </c>
      <c r="H261" s="20" t="s">
        <v>282</v>
      </c>
      <c r="I261" s="62"/>
      <c r="J261" s="62"/>
    </row>
    <row r="262" spans="1:10" x14ac:dyDescent="0.25">
      <c r="A262" s="95" t="s">
        <v>1932</v>
      </c>
      <c r="B262" s="94" t="s">
        <v>1926</v>
      </c>
      <c r="C262" s="98" t="s">
        <v>1924</v>
      </c>
      <c r="D262" s="62"/>
      <c r="E262" s="96"/>
      <c r="F262" s="20" t="s">
        <v>1925</v>
      </c>
      <c r="G262" s="21" t="s">
        <v>252</v>
      </c>
      <c r="H262" s="22" t="s">
        <v>253</v>
      </c>
      <c r="I262" s="62"/>
      <c r="J262" s="62"/>
    </row>
    <row r="263" spans="1:10" x14ac:dyDescent="0.25">
      <c r="A263" s="95" t="s">
        <v>1933</v>
      </c>
      <c r="B263" s="94" t="s">
        <v>1927</v>
      </c>
      <c r="C263" s="98" t="s">
        <v>1928</v>
      </c>
      <c r="D263" s="62"/>
      <c r="E263" s="96"/>
      <c r="F263" s="127" t="s">
        <v>1929</v>
      </c>
      <c r="G263" s="21" t="s">
        <v>349</v>
      </c>
      <c r="H263" s="22" t="s">
        <v>350</v>
      </c>
      <c r="I263" s="62"/>
      <c r="J263" s="62"/>
    </row>
    <row r="264" spans="1:10" x14ac:dyDescent="0.25">
      <c r="A264" s="95" t="s">
        <v>453</v>
      </c>
      <c r="B264" s="94"/>
      <c r="C264" s="98" t="s">
        <v>453</v>
      </c>
      <c r="D264" s="62"/>
      <c r="E264" s="96"/>
      <c r="F264" s="20" t="s">
        <v>452</v>
      </c>
      <c r="G264" s="21" t="s">
        <v>453</v>
      </c>
      <c r="H264" s="22" t="s">
        <v>259</v>
      </c>
      <c r="I264" s="21"/>
      <c r="J264" s="62"/>
    </row>
    <row r="265" spans="1:10" x14ac:dyDescent="0.25">
      <c r="A265" s="95">
        <v>75315987</v>
      </c>
      <c r="B265" s="94"/>
      <c r="C265" s="128" t="s">
        <v>1955</v>
      </c>
      <c r="D265" s="62"/>
      <c r="E265" s="96"/>
      <c r="F265" s="20" t="s">
        <v>1953</v>
      </c>
      <c r="G265" s="22" t="s">
        <v>440</v>
      </c>
      <c r="H265" s="22" t="s">
        <v>440</v>
      </c>
      <c r="I265" s="21" t="s">
        <v>1571</v>
      </c>
      <c r="J265" s="62"/>
    </row>
    <row r="266" spans="1:10" x14ac:dyDescent="0.25">
      <c r="A266" s="95" t="s">
        <v>1967</v>
      </c>
      <c r="B266" s="94"/>
      <c r="C266" s="126" t="s">
        <v>1967</v>
      </c>
      <c r="D266" s="62"/>
      <c r="E266" s="96"/>
      <c r="F266" s="127" t="s">
        <v>1967</v>
      </c>
      <c r="G266" s="21" t="s">
        <v>453</v>
      </c>
      <c r="H266" s="22" t="s">
        <v>259</v>
      </c>
      <c r="I266" s="21"/>
      <c r="J266" s="62"/>
    </row>
    <row r="267" spans="1:10" x14ac:dyDescent="0.25">
      <c r="A267" s="95" t="s">
        <v>387</v>
      </c>
      <c r="B267" s="94"/>
      <c r="C267" s="128" t="s">
        <v>387</v>
      </c>
      <c r="D267" s="62"/>
      <c r="E267" s="96"/>
      <c r="F267" s="127" t="s">
        <v>387</v>
      </c>
      <c r="G267" s="21" t="s">
        <v>387</v>
      </c>
      <c r="H267" s="22" t="s">
        <v>259</v>
      </c>
      <c r="I267" s="62"/>
      <c r="J267" s="62"/>
    </row>
    <row r="268" spans="1:10" x14ac:dyDescent="0.25">
      <c r="A268" s="95" t="s">
        <v>1983</v>
      </c>
      <c r="B268" s="94"/>
      <c r="C268" s="128" t="s">
        <v>1982</v>
      </c>
      <c r="D268" s="62"/>
      <c r="E268" s="96">
        <v>46251</v>
      </c>
      <c r="F268" s="127" t="s">
        <v>1981</v>
      </c>
      <c r="G268" s="21" t="s">
        <v>320</v>
      </c>
      <c r="H268" s="21" t="s">
        <v>247</v>
      </c>
      <c r="I268" s="62"/>
      <c r="J268" s="62"/>
    </row>
    <row r="269" spans="1:10" x14ac:dyDescent="0.25">
      <c r="A269" s="95" t="s">
        <v>1989</v>
      </c>
      <c r="B269" s="94"/>
      <c r="C269" s="128" t="s">
        <v>1989</v>
      </c>
      <c r="D269" s="62"/>
      <c r="E269" s="96"/>
      <c r="F269" s="20" t="s">
        <v>431</v>
      </c>
      <c r="G269" s="21" t="s">
        <v>315</v>
      </c>
      <c r="H269" s="22" t="s">
        <v>253</v>
      </c>
      <c r="I269" s="62"/>
      <c r="J269" s="62"/>
    </row>
    <row r="270" spans="1:10" x14ac:dyDescent="0.25">
      <c r="A270" s="95" t="s">
        <v>2038</v>
      </c>
      <c r="B270" s="94"/>
      <c r="C270" s="126" t="s">
        <v>2038</v>
      </c>
      <c r="D270" s="62"/>
      <c r="E270" s="96"/>
      <c r="F270" s="126" t="s">
        <v>2038</v>
      </c>
      <c r="G270" s="129" t="s">
        <v>535</v>
      </c>
      <c r="H270" s="130" t="s">
        <v>259</v>
      </c>
      <c r="I270" s="62"/>
      <c r="J270" s="62"/>
    </row>
    <row r="271" spans="1:10" x14ac:dyDescent="0.25">
      <c r="A271" s="95" t="s">
        <v>2040</v>
      </c>
      <c r="B271" s="94"/>
      <c r="C271" s="126" t="s">
        <v>2040</v>
      </c>
      <c r="D271" s="62"/>
      <c r="E271" s="96"/>
      <c r="F271" s="126" t="s">
        <v>2040</v>
      </c>
      <c r="G271" s="129" t="s">
        <v>2034</v>
      </c>
      <c r="H271" s="130" t="s">
        <v>259</v>
      </c>
      <c r="I271" s="62"/>
      <c r="J271" s="62"/>
    </row>
    <row r="272" spans="1:10" x14ac:dyDescent="0.25">
      <c r="A272" s="95" t="s">
        <v>2039</v>
      </c>
      <c r="B272" s="94"/>
      <c r="C272" s="126" t="s">
        <v>2039</v>
      </c>
      <c r="D272" s="62"/>
      <c r="E272" s="96"/>
      <c r="F272" s="126" t="s">
        <v>2039</v>
      </c>
      <c r="G272" s="129" t="s">
        <v>1893</v>
      </c>
      <c r="H272" s="130" t="s">
        <v>259</v>
      </c>
      <c r="I272" s="62"/>
      <c r="J272" s="62"/>
    </row>
    <row r="273" spans="1:10" x14ac:dyDescent="0.25">
      <c r="A273" s="95" t="s">
        <v>2041</v>
      </c>
      <c r="B273" s="94"/>
      <c r="C273" s="126" t="s">
        <v>2041</v>
      </c>
      <c r="D273" s="62"/>
      <c r="E273" s="96"/>
      <c r="F273" s="126" t="s">
        <v>2041</v>
      </c>
      <c r="G273" s="129" t="s">
        <v>2042</v>
      </c>
      <c r="H273" s="130" t="s">
        <v>259</v>
      </c>
      <c r="I273" s="62"/>
      <c r="J273" s="62"/>
    </row>
    <row r="274" spans="1:10" x14ac:dyDescent="0.25">
      <c r="A274" s="95" t="s">
        <v>287</v>
      </c>
      <c r="B274" s="94"/>
      <c r="C274" s="20" t="s">
        <v>2098</v>
      </c>
      <c r="D274" s="15"/>
      <c r="E274" s="15"/>
      <c r="F274" s="20" t="s">
        <v>340</v>
      </c>
      <c r="G274" s="20" t="s">
        <v>302</v>
      </c>
      <c r="H274" s="20" t="s">
        <v>302</v>
      </c>
      <c r="I274" s="62"/>
      <c r="J274" s="62"/>
    </row>
    <row r="275" spans="1:10" x14ac:dyDescent="0.25">
      <c r="A275" s="95" t="s">
        <v>2095</v>
      </c>
      <c r="B275" s="94"/>
      <c r="C275" s="20" t="s">
        <v>2099</v>
      </c>
      <c r="D275" s="15"/>
      <c r="E275" s="15"/>
      <c r="F275" s="20" t="s">
        <v>340</v>
      </c>
      <c r="G275" s="20" t="s">
        <v>302</v>
      </c>
      <c r="H275" s="20" t="s">
        <v>302</v>
      </c>
      <c r="I275" s="62"/>
      <c r="J275" s="62"/>
    </row>
    <row r="276" spans="1:10" x14ac:dyDescent="0.25">
      <c r="A276" s="95" t="s">
        <v>2107</v>
      </c>
      <c r="B276" s="94"/>
      <c r="C276" s="126" t="s">
        <v>2114</v>
      </c>
      <c r="D276" s="62"/>
      <c r="E276" s="96"/>
      <c r="F276" s="20" t="s">
        <v>521</v>
      </c>
      <c r="G276" s="21" t="s">
        <v>349</v>
      </c>
      <c r="H276" s="22" t="s">
        <v>350</v>
      </c>
      <c r="I276" s="62"/>
      <c r="J276" s="62"/>
    </row>
    <row r="277" spans="1:10" x14ac:dyDescent="0.25">
      <c r="A277" s="95" t="s">
        <v>2117</v>
      </c>
      <c r="B277" s="94"/>
      <c r="C277" s="126" t="s">
        <v>302</v>
      </c>
      <c r="D277" s="62"/>
      <c r="E277" s="96"/>
      <c r="F277" s="20" t="s">
        <v>340</v>
      </c>
      <c r="G277" s="20" t="s">
        <v>302</v>
      </c>
      <c r="H277" s="20" t="s">
        <v>302</v>
      </c>
      <c r="I277" s="62"/>
      <c r="J277" s="62"/>
    </row>
    <row r="278" spans="1:10" x14ac:dyDescent="0.25">
      <c r="A278" s="95"/>
      <c r="B278" s="94"/>
      <c r="C278" s="62"/>
      <c r="D278" s="62"/>
      <c r="E278" s="96"/>
      <c r="F278" s="62"/>
      <c r="G278" s="62"/>
      <c r="H278" s="62"/>
      <c r="I278" s="62"/>
      <c r="J278" s="62"/>
    </row>
    <row r="279" spans="1:10" x14ac:dyDescent="0.25">
      <c r="A279" s="95"/>
      <c r="B279" s="94"/>
      <c r="C279" s="62"/>
      <c r="D279" s="62"/>
      <c r="E279" s="96"/>
      <c r="F279" s="62"/>
      <c r="G279" s="62"/>
      <c r="H279" s="62"/>
      <c r="I279" s="62"/>
      <c r="J279" s="62"/>
    </row>
    <row r="280" spans="1:10" x14ac:dyDescent="0.25">
      <c r="A280" s="95"/>
      <c r="B280" s="94"/>
      <c r="C280" s="62"/>
      <c r="D280" s="62"/>
      <c r="E280" s="96"/>
      <c r="F280" s="62"/>
      <c r="G280" s="62"/>
      <c r="H280" s="62"/>
      <c r="I280" s="62"/>
      <c r="J280" s="62"/>
    </row>
    <row r="281" spans="1:10" x14ac:dyDescent="0.25">
      <c r="A281" s="95"/>
      <c r="B281" s="94"/>
      <c r="C281" s="62"/>
      <c r="D281" s="62"/>
      <c r="E281" s="96"/>
      <c r="F281" s="62"/>
      <c r="G281" s="62"/>
      <c r="H281" s="62"/>
      <c r="I281" s="62"/>
      <c r="J281" s="62"/>
    </row>
    <row r="282" spans="1:10" x14ac:dyDescent="0.25">
      <c r="A282" s="95"/>
      <c r="B282" s="94"/>
      <c r="C282" s="62"/>
      <c r="D282" s="62"/>
      <c r="E282" s="96"/>
      <c r="F282" s="62"/>
      <c r="G282" s="62"/>
      <c r="H282" s="62"/>
      <c r="I282" s="62"/>
      <c r="J282" s="62"/>
    </row>
  </sheetData>
  <autoFilter ref="A1:J265" xr:uid="{3866BF29-7DCE-460F-B110-22C69F62DB1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tabColor rgb="FFFFFF00"/>
  </sheetPr>
  <dimension ref="A2:AR705"/>
  <sheetViews>
    <sheetView tabSelected="1" zoomScaleNormal="100" workbookViewId="0">
      <pane xSplit="2" ySplit="5" topLeftCell="P38" activePane="bottomRight" state="frozen"/>
      <selection activeCell="F35" sqref="F35"/>
      <selection pane="topRight" activeCell="F35" sqref="F35"/>
      <selection pane="bottomLeft" activeCell="F35" sqref="F35"/>
      <selection pane="bottomRight" activeCell="R73" sqref="R73"/>
    </sheetView>
  </sheetViews>
  <sheetFormatPr baseColWidth="10" defaultColWidth="8.85546875" defaultRowHeight="14.25" x14ac:dyDescent="0.3"/>
  <cols>
    <col min="1" max="1" width="1.5703125" style="1" customWidth="1"/>
    <col min="2" max="2" width="8.5703125" style="2" bestFit="1" customWidth="1"/>
    <col min="3" max="3" width="12.5703125" style="2" customWidth="1"/>
    <col min="4" max="4" width="7.140625" style="2" customWidth="1"/>
    <col min="5" max="5" width="10" style="2" customWidth="1"/>
    <col min="6" max="6" width="11.42578125" style="2" customWidth="1"/>
    <col min="7" max="7" width="8.85546875" style="1" customWidth="1"/>
    <col min="8" max="8" width="8.7109375" style="1" bestFit="1" customWidth="1"/>
    <col min="9" max="9" width="10.5703125" style="1" bestFit="1" customWidth="1"/>
    <col min="10" max="10" width="20.140625" style="1" bestFit="1" customWidth="1"/>
    <col min="11" max="11" width="22.7109375" style="1" bestFit="1" customWidth="1"/>
    <col min="12" max="12" width="13.28515625" style="1" bestFit="1" customWidth="1"/>
    <col min="13" max="13" width="13" style="1" bestFit="1" customWidth="1"/>
    <col min="14" max="14" width="9.42578125" style="1" bestFit="1" customWidth="1"/>
    <col min="15" max="15" width="15.5703125" style="1" bestFit="1" customWidth="1"/>
    <col min="16" max="16" width="17.5703125" style="1" customWidth="1"/>
    <col min="17" max="17" width="17.28515625" style="1" customWidth="1"/>
    <col min="18" max="18" width="14.42578125" style="1" bestFit="1" customWidth="1"/>
    <col min="19" max="19" width="15.140625" style="1" bestFit="1" customWidth="1"/>
    <col min="20" max="20" width="16.7109375" style="1" bestFit="1" customWidth="1"/>
    <col min="21" max="21" width="10" style="1" bestFit="1" customWidth="1"/>
    <col min="22" max="22" width="17.140625" style="1" bestFit="1" customWidth="1"/>
    <col min="23" max="23" width="16.140625" style="1" customWidth="1"/>
    <col min="24" max="24" width="14" style="1" bestFit="1" customWidth="1"/>
    <col min="25" max="25" width="14.28515625" style="1" customWidth="1"/>
    <col min="26" max="26" width="13.7109375" style="1" bestFit="1" customWidth="1"/>
    <col min="27" max="27" width="9.7109375" style="1" customWidth="1"/>
    <col min="28" max="28" width="8.85546875" style="1" customWidth="1"/>
    <col min="29" max="29" width="12.28515625" style="1" customWidth="1"/>
    <col min="30" max="30" width="7.5703125" style="1" customWidth="1"/>
    <col min="31" max="31" width="24.7109375" style="1" bestFit="1" customWidth="1"/>
    <col min="32" max="32" width="9" style="1" customWidth="1"/>
    <col min="33" max="33" width="14.7109375" style="1" bestFit="1" customWidth="1"/>
    <col min="34" max="34" width="10.28515625" style="1" customWidth="1"/>
    <col min="35" max="35" width="8.42578125" style="1" customWidth="1"/>
    <col min="36" max="36" width="27" style="1" customWidth="1"/>
    <col min="37" max="37" width="18.7109375" style="1" bestFit="1" customWidth="1"/>
    <col min="38" max="38" width="15.140625" style="1" bestFit="1" customWidth="1"/>
    <col min="39" max="39" width="10.7109375" style="1" bestFit="1" customWidth="1"/>
    <col min="40" max="40" width="39" style="1" bestFit="1" customWidth="1"/>
    <col min="41" max="41" width="31" style="1" bestFit="1" customWidth="1"/>
    <col min="42" max="42" width="22.28515625" style="1" bestFit="1" customWidth="1"/>
    <col min="43" max="43" width="38.42578125" style="1" customWidth="1"/>
    <col min="44" max="44" width="48.140625" style="1" customWidth="1"/>
    <col min="45" max="16384" width="8.85546875" style="1"/>
  </cols>
  <sheetData>
    <row r="2" spans="2:44" ht="16.5" x14ac:dyDescent="0.3">
      <c r="G2" s="134" t="s">
        <v>134</v>
      </c>
      <c r="H2" s="134"/>
      <c r="I2" s="134"/>
      <c r="J2" s="134"/>
      <c r="K2" s="134"/>
      <c r="L2" s="134"/>
      <c r="M2" s="134"/>
    </row>
    <row r="4" spans="2:44" x14ac:dyDescent="0.3">
      <c r="AO4" s="1">
        <v>6</v>
      </c>
      <c r="AP4" s="1">
        <v>7</v>
      </c>
      <c r="AQ4" s="1">
        <v>8</v>
      </c>
    </row>
    <row r="5" spans="2:44" s="5" customFormat="1" ht="25.5" x14ac:dyDescent="0.25">
      <c r="B5" s="4" t="s">
        <v>0</v>
      </c>
      <c r="C5" s="4" t="s">
        <v>1760</v>
      </c>
      <c r="D5" s="4" t="s">
        <v>167</v>
      </c>
      <c r="E5" s="4" t="s">
        <v>166</v>
      </c>
      <c r="F5" s="4" t="s">
        <v>1761</v>
      </c>
      <c r="G5" s="4" t="s">
        <v>1</v>
      </c>
      <c r="H5" s="4" t="s">
        <v>2</v>
      </c>
      <c r="I5" s="4" t="s">
        <v>3</v>
      </c>
      <c r="J5" s="4" t="s">
        <v>4</v>
      </c>
      <c r="K5" s="4" t="s">
        <v>5</v>
      </c>
      <c r="L5" s="4" t="s">
        <v>6</v>
      </c>
      <c r="M5" s="4" t="s">
        <v>12</v>
      </c>
      <c r="N5" s="4" t="s">
        <v>13</v>
      </c>
      <c r="O5" s="4" t="s">
        <v>7</v>
      </c>
      <c r="P5" s="4" t="s">
        <v>8</v>
      </c>
      <c r="Q5" s="4" t="s">
        <v>21</v>
      </c>
      <c r="R5" s="4" t="s">
        <v>22</v>
      </c>
      <c r="S5" s="4" t="s">
        <v>9</v>
      </c>
      <c r="T5" s="4" t="s">
        <v>122</v>
      </c>
      <c r="U5" s="60" t="s">
        <v>19</v>
      </c>
      <c r="V5" s="11" t="s">
        <v>10</v>
      </c>
      <c r="W5" s="11" t="s">
        <v>11</v>
      </c>
      <c r="X5" s="11" t="s">
        <v>14</v>
      </c>
      <c r="Y5" s="11" t="s">
        <v>66</v>
      </c>
      <c r="Z5" s="11" t="s">
        <v>115</v>
      </c>
      <c r="AA5" s="11" t="s">
        <v>15</v>
      </c>
      <c r="AB5" s="11" t="s">
        <v>16</v>
      </c>
      <c r="AC5" s="11" t="s">
        <v>17</v>
      </c>
      <c r="AD5" s="11" t="s">
        <v>18</v>
      </c>
      <c r="AE5" s="11" t="s">
        <v>20</v>
      </c>
      <c r="AF5" s="11" t="s">
        <v>168</v>
      </c>
      <c r="AG5" s="11" t="s">
        <v>173</v>
      </c>
      <c r="AH5" s="11" t="s">
        <v>23</v>
      </c>
      <c r="AI5" s="11" t="s">
        <v>24</v>
      </c>
      <c r="AJ5" s="12" t="s">
        <v>25</v>
      </c>
      <c r="AK5" s="12" t="s">
        <v>26</v>
      </c>
      <c r="AL5" s="12" t="s">
        <v>27</v>
      </c>
      <c r="AM5" s="12" t="s">
        <v>28</v>
      </c>
      <c r="AN5" s="12" t="s">
        <v>29</v>
      </c>
      <c r="AO5" s="12" t="s">
        <v>30</v>
      </c>
      <c r="AP5" s="12" t="s">
        <v>1619</v>
      </c>
      <c r="AQ5" s="12" t="s">
        <v>32</v>
      </c>
      <c r="AR5" s="12" t="s">
        <v>130</v>
      </c>
    </row>
    <row r="6" spans="2:44" x14ac:dyDescent="0.3">
      <c r="B6" s="6">
        <v>1</v>
      </c>
      <c r="C6" s="6"/>
      <c r="D6" s="6"/>
      <c r="E6" s="6"/>
      <c r="F6" s="6"/>
      <c r="G6" s="7" t="s">
        <v>34</v>
      </c>
      <c r="H6" s="7" t="s">
        <v>29</v>
      </c>
      <c r="I6" s="7" t="s">
        <v>48</v>
      </c>
      <c r="J6" s="7" t="s">
        <v>119</v>
      </c>
      <c r="K6" s="10" t="s">
        <v>120</v>
      </c>
      <c r="L6" s="7" t="s">
        <v>121</v>
      </c>
      <c r="M6" s="7"/>
      <c r="N6" s="7"/>
      <c r="O6" s="13"/>
      <c r="P6" s="13"/>
      <c r="Q6" s="7"/>
      <c r="R6" s="7"/>
      <c r="S6" s="7" t="s">
        <v>123</v>
      </c>
      <c r="T6" s="7" t="s">
        <v>124</v>
      </c>
      <c r="U6" s="7" t="s">
        <v>1916</v>
      </c>
      <c r="V6" s="7" t="s">
        <v>1915</v>
      </c>
      <c r="W6" s="7"/>
      <c r="X6" s="7" t="s">
        <v>55</v>
      </c>
      <c r="Y6" s="7" t="s">
        <v>93</v>
      </c>
      <c r="Z6" s="7" t="s">
        <v>116</v>
      </c>
      <c r="AA6" s="7" t="s">
        <v>68</v>
      </c>
      <c r="AB6" s="7"/>
      <c r="AC6" s="7" t="s">
        <v>234</v>
      </c>
      <c r="AD6" s="7" t="s">
        <v>81</v>
      </c>
      <c r="AE6" s="7" t="s">
        <v>88</v>
      </c>
      <c r="AF6" s="7" t="s">
        <v>171</v>
      </c>
      <c r="AG6" s="7" t="s">
        <v>174</v>
      </c>
      <c r="AH6" s="8">
        <v>44927</v>
      </c>
      <c r="AI6" s="7"/>
      <c r="AJ6" s="7" t="s">
        <v>107</v>
      </c>
      <c r="AK6" s="7" t="s">
        <v>109</v>
      </c>
      <c r="AL6" s="9">
        <v>43488382</v>
      </c>
      <c r="AM6" s="7" t="str">
        <f>VLOOKUP(AL6,Personal!$A$2:$I$300,2,FALSE)</f>
        <v>0000001736</v>
      </c>
      <c r="AN6" s="7" t="str">
        <f>VLOOKUP(AL6,Personal!$A$2:$I$300,3,FALSE)</f>
        <v>SALINAS TORRES NOE</v>
      </c>
      <c r="AO6" s="7" t="str">
        <f>VLOOKUP(AL6,Personal!$A$2:$I$300,6,FALSE)</f>
        <v>Analista de Sistemas</v>
      </c>
      <c r="AP6" s="7" t="str">
        <f>VLOOKUP(AL6,Personal!$A$2:$I$300,7,FALSE)</f>
        <v xml:space="preserve">Tecnologias de Información </v>
      </c>
      <c r="AQ6" s="7" t="str">
        <f>VLOOKUP(AL6,Personal!$A$2:$I$300,8,FALSE)</f>
        <v xml:space="preserve">Tecnologias de Información </v>
      </c>
      <c r="AR6" s="89"/>
    </row>
    <row r="7" spans="2:44" x14ac:dyDescent="0.3">
      <c r="B7" s="6">
        <v>2</v>
      </c>
      <c r="C7" s="6"/>
      <c r="D7" s="6"/>
      <c r="E7" s="6"/>
      <c r="F7" s="6"/>
      <c r="G7" s="7" t="s">
        <v>35</v>
      </c>
      <c r="H7" s="7" t="s">
        <v>29</v>
      </c>
      <c r="I7" s="7" t="s">
        <v>125</v>
      </c>
      <c r="J7" s="7" t="s">
        <v>128</v>
      </c>
      <c r="K7" s="10" t="s">
        <v>129</v>
      </c>
      <c r="L7" s="7"/>
      <c r="M7" s="7"/>
      <c r="N7" s="7"/>
      <c r="O7" s="13"/>
      <c r="P7" s="13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 t="s">
        <v>84</v>
      </c>
      <c r="AE7" s="7"/>
      <c r="AF7" s="7"/>
      <c r="AG7" s="7"/>
      <c r="AH7" s="8"/>
      <c r="AI7" s="7"/>
      <c r="AJ7" s="7" t="s">
        <v>107</v>
      </c>
      <c r="AK7" s="7" t="s">
        <v>109</v>
      </c>
      <c r="AL7" s="9">
        <v>43488382</v>
      </c>
      <c r="AM7" s="7" t="str">
        <f>VLOOKUP(AL7,Personal!$A$2:$I$300,2,FALSE)</f>
        <v>0000001736</v>
      </c>
      <c r="AN7" s="7" t="str">
        <f>VLOOKUP(AL7,Personal!$A$2:$I$300,3,FALSE)</f>
        <v>SALINAS TORRES NOE</v>
      </c>
      <c r="AO7" s="7" t="str">
        <f>VLOOKUP(AL7,Personal!$A$2:$I$300,6,FALSE)</f>
        <v>Analista de Sistemas</v>
      </c>
      <c r="AP7" s="7" t="str">
        <f>VLOOKUP(AL7,Personal!$A$2:$I$300,7,FALSE)</f>
        <v xml:space="preserve">Tecnologias de Información </v>
      </c>
      <c r="AQ7" s="7" t="str">
        <f>VLOOKUP(AL7,Personal!$A$2:$I$300,8,FALSE)</f>
        <v xml:space="preserve">Tecnologias de Información </v>
      </c>
      <c r="AR7" s="7"/>
    </row>
    <row r="8" spans="2:44" x14ac:dyDescent="0.3">
      <c r="B8" s="6">
        <v>3</v>
      </c>
      <c r="C8" s="6"/>
      <c r="D8" s="6"/>
      <c r="E8" s="6"/>
      <c r="F8" s="6"/>
      <c r="G8" s="7" t="s">
        <v>45</v>
      </c>
      <c r="H8" s="7" t="s">
        <v>29</v>
      </c>
      <c r="I8" s="7" t="s">
        <v>125</v>
      </c>
      <c r="J8" s="7" t="s">
        <v>135</v>
      </c>
      <c r="K8" s="10" t="s">
        <v>136</v>
      </c>
      <c r="L8" s="7"/>
      <c r="M8" s="7"/>
      <c r="N8" s="7"/>
      <c r="O8" s="13"/>
      <c r="P8" s="13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8"/>
      <c r="AI8" s="7"/>
      <c r="AJ8" s="7" t="s">
        <v>107</v>
      </c>
      <c r="AK8" s="7" t="s">
        <v>109</v>
      </c>
      <c r="AL8" s="9">
        <v>43488382</v>
      </c>
      <c r="AM8" s="7" t="str">
        <f>VLOOKUP(AL8,Personal!$A$2:$I$300,2,FALSE)</f>
        <v>0000001736</v>
      </c>
      <c r="AN8" s="7" t="str">
        <f>VLOOKUP(AL8,Personal!$A$2:$I$300,3,FALSE)</f>
        <v>SALINAS TORRES NOE</v>
      </c>
      <c r="AO8" s="7" t="str">
        <f>VLOOKUP(AL8,Personal!$A$2:$I$300,6,FALSE)</f>
        <v>Analista de Sistemas</v>
      </c>
      <c r="AP8" s="7" t="str">
        <f>VLOOKUP(AL8,Personal!$A$2:$I$300,7,FALSE)</f>
        <v xml:space="preserve">Tecnologias de Información </v>
      </c>
      <c r="AQ8" s="7" t="str">
        <f>VLOOKUP(AL8,Personal!$A$2:$I$300,8,FALSE)</f>
        <v xml:space="preserve">Tecnologias de Información </v>
      </c>
      <c r="AR8" s="7"/>
    </row>
    <row r="9" spans="2:44" ht="15.75" x14ac:dyDescent="0.3">
      <c r="B9" s="6">
        <v>4</v>
      </c>
      <c r="C9" s="6"/>
      <c r="D9" s="6"/>
      <c r="E9" s="6"/>
      <c r="F9" s="6"/>
      <c r="G9" s="7" t="s">
        <v>36</v>
      </c>
      <c r="H9" s="7" t="s">
        <v>29</v>
      </c>
      <c r="I9" s="7" t="s">
        <v>137</v>
      </c>
      <c r="J9" s="7" t="s">
        <v>164</v>
      </c>
      <c r="K9" s="10" t="s">
        <v>1698</v>
      </c>
      <c r="L9" s="7"/>
      <c r="M9" s="7" t="s">
        <v>50</v>
      </c>
      <c r="N9" s="7">
        <v>965647947</v>
      </c>
      <c r="O9" s="13">
        <v>860590070432272</v>
      </c>
      <c r="P9" s="13"/>
      <c r="Q9" s="14"/>
      <c r="R9" s="7"/>
      <c r="S9" s="7"/>
      <c r="T9" s="7" t="s">
        <v>165</v>
      </c>
      <c r="U9" s="7"/>
      <c r="V9" s="7"/>
      <c r="W9" s="7"/>
      <c r="X9" s="7" t="s">
        <v>140</v>
      </c>
      <c r="Y9" s="7"/>
      <c r="Z9" s="7"/>
      <c r="AA9" s="7" t="s">
        <v>142</v>
      </c>
      <c r="AB9" s="7"/>
      <c r="AC9" s="7" t="s">
        <v>146</v>
      </c>
      <c r="AD9" s="7" t="s">
        <v>148</v>
      </c>
      <c r="AE9" s="7" t="s">
        <v>162</v>
      </c>
      <c r="AF9" s="7"/>
      <c r="AG9" s="7"/>
      <c r="AH9" s="8"/>
      <c r="AI9" s="7"/>
      <c r="AJ9" s="7" t="s">
        <v>107</v>
      </c>
      <c r="AK9" s="7" t="s">
        <v>109</v>
      </c>
      <c r="AL9" s="9" t="s">
        <v>384</v>
      </c>
      <c r="AM9" s="7" t="str">
        <f>VLOOKUP(AL9,Personal!$A$2:$I$300,2,FALSE)</f>
        <v>0000000874</v>
      </c>
      <c r="AN9" s="7" t="str">
        <f>VLOOKUP(AL9,Personal!$A$2:$I$300,3,FALSE)</f>
        <v>FALCON PAZ JULIAN MIGUEL ANGEL</v>
      </c>
      <c r="AO9" s="7" t="str">
        <f>VLOOKUP(AL9,Personal!$A$2:$I$300,6,FALSE)</f>
        <v>Supervisor Senior de A&amp;B</v>
      </c>
      <c r="AP9" s="7" t="str">
        <f>VLOOKUP(AL9,Personal!$A$2:$I$300,7,FALSE)</f>
        <v>Banquetes</v>
      </c>
      <c r="AQ9" s="7" t="str">
        <f>VLOOKUP(AL9,Personal!$A$2:$I$300,8,FALSE)</f>
        <v>Alimentos y Bebidas</v>
      </c>
      <c r="AR9" s="7"/>
    </row>
    <row r="10" spans="2:44" x14ac:dyDescent="0.3">
      <c r="B10" s="6">
        <v>5</v>
      </c>
      <c r="C10" s="6"/>
      <c r="D10" s="6"/>
      <c r="E10" s="6"/>
      <c r="F10" s="6"/>
      <c r="G10" s="7" t="s">
        <v>34</v>
      </c>
      <c r="H10" s="7" t="s">
        <v>29</v>
      </c>
      <c r="I10" s="7" t="s">
        <v>49</v>
      </c>
      <c r="J10" s="7" t="s">
        <v>183</v>
      </c>
      <c r="K10" s="10" t="s">
        <v>182</v>
      </c>
      <c r="L10" s="7" t="s">
        <v>184</v>
      </c>
      <c r="M10" s="7"/>
      <c r="N10" s="7"/>
      <c r="O10" s="13"/>
      <c r="P10" s="13"/>
      <c r="Q10" s="7"/>
      <c r="R10" s="7"/>
      <c r="S10" s="7" t="s">
        <v>185</v>
      </c>
      <c r="T10" s="7" t="s">
        <v>186</v>
      </c>
      <c r="U10" s="7"/>
      <c r="V10" s="7"/>
      <c r="W10" s="7"/>
      <c r="X10" s="7" t="s">
        <v>54</v>
      </c>
      <c r="Y10" s="7" t="s">
        <v>133</v>
      </c>
      <c r="Z10" s="7" t="s">
        <v>117</v>
      </c>
      <c r="AA10" s="7" t="s">
        <v>58</v>
      </c>
      <c r="AB10" s="7"/>
      <c r="AC10" s="7" t="s">
        <v>75</v>
      </c>
      <c r="AD10" s="7" t="s">
        <v>80</v>
      </c>
      <c r="AE10" s="7" t="s">
        <v>88</v>
      </c>
      <c r="AF10" s="7" t="s">
        <v>171</v>
      </c>
      <c r="AG10" s="7"/>
      <c r="AH10" s="8"/>
      <c r="AI10" s="7"/>
      <c r="AJ10" s="7" t="s">
        <v>107</v>
      </c>
      <c r="AK10" s="7" t="s">
        <v>176</v>
      </c>
      <c r="AL10" s="10" t="s">
        <v>1748</v>
      </c>
      <c r="AM10" s="7">
        <f>VLOOKUP(AL10,Personal!$A$2:$I$300,2,FALSE)</f>
        <v>0</v>
      </c>
      <c r="AN10" s="7" t="str">
        <f>VLOOKUP(AL10,Personal!$A$2:$I$300,3,FALSE)</f>
        <v xml:space="preserve">Tecnologias de Información </v>
      </c>
      <c r="AO10" s="7" t="str">
        <f>VLOOKUP(AL10,Personal!$A$2:$I$300,6,FALSE)</f>
        <v xml:space="preserve">Tecnologias de Información </v>
      </c>
      <c r="AP10" s="7" t="str">
        <f>VLOOKUP(AL10,Personal!$A$2:$I$300,7,FALSE)</f>
        <v xml:space="preserve">Tecnologias de Información </v>
      </c>
      <c r="AQ10" s="7" t="str">
        <f>VLOOKUP(AL10,Personal!$A$2:$I$300,8,FALSE)</f>
        <v xml:space="preserve">Tecnologias de Información </v>
      </c>
      <c r="AR10" s="7" t="s">
        <v>181</v>
      </c>
    </row>
    <row r="11" spans="2:44" x14ac:dyDescent="0.3">
      <c r="B11" s="6">
        <v>6</v>
      </c>
      <c r="C11" s="6"/>
      <c r="D11" s="6"/>
      <c r="E11" s="6"/>
      <c r="F11" s="6"/>
      <c r="G11" s="7" t="s">
        <v>33</v>
      </c>
      <c r="H11" s="7" t="s">
        <v>29</v>
      </c>
      <c r="I11" s="7" t="s">
        <v>47</v>
      </c>
      <c r="J11" s="7" t="s">
        <v>187</v>
      </c>
      <c r="K11" s="10" t="s">
        <v>188</v>
      </c>
      <c r="L11" s="7" t="s">
        <v>189</v>
      </c>
      <c r="M11" s="7"/>
      <c r="N11" s="7"/>
      <c r="O11" s="13"/>
      <c r="P11" s="13"/>
      <c r="Q11" s="7"/>
      <c r="R11" s="7"/>
      <c r="S11" s="7"/>
      <c r="T11" s="7"/>
      <c r="U11" s="7" t="s">
        <v>1980</v>
      </c>
      <c r="V11" s="7"/>
      <c r="W11" s="7" t="s">
        <v>1979</v>
      </c>
      <c r="X11" s="7" t="s">
        <v>55</v>
      </c>
      <c r="Y11" s="7" t="s">
        <v>101</v>
      </c>
      <c r="Z11" s="7" t="s">
        <v>117</v>
      </c>
      <c r="AA11" s="7" t="s">
        <v>71</v>
      </c>
      <c r="AB11" s="7"/>
      <c r="AC11" s="7" t="s">
        <v>234</v>
      </c>
      <c r="AD11" s="7"/>
      <c r="AE11" s="7" t="s">
        <v>88</v>
      </c>
      <c r="AF11" s="7" t="s">
        <v>169</v>
      </c>
      <c r="AG11" s="7" t="s">
        <v>175</v>
      </c>
      <c r="AH11" s="8"/>
      <c r="AI11" s="7"/>
      <c r="AJ11" s="7" t="s">
        <v>107</v>
      </c>
      <c r="AK11" s="7" t="s">
        <v>109</v>
      </c>
      <c r="AL11" s="9" t="s">
        <v>1983</v>
      </c>
      <c r="AM11" s="7">
        <f>VLOOKUP(AL11,Personal!$A$2:$I$300,2,FALSE)</f>
        <v>0</v>
      </c>
      <c r="AN11" s="7" t="str">
        <f>VLOOKUP(AL11,Personal!$A$2:$I$300,3,FALSE)</f>
        <v>ALVARADO CHAVARRY JIMMY GERARDO</v>
      </c>
      <c r="AO11" s="7" t="str">
        <f>VLOOKUP(AL11,Personal!$A$2:$I$300,6,FALSE)</f>
        <v>Sub Contralor</v>
      </c>
      <c r="AP11" s="7" t="str">
        <f>VLOOKUP(AL11,Personal!$A$2:$I$300,7,FALSE)</f>
        <v>Contabilidad</v>
      </c>
      <c r="AQ11" s="7" t="str">
        <f>VLOOKUP(AL11,Personal!$A$2:$I$300,8,FALSE)</f>
        <v>Contraloría</v>
      </c>
      <c r="AR11" s="7"/>
    </row>
    <row r="12" spans="2:44" x14ac:dyDescent="0.3">
      <c r="B12" s="6">
        <v>7</v>
      </c>
      <c r="C12" s="6"/>
      <c r="D12" s="6"/>
      <c r="E12" s="6"/>
      <c r="F12" s="6"/>
      <c r="G12" s="7" t="s">
        <v>33</v>
      </c>
      <c r="H12" s="7" t="s">
        <v>29</v>
      </c>
      <c r="I12" s="7" t="s">
        <v>47</v>
      </c>
      <c r="J12" s="7" t="s">
        <v>187</v>
      </c>
      <c r="K12" s="10" t="s">
        <v>190</v>
      </c>
      <c r="L12" s="7" t="s">
        <v>189</v>
      </c>
      <c r="M12" s="7"/>
      <c r="N12" s="7"/>
      <c r="O12" s="13"/>
      <c r="P12" s="13"/>
      <c r="Q12" s="7"/>
      <c r="R12" s="7"/>
      <c r="S12" s="7" t="s">
        <v>191</v>
      </c>
      <c r="T12" s="7" t="s">
        <v>192</v>
      </c>
      <c r="U12" s="7" t="s">
        <v>1520</v>
      </c>
      <c r="V12" s="7"/>
      <c r="W12" s="7" t="s">
        <v>1521</v>
      </c>
      <c r="X12" s="7" t="s">
        <v>55</v>
      </c>
      <c r="Y12" s="7" t="s">
        <v>101</v>
      </c>
      <c r="Z12" s="7" t="s">
        <v>117</v>
      </c>
      <c r="AA12" s="7" t="s">
        <v>73</v>
      </c>
      <c r="AB12" s="7"/>
      <c r="AC12" s="7" t="s">
        <v>79</v>
      </c>
      <c r="AD12" s="7"/>
      <c r="AE12" s="7" t="s">
        <v>88</v>
      </c>
      <c r="AF12" s="7" t="s">
        <v>169</v>
      </c>
      <c r="AG12" s="7" t="s">
        <v>174</v>
      </c>
      <c r="AH12" s="8"/>
      <c r="AI12" s="7"/>
      <c r="AJ12" s="7" t="s">
        <v>107</v>
      </c>
      <c r="AK12" s="7" t="s">
        <v>109</v>
      </c>
      <c r="AL12" s="10" t="s">
        <v>1648</v>
      </c>
      <c r="AM12" s="7" t="str">
        <f>VLOOKUP(AL12,Personal!$A$2:$I$300,2,FALSE)</f>
        <v>Front Desk</v>
      </c>
      <c r="AN12" s="7" t="str">
        <f>VLOOKUP(AL12,Personal!$A$2:$I$300,3,FALSE)</f>
        <v>Front Desk 2</v>
      </c>
      <c r="AO12" s="7" t="str">
        <f>VLOOKUP(AL12,Personal!$A$2:$I$300,6,FALSE)</f>
        <v>Recepcionista</v>
      </c>
      <c r="AP12" s="7" t="str">
        <f>VLOOKUP(AL12,Personal!$A$2:$I$300,7,FALSE)</f>
        <v>Recepción</v>
      </c>
      <c r="AQ12" s="7" t="str">
        <f>VLOOKUP(AL12,Personal!$A$2:$I$300,8,FALSE)</f>
        <v>División de Habitaciones (Operaciones)</v>
      </c>
      <c r="AR12" s="7" t="s">
        <v>224</v>
      </c>
    </row>
    <row r="13" spans="2:44" x14ac:dyDescent="0.3">
      <c r="B13" s="6">
        <v>8</v>
      </c>
      <c r="C13" s="6"/>
      <c r="D13" s="6"/>
      <c r="E13" s="6"/>
      <c r="F13" s="6"/>
      <c r="G13" s="7" t="s">
        <v>33</v>
      </c>
      <c r="H13" s="7" t="s">
        <v>29</v>
      </c>
      <c r="I13" s="7" t="s">
        <v>46</v>
      </c>
      <c r="J13" s="7" t="s">
        <v>193</v>
      </c>
      <c r="K13" s="10" t="s">
        <v>194</v>
      </c>
      <c r="L13" s="7" t="s">
        <v>1290</v>
      </c>
      <c r="M13" s="7"/>
      <c r="N13" s="7"/>
      <c r="O13" s="13"/>
      <c r="P13" s="13"/>
      <c r="Q13" s="7"/>
      <c r="R13" s="7"/>
      <c r="S13" s="7"/>
      <c r="T13" s="7"/>
      <c r="U13" s="7" t="s">
        <v>1930</v>
      </c>
      <c r="V13" s="7"/>
      <c r="W13" s="7" t="s">
        <v>1931</v>
      </c>
      <c r="X13" s="7" t="s">
        <v>54</v>
      </c>
      <c r="Y13" s="7" t="s">
        <v>90</v>
      </c>
      <c r="Z13" s="7" t="s">
        <v>117</v>
      </c>
      <c r="AA13" s="7" t="s">
        <v>59</v>
      </c>
      <c r="AB13" s="7"/>
      <c r="AC13" s="7" t="s">
        <v>234</v>
      </c>
      <c r="AD13" s="7"/>
      <c r="AE13" s="7" t="s">
        <v>88</v>
      </c>
      <c r="AF13" s="7" t="s">
        <v>169</v>
      </c>
      <c r="AG13" s="7" t="s">
        <v>174</v>
      </c>
      <c r="AH13" s="8">
        <v>41926</v>
      </c>
      <c r="AI13" s="7"/>
      <c r="AJ13" s="7" t="s">
        <v>107</v>
      </c>
      <c r="AK13" s="7" t="s">
        <v>109</v>
      </c>
      <c r="AL13" s="9" t="s">
        <v>1933</v>
      </c>
      <c r="AM13" s="7" t="str">
        <f>VLOOKUP(AL13,Personal!$A$2:$I$300,2,FALSE)</f>
        <v>0000P00764</v>
      </c>
      <c r="AN13" s="7" t="str">
        <f>VLOOKUP(AL13,Personal!$A$2:$I$300,3,FALSE)</f>
        <v>VIDAL TAPIA ARIANA FERNANDA VALERIA</v>
      </c>
      <c r="AO13" s="7" t="str">
        <f>VLOOKUP(AL13,Personal!$A$2:$I$300,6,FALSE)</f>
        <v>Practicante de Ventas y Marketing</v>
      </c>
      <c r="AP13" s="7" t="str">
        <f>VLOOKUP(AL13,Personal!$A$2:$I$300,7,FALSE)</f>
        <v>Ventas</v>
      </c>
      <c r="AQ13" s="7" t="str">
        <f>VLOOKUP(AL13,Personal!$A$2:$I$300,8,FALSE)</f>
        <v>Ventas y Marketing</v>
      </c>
      <c r="AR13" s="7" t="s">
        <v>195</v>
      </c>
    </row>
    <row r="14" spans="2:44" x14ac:dyDescent="0.3">
      <c r="B14" s="6">
        <v>9</v>
      </c>
      <c r="C14" s="6"/>
      <c r="D14" s="6"/>
      <c r="E14" s="6"/>
      <c r="F14" s="6"/>
      <c r="G14" s="7" t="s">
        <v>33</v>
      </c>
      <c r="H14" s="7" t="s">
        <v>29</v>
      </c>
      <c r="I14" s="7" t="s">
        <v>46</v>
      </c>
      <c r="J14" s="7" t="s">
        <v>193</v>
      </c>
      <c r="K14" s="10" t="s">
        <v>196</v>
      </c>
      <c r="L14" s="7" t="s">
        <v>1290</v>
      </c>
      <c r="M14" s="7"/>
      <c r="N14" s="7"/>
      <c r="O14" s="13"/>
      <c r="P14" s="13"/>
      <c r="Q14" s="7"/>
      <c r="R14" s="7"/>
      <c r="S14" s="7"/>
      <c r="T14" s="7"/>
      <c r="U14" s="7" t="s">
        <v>1832</v>
      </c>
      <c r="V14" s="7"/>
      <c r="W14" s="7" t="s">
        <v>1837</v>
      </c>
      <c r="X14" s="7" t="s">
        <v>54</v>
      </c>
      <c r="Y14" s="7" t="s">
        <v>90</v>
      </c>
      <c r="Z14" s="7" t="s">
        <v>117</v>
      </c>
      <c r="AA14" s="7" t="s">
        <v>58</v>
      </c>
      <c r="AB14" s="7"/>
      <c r="AC14" s="7" t="s">
        <v>234</v>
      </c>
      <c r="AD14" s="7"/>
      <c r="AE14" s="7" t="s">
        <v>88</v>
      </c>
      <c r="AF14" s="7" t="s">
        <v>169</v>
      </c>
      <c r="AG14" s="7" t="s">
        <v>174</v>
      </c>
      <c r="AH14" s="8">
        <v>41923</v>
      </c>
      <c r="AI14" s="7"/>
      <c r="AJ14" s="7" t="s">
        <v>107</v>
      </c>
      <c r="AK14" s="7" t="s">
        <v>109</v>
      </c>
      <c r="AL14" s="9" t="s">
        <v>1833</v>
      </c>
      <c r="AM14" s="7" t="str">
        <f>VLOOKUP(AL14,Personal!$A$2:$I$300,2,FALSE)</f>
        <v>0000001577</v>
      </c>
      <c r="AN14" s="7" t="str">
        <f>VLOOKUP(AL14,Personal!$A$2:$I$300,3,FALSE)</f>
        <v>RAFAELO LORENZO ANA ROSA</v>
      </c>
      <c r="AO14" s="7" t="str">
        <f>VLOOKUP(AL14,Personal!$A$2:$I$300,6,FALSE)</f>
        <v>Asistente de Coordinación</v>
      </c>
      <c r="AP14" s="7" t="str">
        <f>VLOOKUP(AL14,Personal!$A$2:$I$300,7,FALSE)</f>
        <v>Ventas</v>
      </c>
      <c r="AQ14" s="7" t="str">
        <f>VLOOKUP(AL14,Personal!$A$2:$I$300,8,FALSE)</f>
        <v>Ventas y Marketing</v>
      </c>
      <c r="AR14" s="89"/>
    </row>
    <row r="15" spans="2:44" x14ac:dyDescent="0.3">
      <c r="B15" s="6">
        <v>10</v>
      </c>
      <c r="C15" s="6"/>
      <c r="D15" s="6"/>
      <c r="E15" s="6"/>
      <c r="F15" s="6"/>
      <c r="G15" s="7" t="s">
        <v>33</v>
      </c>
      <c r="H15" s="7" t="s">
        <v>29</v>
      </c>
      <c r="I15" s="7" t="s">
        <v>46</v>
      </c>
      <c r="J15" s="7" t="s">
        <v>193</v>
      </c>
      <c r="K15" s="10" t="s">
        <v>197</v>
      </c>
      <c r="L15" s="7" t="s">
        <v>1290</v>
      </c>
      <c r="M15" s="7"/>
      <c r="N15" s="7"/>
      <c r="O15" s="13"/>
      <c r="P15" s="13"/>
      <c r="Q15" s="7"/>
      <c r="R15" s="7"/>
      <c r="S15" s="7"/>
      <c r="T15" s="7"/>
      <c r="U15" s="7" t="s">
        <v>1819</v>
      </c>
      <c r="V15" s="7"/>
      <c r="W15" s="7" t="s">
        <v>1875</v>
      </c>
      <c r="X15" s="7" t="s">
        <v>54</v>
      </c>
      <c r="Y15" s="7" t="s">
        <v>90</v>
      </c>
      <c r="Z15" s="7" t="s">
        <v>117</v>
      </c>
      <c r="AA15" s="7" t="s">
        <v>60</v>
      </c>
      <c r="AB15" s="7"/>
      <c r="AC15" s="7" t="s">
        <v>234</v>
      </c>
      <c r="AD15" s="7"/>
      <c r="AE15" s="7" t="s">
        <v>88</v>
      </c>
      <c r="AF15" s="7" t="s">
        <v>169</v>
      </c>
      <c r="AG15" s="7"/>
      <c r="AH15" s="8">
        <v>41923</v>
      </c>
      <c r="AI15" s="7"/>
      <c r="AJ15" s="7" t="s">
        <v>107</v>
      </c>
      <c r="AK15" s="7" t="s">
        <v>109</v>
      </c>
      <c r="AL15" s="9" t="s">
        <v>1818</v>
      </c>
      <c r="AM15" s="7" t="str">
        <f>VLOOKUP(AL15,Personal!$A$2:$I$300,2,FALSE)</f>
        <v>0000P00758</v>
      </c>
      <c r="AN15" s="7" t="str">
        <f>VLOOKUP(AL15,Personal!$A$2:$I$300,3,FALSE)</f>
        <v>MILLA GOMEZ ANJALI ABIGAIL</v>
      </c>
      <c r="AO15" s="7" t="str">
        <f>VLOOKUP(AL15,Personal!$A$2:$I$300,6,FALSE)</f>
        <v>Practicante de Contabilidad</v>
      </c>
      <c r="AP15" s="7" t="str">
        <f>VLOOKUP(AL15,Personal!$A$2:$I$300,7,FALSE)</f>
        <v>Contabilidad</v>
      </c>
      <c r="AQ15" s="7" t="str">
        <f>VLOOKUP(AL15,Personal!$A$2:$I$300,8,FALSE)</f>
        <v>Contraloría</v>
      </c>
      <c r="AR15" s="7"/>
    </row>
    <row r="16" spans="2:44" x14ac:dyDescent="0.3">
      <c r="B16" s="6">
        <v>11</v>
      </c>
      <c r="C16" s="6"/>
      <c r="D16" s="6"/>
      <c r="E16" s="6"/>
      <c r="F16" s="6"/>
      <c r="G16" s="7" t="s">
        <v>33</v>
      </c>
      <c r="H16" s="7" t="s">
        <v>38</v>
      </c>
      <c r="I16" s="7" t="s">
        <v>46</v>
      </c>
      <c r="J16" s="7" t="s">
        <v>193</v>
      </c>
      <c r="K16" s="10" t="s">
        <v>198</v>
      </c>
      <c r="L16" s="7" t="s">
        <v>1290</v>
      </c>
      <c r="M16" s="7"/>
      <c r="N16" s="7"/>
      <c r="O16" s="13"/>
      <c r="P16" s="13"/>
      <c r="Q16" s="7"/>
      <c r="R16" s="7"/>
      <c r="S16" s="7" t="s">
        <v>1998</v>
      </c>
      <c r="T16" s="7"/>
      <c r="U16" s="7" t="s">
        <v>1670</v>
      </c>
      <c r="V16" s="7"/>
      <c r="W16" s="7" t="s">
        <v>1669</v>
      </c>
      <c r="X16" s="7" t="s">
        <v>54</v>
      </c>
      <c r="Y16" s="7" t="s">
        <v>90</v>
      </c>
      <c r="Z16" s="7" t="s">
        <v>117</v>
      </c>
      <c r="AA16" s="7" t="s">
        <v>59</v>
      </c>
      <c r="AB16" s="7"/>
      <c r="AC16" s="7" t="s">
        <v>234</v>
      </c>
      <c r="AD16" s="7"/>
      <c r="AE16" s="7" t="s">
        <v>88</v>
      </c>
      <c r="AF16" s="7" t="s">
        <v>169</v>
      </c>
      <c r="AG16" s="7" t="s">
        <v>174</v>
      </c>
      <c r="AH16" s="8">
        <v>41923</v>
      </c>
      <c r="AI16" s="7"/>
      <c r="AJ16" s="7" t="s">
        <v>107</v>
      </c>
      <c r="AK16" s="7" t="s">
        <v>109</v>
      </c>
      <c r="AL16" s="10" t="s">
        <v>1748</v>
      </c>
      <c r="AM16" s="7">
        <f>VLOOKUP(AL16,Personal!$A$2:$I$300,2,FALSE)</f>
        <v>0</v>
      </c>
      <c r="AN16" s="7" t="str">
        <f>VLOOKUP(AL16,Personal!$A$2:$I$300,3,FALSE)</f>
        <v xml:space="preserve">Tecnologias de Información </v>
      </c>
      <c r="AO16" s="7" t="str">
        <f>VLOOKUP(AL16,Personal!$A$2:$I$300,6,FALSE)</f>
        <v xml:space="preserve">Tecnologias de Información </v>
      </c>
      <c r="AP16" s="7" t="str">
        <f>VLOOKUP(AL16,Personal!$A$2:$I$300,7,FALSE)</f>
        <v xml:space="preserve">Tecnologias de Información </v>
      </c>
      <c r="AQ16" s="7" t="str">
        <f>VLOOKUP(AL16,Personal!$A$2:$I$300,8,FALSE)</f>
        <v xml:space="preserve">Tecnologias de Información </v>
      </c>
      <c r="AR16" s="121" t="s">
        <v>1999</v>
      </c>
    </row>
    <row r="17" spans="2:44" x14ac:dyDescent="0.3">
      <c r="B17" s="6">
        <v>12</v>
      </c>
      <c r="C17" s="6"/>
      <c r="D17" s="6"/>
      <c r="E17" s="6"/>
      <c r="F17" s="6"/>
      <c r="G17" s="7" t="s">
        <v>33</v>
      </c>
      <c r="H17" s="7" t="s">
        <v>29</v>
      </c>
      <c r="I17" s="7" t="s">
        <v>46</v>
      </c>
      <c r="J17" s="7" t="s">
        <v>193</v>
      </c>
      <c r="K17" s="10" t="s">
        <v>200</v>
      </c>
      <c r="L17" s="7" t="s">
        <v>1290</v>
      </c>
      <c r="M17" s="7"/>
      <c r="N17" s="7"/>
      <c r="O17" s="13"/>
      <c r="P17" s="13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8">
        <v>41923</v>
      </c>
      <c r="AI17" s="7"/>
      <c r="AJ17" s="7" t="s">
        <v>107</v>
      </c>
      <c r="AK17" s="7" t="s">
        <v>178</v>
      </c>
      <c r="AL17" s="10" t="s">
        <v>1748</v>
      </c>
      <c r="AM17" s="7">
        <f>VLOOKUP(AL17,Personal!$A$2:$I$300,2,FALSE)</f>
        <v>0</v>
      </c>
      <c r="AN17" s="7" t="str">
        <f>VLOOKUP(AL17,Personal!$A$2:$I$300,3,FALSE)</f>
        <v xml:space="preserve">Tecnologias de Información </v>
      </c>
      <c r="AO17" s="7" t="str">
        <f>VLOOKUP(AL17,Personal!$A$2:$I$300,6,FALSE)</f>
        <v xml:space="preserve">Tecnologias de Información </v>
      </c>
      <c r="AP17" s="7" t="str">
        <f>VLOOKUP(AL17,Personal!$A$2:$I$300,7,FALSE)</f>
        <v xml:space="preserve">Tecnologias de Información </v>
      </c>
      <c r="AQ17" s="7" t="str">
        <f>VLOOKUP(AL17,Personal!$A$2:$I$300,8,FALSE)</f>
        <v xml:space="preserve">Tecnologias de Información </v>
      </c>
      <c r="AR17" s="7"/>
    </row>
    <row r="18" spans="2:44" x14ac:dyDescent="0.3">
      <c r="B18" s="6">
        <v>13</v>
      </c>
      <c r="C18" s="6"/>
      <c r="D18" s="6"/>
      <c r="E18" s="6"/>
      <c r="F18" s="6"/>
      <c r="G18" s="7" t="s">
        <v>33</v>
      </c>
      <c r="H18" s="7" t="s">
        <v>29</v>
      </c>
      <c r="I18" s="7" t="s">
        <v>46</v>
      </c>
      <c r="J18" s="7" t="s">
        <v>193</v>
      </c>
      <c r="K18" s="10" t="s">
        <v>1189</v>
      </c>
      <c r="L18" s="7" t="s">
        <v>1290</v>
      </c>
      <c r="M18" s="7"/>
      <c r="N18" s="7"/>
      <c r="O18" s="13"/>
      <c r="P18" s="13"/>
      <c r="Q18" s="7"/>
      <c r="R18" s="7"/>
      <c r="S18" s="7"/>
      <c r="T18" s="7"/>
      <c r="U18" s="7"/>
      <c r="V18" s="7"/>
      <c r="W18" s="7"/>
      <c r="X18" s="7" t="s">
        <v>54</v>
      </c>
      <c r="Y18" s="7" t="s">
        <v>90</v>
      </c>
      <c r="Z18" s="7" t="s">
        <v>117</v>
      </c>
      <c r="AA18" s="7"/>
      <c r="AB18" s="7"/>
      <c r="AC18" s="7"/>
      <c r="AD18" s="7"/>
      <c r="AE18" s="7"/>
      <c r="AF18" s="7" t="s">
        <v>171</v>
      </c>
      <c r="AG18" s="7"/>
      <c r="AH18" s="8">
        <v>41925</v>
      </c>
      <c r="AI18" s="7"/>
      <c r="AJ18" s="7" t="s">
        <v>107</v>
      </c>
      <c r="AK18" s="7" t="s">
        <v>178</v>
      </c>
      <c r="AL18" s="10" t="s">
        <v>1748</v>
      </c>
      <c r="AM18" s="7">
        <f>VLOOKUP(AL18,Personal!$A$2:$I$300,2,FALSE)</f>
        <v>0</v>
      </c>
      <c r="AN18" s="7" t="str">
        <f>VLOOKUP(AL18,Personal!$A$2:$I$300,3,FALSE)</f>
        <v xml:space="preserve">Tecnologias de Información </v>
      </c>
      <c r="AO18" s="7" t="str">
        <f>VLOOKUP(AL18,Personal!$A$2:$I$300,6,FALSE)</f>
        <v xml:space="preserve">Tecnologias de Información </v>
      </c>
      <c r="AP18" s="7" t="str">
        <f>VLOOKUP(AL18,Personal!$A$2:$I$300,7,FALSE)</f>
        <v xml:space="preserve">Tecnologias de Información </v>
      </c>
      <c r="AQ18" s="7" t="str">
        <f>VLOOKUP(AL18,Personal!$A$2:$I$300,8,FALSE)</f>
        <v xml:space="preserve">Tecnologias de Información </v>
      </c>
      <c r="AR18" s="89"/>
    </row>
    <row r="19" spans="2:44" x14ac:dyDescent="0.3">
      <c r="B19" s="6">
        <v>14</v>
      </c>
      <c r="C19" s="6"/>
      <c r="D19" s="6"/>
      <c r="E19" s="6"/>
      <c r="F19" s="6"/>
      <c r="G19" s="7" t="s">
        <v>33</v>
      </c>
      <c r="H19" s="7" t="s">
        <v>29</v>
      </c>
      <c r="I19" s="7" t="s">
        <v>46</v>
      </c>
      <c r="J19" s="7" t="s">
        <v>193</v>
      </c>
      <c r="K19" s="10" t="s">
        <v>202</v>
      </c>
      <c r="L19" s="7" t="s">
        <v>1290</v>
      </c>
      <c r="M19" s="7"/>
      <c r="N19" s="7"/>
      <c r="O19" s="13"/>
      <c r="P19" s="13"/>
      <c r="Q19" s="7"/>
      <c r="R19" s="7"/>
      <c r="S19" s="7" t="s">
        <v>1481</v>
      </c>
      <c r="T19" s="7"/>
      <c r="U19" s="7" t="s">
        <v>1482</v>
      </c>
      <c r="V19" s="7"/>
      <c r="W19" s="7" t="s">
        <v>1469</v>
      </c>
      <c r="X19" s="7" t="s">
        <v>54</v>
      </c>
      <c r="Y19" s="7" t="s">
        <v>90</v>
      </c>
      <c r="Z19" s="7" t="s">
        <v>117</v>
      </c>
      <c r="AA19" s="7" t="s">
        <v>60</v>
      </c>
      <c r="AB19" s="7"/>
      <c r="AC19" s="7" t="s">
        <v>234</v>
      </c>
      <c r="AD19" s="7"/>
      <c r="AE19" s="7" t="s">
        <v>88</v>
      </c>
      <c r="AF19" s="7" t="s">
        <v>169</v>
      </c>
      <c r="AG19" s="7"/>
      <c r="AH19" s="8">
        <v>41923</v>
      </c>
      <c r="AI19" s="7"/>
      <c r="AJ19" s="7" t="s">
        <v>107</v>
      </c>
      <c r="AK19" s="7" t="s">
        <v>109</v>
      </c>
      <c r="AL19" s="9" t="s">
        <v>2117</v>
      </c>
      <c r="AM19" s="7">
        <f>VLOOKUP(AL19,Personal!$A$2:$I$300,2,FALSE)</f>
        <v>0</v>
      </c>
      <c r="AN19" s="7" t="str">
        <f>VLOOKUP(AL19,Personal!$A$2:$I$300,3,FALSE)</f>
        <v>Control y Monitoreo</v>
      </c>
      <c r="AO19" s="7" t="str">
        <f>VLOOKUP(AL19,Personal!$A$2:$I$300,6,FALSE)</f>
        <v>Empleado Puesto de Control</v>
      </c>
      <c r="AP19" s="7" t="str">
        <f>VLOOKUP(AL19,Personal!$A$2:$I$300,7,FALSE)</f>
        <v>Control y Monitoreo</v>
      </c>
      <c r="AQ19" s="7" t="str">
        <f>VLOOKUP(AL19,Personal!$A$2:$I$300,8,FALSE)</f>
        <v>Control y Monitoreo</v>
      </c>
      <c r="AR19" s="89"/>
    </row>
    <row r="20" spans="2:44" x14ac:dyDescent="0.3">
      <c r="B20" s="6">
        <v>15</v>
      </c>
      <c r="C20" s="6"/>
      <c r="D20" s="6"/>
      <c r="E20" s="6"/>
      <c r="F20" s="6"/>
      <c r="G20" s="7" t="s">
        <v>33</v>
      </c>
      <c r="H20" s="7" t="s">
        <v>29</v>
      </c>
      <c r="I20" s="7" t="s">
        <v>46</v>
      </c>
      <c r="J20" s="7" t="s">
        <v>193</v>
      </c>
      <c r="K20" s="10" t="s">
        <v>203</v>
      </c>
      <c r="L20" s="7" t="s">
        <v>1290</v>
      </c>
      <c r="M20" s="7"/>
      <c r="N20" s="7"/>
      <c r="O20" s="13"/>
      <c r="P20" s="13"/>
      <c r="Q20" s="7"/>
      <c r="R20" s="7"/>
      <c r="S20" s="7" t="s">
        <v>1162</v>
      </c>
      <c r="T20" s="7"/>
      <c r="U20" s="7" t="s">
        <v>1446</v>
      </c>
      <c r="V20" s="7"/>
      <c r="W20" s="7" t="s">
        <v>1529</v>
      </c>
      <c r="X20" s="7" t="s">
        <v>54</v>
      </c>
      <c r="Y20" s="7" t="s">
        <v>90</v>
      </c>
      <c r="Z20" s="7" t="s">
        <v>117</v>
      </c>
      <c r="AA20" s="7" t="s">
        <v>60</v>
      </c>
      <c r="AB20" s="7"/>
      <c r="AC20" s="7" t="s">
        <v>234</v>
      </c>
      <c r="AD20" s="7"/>
      <c r="AE20" s="7" t="s">
        <v>88</v>
      </c>
      <c r="AF20" s="7" t="s">
        <v>169</v>
      </c>
      <c r="AG20" s="7" t="s">
        <v>175</v>
      </c>
      <c r="AH20" s="8">
        <v>41923</v>
      </c>
      <c r="AI20" s="7"/>
      <c r="AJ20" s="7" t="s">
        <v>107</v>
      </c>
      <c r="AK20" s="7" t="s">
        <v>109</v>
      </c>
      <c r="AL20" s="9" t="s">
        <v>254</v>
      </c>
      <c r="AM20" s="7" t="str">
        <f>VLOOKUP(AL20,Personal!$A$2:$I$300,2,FALSE)</f>
        <v>0000000031</v>
      </c>
      <c r="AN20" s="7" t="str">
        <f>VLOOKUP(AL20,Personal!$A$2:$I$300,3,FALSE)</f>
        <v>MEDINA CASTILLO ALVARO GERARDO</v>
      </c>
      <c r="AO20" s="7" t="str">
        <f>VLOOKUP(AL20,Personal!$A$2:$I$300,6,FALSE)</f>
        <v xml:space="preserve">Sub Gerente de A&amp;B </v>
      </c>
      <c r="AP20" s="7" t="str">
        <f>VLOOKUP(AL20,Personal!$A$2:$I$300,7,FALSE)</f>
        <v>Gerencia A&amp;B</v>
      </c>
      <c r="AQ20" s="7" t="str">
        <f>VLOOKUP(AL20,Personal!$A$2:$I$300,8,FALSE)</f>
        <v>Alimentos y Bebidas</v>
      </c>
      <c r="AR20" s="89"/>
    </row>
    <row r="21" spans="2:44" x14ac:dyDescent="0.3">
      <c r="B21" s="6">
        <v>16</v>
      </c>
      <c r="C21" s="6"/>
      <c r="D21" s="6"/>
      <c r="E21" s="6"/>
      <c r="F21" s="6"/>
      <c r="G21" s="7" t="s">
        <v>33</v>
      </c>
      <c r="H21" s="7" t="s">
        <v>29</v>
      </c>
      <c r="I21" s="7" t="s">
        <v>46</v>
      </c>
      <c r="J21" s="7" t="s">
        <v>193</v>
      </c>
      <c r="K21" s="10" t="s">
        <v>204</v>
      </c>
      <c r="L21" s="7" t="s">
        <v>1290</v>
      </c>
      <c r="M21" s="7"/>
      <c r="N21" s="7"/>
      <c r="O21" s="13"/>
      <c r="P21" s="13"/>
      <c r="Q21" s="7"/>
      <c r="R21" s="7"/>
      <c r="S21" s="7"/>
      <c r="T21" s="7"/>
      <c r="U21" s="7" t="s">
        <v>1445</v>
      </c>
      <c r="V21" s="7"/>
      <c r="W21" s="7" t="s">
        <v>1026</v>
      </c>
      <c r="X21" s="7" t="s">
        <v>54</v>
      </c>
      <c r="Y21" s="7" t="s">
        <v>90</v>
      </c>
      <c r="Z21" s="7" t="s">
        <v>117</v>
      </c>
      <c r="AA21" s="7" t="s">
        <v>60</v>
      </c>
      <c r="AB21" s="7"/>
      <c r="AC21" s="7" t="s">
        <v>234</v>
      </c>
      <c r="AD21" s="7"/>
      <c r="AE21" s="7" t="s">
        <v>88</v>
      </c>
      <c r="AF21" s="7" t="s">
        <v>169</v>
      </c>
      <c r="AG21" s="7" t="s">
        <v>174</v>
      </c>
      <c r="AH21" s="8">
        <v>41923</v>
      </c>
      <c r="AI21" s="7"/>
      <c r="AJ21" s="7" t="s">
        <v>107</v>
      </c>
      <c r="AK21" s="7" t="s">
        <v>109</v>
      </c>
      <c r="AL21" s="10">
        <v>40235456</v>
      </c>
      <c r="AM21" s="7" t="str">
        <f>VLOOKUP(AL21,Personal!$A$2:$I$300,2,FALSE)</f>
        <v>0000000806</v>
      </c>
      <c r="AN21" s="7" t="str">
        <f>VLOOKUP(AL21,Personal!$A$2:$I$300,3,FALSE)</f>
        <v>TRUJILLO GARAY MONICA ALEJANDRA</v>
      </c>
      <c r="AO21" s="7" t="str">
        <f>VLOOKUP(AL21,Personal!$A$2:$I$300,6,FALSE)</f>
        <v>Gerente de Congresos y Convenciones</v>
      </c>
      <c r="AP21" s="7" t="str">
        <f>VLOOKUP(AL21,Personal!$A$2:$I$300,7,FALSE)</f>
        <v>Ventas</v>
      </c>
      <c r="AQ21" s="7" t="str">
        <f>VLOOKUP(AL21,Personal!$A$2:$I$300,8,FALSE)</f>
        <v>Ventas y Marketing</v>
      </c>
      <c r="AR21" s="89"/>
    </row>
    <row r="22" spans="2:44" x14ac:dyDescent="0.3">
      <c r="B22" s="6">
        <v>17</v>
      </c>
      <c r="C22" s="6"/>
      <c r="D22" s="6"/>
      <c r="E22" s="6"/>
      <c r="F22" s="6"/>
      <c r="G22" s="7" t="s">
        <v>33</v>
      </c>
      <c r="H22" s="7" t="s">
        <v>29</v>
      </c>
      <c r="I22" s="7" t="s">
        <v>46</v>
      </c>
      <c r="J22" s="7" t="s">
        <v>193</v>
      </c>
      <c r="K22" s="10" t="s">
        <v>205</v>
      </c>
      <c r="L22" s="7" t="s">
        <v>1290</v>
      </c>
      <c r="M22" s="7"/>
      <c r="N22" s="7"/>
      <c r="O22" s="13"/>
      <c r="P22" s="13"/>
      <c r="Q22" s="7"/>
      <c r="R22" s="7"/>
      <c r="S22" s="7"/>
      <c r="T22" s="7"/>
      <c r="U22" s="7"/>
      <c r="V22" s="7"/>
      <c r="W22" s="7"/>
      <c r="X22" s="7" t="s">
        <v>54</v>
      </c>
      <c r="Y22" s="7" t="s">
        <v>90</v>
      </c>
      <c r="Z22" s="7" t="s">
        <v>117</v>
      </c>
      <c r="AA22" s="7" t="s">
        <v>60</v>
      </c>
      <c r="AB22" s="7"/>
      <c r="AC22" s="7"/>
      <c r="AD22" s="7"/>
      <c r="AE22" s="7" t="s">
        <v>88</v>
      </c>
      <c r="AF22" s="7" t="s">
        <v>171</v>
      </c>
      <c r="AG22" s="7"/>
      <c r="AH22" s="8">
        <v>41925</v>
      </c>
      <c r="AI22" s="7"/>
      <c r="AJ22" s="7" t="s">
        <v>107</v>
      </c>
      <c r="AK22" s="7" t="s">
        <v>176</v>
      </c>
      <c r="AL22" s="10" t="s">
        <v>1748</v>
      </c>
      <c r="AM22" s="7">
        <f>VLOOKUP(AL22,Personal!$A$2:$I$300,2,FALSE)</f>
        <v>0</v>
      </c>
      <c r="AN22" s="7" t="str">
        <f>VLOOKUP(AL22,Personal!$A$2:$I$300,3,FALSE)</f>
        <v xml:space="preserve">Tecnologias de Información </v>
      </c>
      <c r="AO22" s="7" t="str">
        <f>VLOOKUP(AL22,Personal!$A$2:$I$300,6,FALSE)</f>
        <v xml:space="preserve">Tecnologias de Información </v>
      </c>
      <c r="AP22" s="7" t="str">
        <f>VLOOKUP(AL22,Personal!$A$2:$I$300,7,FALSE)</f>
        <v xml:space="preserve">Tecnologias de Información </v>
      </c>
      <c r="AQ22" s="7" t="str">
        <f>VLOOKUP(AL22,Personal!$A$2:$I$300,8,FALSE)</f>
        <v xml:space="preserve">Tecnologias de Información </v>
      </c>
      <c r="AR22" s="89" t="s">
        <v>199</v>
      </c>
    </row>
    <row r="23" spans="2:44" x14ac:dyDescent="0.3">
      <c r="B23" s="6">
        <v>18</v>
      </c>
      <c r="C23" s="6"/>
      <c r="D23" s="6"/>
      <c r="E23" s="6"/>
      <c r="F23" s="6"/>
      <c r="G23" s="7" t="s">
        <v>127</v>
      </c>
      <c r="H23" s="7" t="s">
        <v>29</v>
      </c>
      <c r="I23" s="7" t="s">
        <v>47</v>
      </c>
      <c r="J23" s="7" t="s">
        <v>207</v>
      </c>
      <c r="K23" s="10" t="s">
        <v>208</v>
      </c>
      <c r="L23" s="7"/>
      <c r="M23" s="7"/>
      <c r="N23" s="7"/>
      <c r="O23" s="13"/>
      <c r="P23" s="13"/>
      <c r="Q23" s="7"/>
      <c r="R23" s="7"/>
      <c r="S23" s="7"/>
      <c r="T23" s="7" t="s">
        <v>209</v>
      </c>
      <c r="U23" s="7"/>
      <c r="V23" s="7"/>
      <c r="W23" s="7"/>
      <c r="X23" s="7" t="s">
        <v>140</v>
      </c>
      <c r="Y23" s="7"/>
      <c r="Z23" s="7"/>
      <c r="AA23" s="7" t="s">
        <v>213</v>
      </c>
      <c r="AB23" s="7"/>
      <c r="AC23" s="7" t="s">
        <v>211</v>
      </c>
      <c r="AD23" s="7" t="s">
        <v>151</v>
      </c>
      <c r="AE23" s="7" t="s">
        <v>162</v>
      </c>
      <c r="AF23" s="7" t="s">
        <v>172</v>
      </c>
      <c r="AG23" s="7"/>
      <c r="AH23" s="8"/>
      <c r="AI23" s="7"/>
      <c r="AJ23" s="7" t="s">
        <v>107</v>
      </c>
      <c r="AK23" s="7" t="s">
        <v>180</v>
      </c>
      <c r="AL23" s="10" t="s">
        <v>1748</v>
      </c>
      <c r="AM23" s="7">
        <f>VLOOKUP(AL23,Personal!$A$2:$I$300,2,FALSE)</f>
        <v>0</v>
      </c>
      <c r="AN23" s="7" t="str">
        <f>VLOOKUP(AL23,Personal!$A$2:$I$300,3,FALSE)</f>
        <v xml:space="preserve">Tecnologias de Información </v>
      </c>
      <c r="AO23" s="7" t="str">
        <f>VLOOKUP(AL23,Personal!$A$2:$I$300,6,FALSE)</f>
        <v xml:space="preserve">Tecnologias de Información </v>
      </c>
      <c r="AP23" s="7" t="str">
        <f>VLOOKUP(AL23,Personal!$A$2:$I$300,7,FALSE)</f>
        <v xml:space="preserve">Tecnologias de Información </v>
      </c>
      <c r="AQ23" s="7" t="str">
        <f>VLOOKUP(AL23,Personal!$A$2:$I$300,8,FALSE)</f>
        <v xml:space="preserve">Tecnologias de Información </v>
      </c>
      <c r="AR23" s="7" t="s">
        <v>215</v>
      </c>
    </row>
    <row r="24" spans="2:44" x14ac:dyDescent="0.3">
      <c r="B24" s="6">
        <v>19</v>
      </c>
      <c r="C24" s="6"/>
      <c r="D24" s="6"/>
      <c r="E24" s="6"/>
      <c r="F24" s="6"/>
      <c r="G24" s="7" t="s">
        <v>33</v>
      </c>
      <c r="H24" s="7" t="s">
        <v>29</v>
      </c>
      <c r="I24" s="7" t="s">
        <v>216</v>
      </c>
      <c r="J24" s="7" t="s">
        <v>217</v>
      </c>
      <c r="K24" s="10">
        <v>1601631981</v>
      </c>
      <c r="L24" s="7"/>
      <c r="M24" s="7"/>
      <c r="N24" s="7"/>
      <c r="O24" s="13"/>
      <c r="P24" s="13"/>
      <c r="Q24" s="7"/>
      <c r="R24" s="7"/>
      <c r="S24" s="7"/>
      <c r="T24" s="7"/>
      <c r="U24" s="7"/>
      <c r="V24" s="7"/>
      <c r="W24" s="7"/>
      <c r="X24" s="7" t="s">
        <v>53</v>
      </c>
      <c r="Y24" s="7" t="s">
        <v>91</v>
      </c>
      <c r="Z24" s="7" t="s">
        <v>117</v>
      </c>
      <c r="AA24" s="7" t="s">
        <v>58</v>
      </c>
      <c r="AB24" s="7"/>
      <c r="AC24" s="7" t="s">
        <v>234</v>
      </c>
      <c r="AD24" s="7"/>
      <c r="AE24" s="7" t="s">
        <v>88</v>
      </c>
      <c r="AF24" s="7" t="s">
        <v>171</v>
      </c>
      <c r="AG24" s="7"/>
      <c r="AH24" s="8"/>
      <c r="AI24" s="7"/>
      <c r="AJ24" s="7" t="s">
        <v>107</v>
      </c>
      <c r="AK24" s="7" t="s">
        <v>176</v>
      </c>
      <c r="AL24" s="10" t="s">
        <v>1748</v>
      </c>
      <c r="AM24" s="7">
        <f>VLOOKUP(AL24,Personal!$A$2:$I$300,2,FALSE)</f>
        <v>0</v>
      </c>
      <c r="AN24" s="7" t="str">
        <f>VLOOKUP(AL24,Personal!$A$2:$I$300,3,FALSE)</f>
        <v xml:space="preserve">Tecnologias de Información </v>
      </c>
      <c r="AO24" s="7" t="str">
        <f>VLOOKUP(AL24,Personal!$A$2:$I$300,6,FALSE)</f>
        <v xml:space="preserve">Tecnologias de Información </v>
      </c>
      <c r="AP24" s="7" t="str">
        <f>VLOOKUP(AL24,Personal!$A$2:$I$300,7,FALSE)</f>
        <v xml:space="preserve">Tecnologias de Información </v>
      </c>
      <c r="AQ24" s="7" t="str">
        <f>VLOOKUP(AL24,Personal!$A$2:$I$300,8,FALSE)</f>
        <v xml:space="preserve">Tecnologias de Información </v>
      </c>
      <c r="AR24" s="7" t="s">
        <v>218</v>
      </c>
    </row>
    <row r="25" spans="2:44" x14ac:dyDescent="0.3">
      <c r="B25" s="6">
        <v>20</v>
      </c>
      <c r="C25" s="6"/>
      <c r="D25" s="6"/>
      <c r="E25" s="6"/>
      <c r="F25" s="6"/>
      <c r="G25" s="7" t="s">
        <v>33</v>
      </c>
      <c r="H25" s="7" t="s">
        <v>29</v>
      </c>
      <c r="I25" s="7" t="s">
        <v>216</v>
      </c>
      <c r="J25" s="7" t="s">
        <v>217</v>
      </c>
      <c r="K25" s="10">
        <v>1601631938</v>
      </c>
      <c r="L25" s="7"/>
      <c r="M25" s="7"/>
      <c r="N25" s="7"/>
      <c r="O25" s="13"/>
      <c r="P25" s="13"/>
      <c r="Q25" s="7"/>
      <c r="R25" s="7"/>
      <c r="S25" s="7"/>
      <c r="T25" s="7"/>
      <c r="U25" s="7"/>
      <c r="V25" s="7"/>
      <c r="W25" s="7"/>
      <c r="X25" s="7" t="s">
        <v>53</v>
      </c>
      <c r="Y25" s="7" t="s">
        <v>91</v>
      </c>
      <c r="Z25" s="7" t="s">
        <v>117</v>
      </c>
      <c r="AA25" s="7"/>
      <c r="AB25" s="7"/>
      <c r="AC25" s="7"/>
      <c r="AD25" s="7"/>
      <c r="AE25" s="7"/>
      <c r="AF25" s="7"/>
      <c r="AG25" s="7"/>
      <c r="AH25" s="8"/>
      <c r="AI25" s="7"/>
      <c r="AJ25" s="7" t="s">
        <v>107</v>
      </c>
      <c r="AK25" s="7" t="s">
        <v>178</v>
      </c>
      <c r="AL25" s="10" t="s">
        <v>1748</v>
      </c>
      <c r="AM25" s="7">
        <f>VLOOKUP(AL25,Personal!$A$2:$I$300,2,FALSE)</f>
        <v>0</v>
      </c>
      <c r="AN25" s="7" t="str">
        <f>VLOOKUP(AL25,Personal!$A$2:$I$300,3,FALSE)</f>
        <v xml:space="preserve">Tecnologias de Información </v>
      </c>
      <c r="AO25" s="7" t="str">
        <f>VLOOKUP(AL25,Personal!$A$2:$I$300,6,FALSE)</f>
        <v xml:space="preserve">Tecnologias de Información </v>
      </c>
      <c r="AP25" s="7" t="str">
        <f>VLOOKUP(AL25,Personal!$A$2:$I$300,7,FALSE)</f>
        <v xml:space="preserve">Tecnologias de Información </v>
      </c>
      <c r="AQ25" s="7" t="str">
        <f>VLOOKUP(AL25,Personal!$A$2:$I$300,8,FALSE)</f>
        <v xml:space="preserve">Tecnologias de Información </v>
      </c>
      <c r="AR25" s="7"/>
    </row>
    <row r="26" spans="2:44" x14ac:dyDescent="0.3">
      <c r="B26" s="6">
        <v>21</v>
      </c>
      <c r="C26" s="6"/>
      <c r="D26" s="6"/>
      <c r="E26" s="6"/>
      <c r="F26" s="6"/>
      <c r="G26" s="7" t="s">
        <v>33</v>
      </c>
      <c r="H26" s="7" t="s">
        <v>29</v>
      </c>
      <c r="I26" s="7" t="s">
        <v>47</v>
      </c>
      <c r="J26" s="7" t="s">
        <v>187</v>
      </c>
      <c r="K26" s="10" t="s">
        <v>219</v>
      </c>
      <c r="L26" s="7" t="s">
        <v>189</v>
      </c>
      <c r="M26" s="7"/>
      <c r="N26" s="7"/>
      <c r="O26" s="13"/>
      <c r="P26" s="13"/>
      <c r="Q26" s="7"/>
      <c r="R26" s="7"/>
      <c r="S26" s="7" t="s">
        <v>221</v>
      </c>
      <c r="T26" s="7" t="s">
        <v>220</v>
      </c>
      <c r="U26" s="7"/>
      <c r="V26" s="7"/>
      <c r="W26" s="7"/>
      <c r="X26" s="7" t="s">
        <v>55</v>
      </c>
      <c r="Y26" s="7" t="s">
        <v>101</v>
      </c>
      <c r="Z26" s="7" t="s">
        <v>117</v>
      </c>
      <c r="AA26" s="7" t="s">
        <v>62</v>
      </c>
      <c r="AB26" s="7"/>
      <c r="AC26" s="7" t="s">
        <v>79</v>
      </c>
      <c r="AD26" s="7"/>
      <c r="AE26" s="7" t="s">
        <v>88</v>
      </c>
      <c r="AF26" s="7" t="s">
        <v>171</v>
      </c>
      <c r="AG26" s="7"/>
      <c r="AH26" s="8"/>
      <c r="AI26" s="7"/>
      <c r="AJ26" s="7" t="s">
        <v>107</v>
      </c>
      <c r="AK26" s="7" t="s">
        <v>176</v>
      </c>
      <c r="AL26" s="10" t="s">
        <v>1748</v>
      </c>
      <c r="AM26" s="7">
        <f>VLOOKUP(AL26,Personal!$A$2:$I$300,2,FALSE)</f>
        <v>0</v>
      </c>
      <c r="AN26" s="7" t="str">
        <f>VLOOKUP(AL26,Personal!$A$2:$I$300,3,FALSE)</f>
        <v xml:space="preserve">Tecnologias de Información </v>
      </c>
      <c r="AO26" s="7" t="str">
        <f>VLOOKUP(AL26,Personal!$A$2:$I$300,6,FALSE)</f>
        <v xml:space="preserve">Tecnologias de Información </v>
      </c>
      <c r="AP26" s="7" t="str">
        <f>VLOOKUP(AL26,Personal!$A$2:$I$300,7,FALSE)</f>
        <v xml:space="preserve">Tecnologias de Información </v>
      </c>
      <c r="AQ26" s="7" t="str">
        <f>VLOOKUP(AL26,Personal!$A$2:$I$300,8,FALSE)</f>
        <v xml:space="preserve">Tecnologias de Información </v>
      </c>
      <c r="AR26" s="7" t="s">
        <v>225</v>
      </c>
    </row>
    <row r="27" spans="2:44" x14ac:dyDescent="0.3">
      <c r="B27" s="6">
        <v>22</v>
      </c>
      <c r="C27" s="6"/>
      <c r="D27" s="6"/>
      <c r="E27" s="6"/>
      <c r="F27" s="6"/>
      <c r="G27" s="7" t="s">
        <v>33</v>
      </c>
      <c r="H27" s="7" t="s">
        <v>29</v>
      </c>
      <c r="I27" s="7" t="s">
        <v>49</v>
      </c>
      <c r="J27" s="7" t="s">
        <v>183</v>
      </c>
      <c r="K27" s="10" t="s">
        <v>222</v>
      </c>
      <c r="L27" s="7" t="s">
        <v>184</v>
      </c>
      <c r="M27" s="7"/>
      <c r="N27" s="7"/>
      <c r="O27" s="13"/>
      <c r="P27" s="13"/>
      <c r="Q27" s="7"/>
      <c r="R27" s="7"/>
      <c r="S27" s="7"/>
      <c r="T27" s="7"/>
      <c r="U27" s="7"/>
      <c r="V27" s="7"/>
      <c r="W27" s="7"/>
      <c r="X27" s="7" t="s">
        <v>54</v>
      </c>
      <c r="Y27" s="7" t="s">
        <v>133</v>
      </c>
      <c r="Z27" s="7" t="s">
        <v>117</v>
      </c>
      <c r="AA27" s="7"/>
      <c r="AB27" s="7"/>
      <c r="AC27" s="7"/>
      <c r="AD27" s="7"/>
      <c r="AE27" s="7"/>
      <c r="AF27" s="7" t="s">
        <v>172</v>
      </c>
      <c r="AG27" s="7"/>
      <c r="AH27" s="8"/>
      <c r="AI27" s="7"/>
      <c r="AJ27" s="7" t="s">
        <v>107</v>
      </c>
      <c r="AK27" s="7" t="s">
        <v>177</v>
      </c>
      <c r="AL27" s="10" t="s">
        <v>1748</v>
      </c>
      <c r="AM27" s="7">
        <f>VLOOKUP(AL27,Personal!$A$2:$I$300,2,FALSE)</f>
        <v>0</v>
      </c>
      <c r="AN27" s="7" t="str">
        <f>VLOOKUP(AL27,Personal!$A$2:$I$300,3,FALSE)</f>
        <v xml:space="preserve">Tecnologias de Información </v>
      </c>
      <c r="AO27" s="7" t="str">
        <f>VLOOKUP(AL27,Personal!$A$2:$I$300,6,FALSE)</f>
        <v xml:space="preserve">Tecnologias de Información </v>
      </c>
      <c r="AP27" s="7" t="str">
        <f>VLOOKUP(AL27,Personal!$A$2:$I$300,7,FALSE)</f>
        <v xml:space="preserve">Tecnologias de Información </v>
      </c>
      <c r="AQ27" s="7" t="str">
        <f>VLOOKUP(AL27,Personal!$A$2:$I$300,8,FALSE)</f>
        <v xml:space="preserve">Tecnologias de Información </v>
      </c>
      <c r="AR27" s="89"/>
    </row>
    <row r="28" spans="2:44" x14ac:dyDescent="0.3">
      <c r="B28" s="6">
        <v>23</v>
      </c>
      <c r="C28" s="6"/>
      <c r="D28" s="6"/>
      <c r="E28" s="6"/>
      <c r="F28" s="6"/>
      <c r="G28" s="7" t="s">
        <v>33</v>
      </c>
      <c r="H28" s="7" t="s">
        <v>29</v>
      </c>
      <c r="I28" s="7" t="s">
        <v>47</v>
      </c>
      <c r="J28" s="7" t="s">
        <v>187</v>
      </c>
      <c r="K28" s="10" t="s">
        <v>223</v>
      </c>
      <c r="L28" s="7" t="s">
        <v>189</v>
      </c>
      <c r="M28" s="7"/>
      <c r="N28" s="7"/>
      <c r="O28" s="13"/>
      <c r="P28" s="13"/>
      <c r="Q28" s="7"/>
      <c r="R28" s="7"/>
      <c r="S28" s="7" t="s">
        <v>1423</v>
      </c>
      <c r="T28" s="7"/>
      <c r="U28" s="7" t="s">
        <v>1444</v>
      </c>
      <c r="V28" s="7"/>
      <c r="W28" s="7" t="s">
        <v>1424</v>
      </c>
      <c r="X28" s="7" t="s">
        <v>55</v>
      </c>
      <c r="Y28" s="7" t="s">
        <v>101</v>
      </c>
      <c r="Z28" s="7" t="s">
        <v>117</v>
      </c>
      <c r="AA28" s="7" t="s">
        <v>73</v>
      </c>
      <c r="AB28" s="7"/>
      <c r="AC28" s="7" t="s">
        <v>79</v>
      </c>
      <c r="AD28" s="7"/>
      <c r="AE28" s="7" t="s">
        <v>88</v>
      </c>
      <c r="AF28" s="7" t="s">
        <v>169</v>
      </c>
      <c r="AG28" s="7" t="s">
        <v>174</v>
      </c>
      <c r="AH28" s="8"/>
      <c r="AI28" s="7"/>
      <c r="AJ28" s="7" t="s">
        <v>107</v>
      </c>
      <c r="AK28" s="7" t="s">
        <v>109</v>
      </c>
      <c r="AL28" s="10" t="s">
        <v>1651</v>
      </c>
      <c r="AM28" s="7" t="str">
        <f>VLOOKUP(AL28,Personal!$A$2:$I$300,2,FALSE)</f>
        <v>Front Desk</v>
      </c>
      <c r="AN28" s="7" t="str">
        <f>VLOOKUP(AL28,Personal!$A$2:$I$300,3,FALSE)</f>
        <v>Front Desk 1</v>
      </c>
      <c r="AO28" s="7" t="str">
        <f>VLOOKUP(AL28,Personal!$A$2:$I$300,6,FALSE)</f>
        <v>Recepcionista</v>
      </c>
      <c r="AP28" s="7" t="str">
        <f>VLOOKUP(AL28,Personal!$A$2:$I$300,7,FALSE)</f>
        <v>Recepción</v>
      </c>
      <c r="AQ28" s="7" t="str">
        <f>VLOOKUP(AL28,Personal!$A$2:$I$300,8,FALSE)</f>
        <v>División de Habitaciones (Operaciones)</v>
      </c>
      <c r="AR28" s="7" t="s">
        <v>224</v>
      </c>
    </row>
    <row r="29" spans="2:44" x14ac:dyDescent="0.3">
      <c r="B29" s="6">
        <v>24</v>
      </c>
      <c r="C29" s="6"/>
      <c r="D29" s="6"/>
      <c r="E29" s="6"/>
      <c r="F29" s="6"/>
      <c r="G29" s="7" t="s">
        <v>35</v>
      </c>
      <c r="H29" s="7" t="s">
        <v>29</v>
      </c>
      <c r="I29" s="7" t="s">
        <v>46</v>
      </c>
      <c r="J29" s="7" t="s">
        <v>226</v>
      </c>
      <c r="K29" s="10" t="s">
        <v>227</v>
      </c>
      <c r="L29" s="7"/>
      <c r="M29" s="7"/>
      <c r="N29" s="7"/>
      <c r="O29" s="13"/>
      <c r="P29" s="13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 t="s">
        <v>230</v>
      </c>
      <c r="AE29" s="7"/>
      <c r="AF29" s="7"/>
      <c r="AG29" s="7"/>
      <c r="AH29" s="8"/>
      <c r="AI29" s="7"/>
      <c r="AJ29" s="7" t="s">
        <v>107</v>
      </c>
      <c r="AK29" s="7" t="s">
        <v>109</v>
      </c>
      <c r="AL29" s="9" t="s">
        <v>288</v>
      </c>
      <c r="AM29" s="7" t="str">
        <f>VLOOKUP(AL29,Personal!$A$2:$I$300,2,FALSE)</f>
        <v>0000000269</v>
      </c>
      <c r="AN29" s="7" t="str">
        <f>VLOOKUP(AL29,Personal!$A$2:$I$300,3,FALSE)</f>
        <v>VEGA ARRATEA JAVIER VICTOR</v>
      </c>
      <c r="AO29" s="7" t="str">
        <f>VLOOKUP(AL29,Personal!$A$2:$I$300,6,FALSE)</f>
        <v>Supervisor Jr. de Steward</v>
      </c>
      <c r="AP29" s="7" t="str">
        <f>VLOOKUP(AL29,Personal!$A$2:$I$300,7,FALSE)</f>
        <v>Steward</v>
      </c>
      <c r="AQ29" s="7" t="str">
        <f>VLOOKUP(AL29,Personal!$A$2:$I$300,8,FALSE)</f>
        <v>Alimentos y Bebidas</v>
      </c>
      <c r="AR29" s="7"/>
    </row>
    <row r="30" spans="2:44" x14ac:dyDescent="0.3">
      <c r="B30" s="6">
        <v>25</v>
      </c>
      <c r="C30" s="6"/>
      <c r="D30" s="6"/>
      <c r="E30" s="6"/>
      <c r="F30" s="6"/>
      <c r="G30" s="7" t="s">
        <v>35</v>
      </c>
      <c r="H30" s="7" t="s">
        <v>29</v>
      </c>
      <c r="I30" s="7" t="s">
        <v>46</v>
      </c>
      <c r="J30" s="7" t="s">
        <v>226</v>
      </c>
      <c r="K30" s="10" t="s">
        <v>231</v>
      </c>
      <c r="L30" s="7"/>
      <c r="M30" s="7"/>
      <c r="N30" s="7"/>
      <c r="O30" s="13"/>
      <c r="P30" s="13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 t="s">
        <v>230</v>
      </c>
      <c r="AE30" s="7"/>
      <c r="AF30" s="7"/>
      <c r="AG30" s="7"/>
      <c r="AH30" s="8"/>
      <c r="AI30" s="7"/>
      <c r="AJ30" s="7" t="s">
        <v>107</v>
      </c>
      <c r="AK30" s="7" t="s">
        <v>176</v>
      </c>
      <c r="AL30" s="10" t="s">
        <v>1748</v>
      </c>
      <c r="AM30" s="7">
        <f>VLOOKUP(AL30,Personal!$A$2:$I$300,2,FALSE)</f>
        <v>0</v>
      </c>
      <c r="AN30" s="7" t="str">
        <f>VLOOKUP(AL30,Personal!$A$2:$I$300,3,FALSE)</f>
        <v xml:space="preserve">Tecnologias de Información </v>
      </c>
      <c r="AO30" s="7" t="str">
        <f>VLOOKUP(AL30,Personal!$A$2:$I$300,6,FALSE)</f>
        <v xml:space="preserve">Tecnologias de Información </v>
      </c>
      <c r="AP30" s="7" t="str">
        <f>VLOOKUP(AL30,Personal!$A$2:$I$300,7,FALSE)</f>
        <v xml:space="preserve">Tecnologias de Información </v>
      </c>
      <c r="AQ30" s="7" t="str">
        <f>VLOOKUP(AL30,Personal!$A$2:$I$300,8,FALSE)</f>
        <v xml:space="preserve">Tecnologias de Información </v>
      </c>
      <c r="AR30" s="7"/>
    </row>
    <row r="31" spans="2:44" x14ac:dyDescent="0.3">
      <c r="B31" s="6">
        <v>26</v>
      </c>
      <c r="C31" s="6"/>
      <c r="D31" s="6"/>
      <c r="E31" s="6"/>
      <c r="F31" s="6"/>
      <c r="G31" s="7" t="s">
        <v>35</v>
      </c>
      <c r="H31" s="7" t="s">
        <v>29</v>
      </c>
      <c r="I31" s="7" t="s">
        <v>125</v>
      </c>
      <c r="J31" s="7" t="s">
        <v>232</v>
      </c>
      <c r="K31" s="10" t="s">
        <v>233</v>
      </c>
      <c r="L31" s="7"/>
      <c r="M31" s="7"/>
      <c r="N31" s="7"/>
      <c r="O31" s="13"/>
      <c r="P31" s="13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 t="s">
        <v>82</v>
      </c>
      <c r="AE31" s="7"/>
      <c r="AF31" s="7"/>
      <c r="AG31" s="7"/>
      <c r="AH31" s="8"/>
      <c r="AI31" s="7"/>
      <c r="AJ31" s="7" t="s">
        <v>107</v>
      </c>
      <c r="AK31" s="7" t="s">
        <v>176</v>
      </c>
      <c r="AL31" s="10" t="s">
        <v>1748</v>
      </c>
      <c r="AM31" s="7">
        <f>VLOOKUP(AL31,Personal!$A$2:$I$300,2,FALSE)</f>
        <v>0</v>
      </c>
      <c r="AN31" s="7" t="str">
        <f>VLOOKUP(AL31,Personal!$A$2:$I$300,3,FALSE)</f>
        <v xml:space="preserve">Tecnologias de Información </v>
      </c>
      <c r="AO31" s="7" t="str">
        <f>VLOOKUP(AL31,Personal!$A$2:$I$300,6,FALSE)</f>
        <v xml:space="preserve">Tecnologias de Información </v>
      </c>
      <c r="AP31" s="7" t="str">
        <f>VLOOKUP(AL31,Personal!$A$2:$I$300,7,FALSE)</f>
        <v xml:space="preserve">Tecnologias de Información </v>
      </c>
      <c r="AQ31" s="7" t="str">
        <f>VLOOKUP(AL31,Personal!$A$2:$I$300,8,FALSE)</f>
        <v xml:space="preserve">Tecnologias de Información </v>
      </c>
      <c r="AR31" s="7"/>
    </row>
    <row r="32" spans="2:44" x14ac:dyDescent="0.3">
      <c r="B32" s="6">
        <v>27</v>
      </c>
      <c r="C32" s="6"/>
      <c r="D32" s="6"/>
      <c r="E32" s="6"/>
      <c r="F32" s="6"/>
      <c r="G32" s="7" t="s">
        <v>33</v>
      </c>
      <c r="H32" s="7" t="s">
        <v>29</v>
      </c>
      <c r="I32" s="7" t="s">
        <v>48</v>
      </c>
      <c r="J32" s="7"/>
      <c r="K32" s="7" t="s">
        <v>235</v>
      </c>
      <c r="L32" s="7"/>
      <c r="M32" s="7"/>
      <c r="N32" s="7"/>
      <c r="O32" s="13"/>
      <c r="P32" s="13"/>
      <c r="Q32" s="7"/>
      <c r="R32" s="7"/>
      <c r="S32" s="7"/>
      <c r="T32" s="7"/>
      <c r="U32" s="7"/>
      <c r="V32" s="7"/>
      <c r="W32" s="7"/>
      <c r="X32" s="7" t="s">
        <v>54</v>
      </c>
      <c r="Y32" s="7" t="s">
        <v>89</v>
      </c>
      <c r="Z32" s="7" t="s">
        <v>117</v>
      </c>
      <c r="AA32" s="7" t="s">
        <v>60</v>
      </c>
      <c r="AB32" s="7"/>
      <c r="AC32" s="7" t="s">
        <v>234</v>
      </c>
      <c r="AD32" s="7"/>
      <c r="AE32" s="7" t="s">
        <v>88</v>
      </c>
      <c r="AF32" s="7" t="s">
        <v>169</v>
      </c>
      <c r="AG32" s="7"/>
      <c r="AH32" s="8"/>
      <c r="AI32" s="7"/>
      <c r="AJ32" s="7" t="s">
        <v>107</v>
      </c>
      <c r="AK32" s="7" t="s">
        <v>176</v>
      </c>
      <c r="AL32" s="10" t="s">
        <v>1748</v>
      </c>
      <c r="AM32" s="7">
        <f>VLOOKUP(AL32,Personal!$A$2:$I$300,2,FALSE)</f>
        <v>0</v>
      </c>
      <c r="AN32" s="7" t="str">
        <f>VLOOKUP(AL32,Personal!$A$2:$I$300,3,FALSE)</f>
        <v xml:space="preserve">Tecnologias de Información </v>
      </c>
      <c r="AO32" s="7" t="str">
        <f>VLOOKUP(AL32,Personal!$A$2:$I$300,6,FALSE)</f>
        <v xml:space="preserve">Tecnologias de Información </v>
      </c>
      <c r="AP32" s="7" t="str">
        <f>VLOOKUP(AL32,Personal!$A$2:$I$300,7,FALSE)</f>
        <v xml:space="preserve">Tecnologias de Información </v>
      </c>
      <c r="AQ32" s="7" t="str">
        <f>VLOOKUP(AL32,Personal!$A$2:$I$300,8,FALSE)</f>
        <v xml:space="preserve">Tecnologias de Información </v>
      </c>
      <c r="AR32" s="89"/>
    </row>
    <row r="33" spans="2:44" x14ac:dyDescent="0.3">
      <c r="B33" s="6">
        <v>28</v>
      </c>
      <c r="C33" s="6"/>
      <c r="D33" s="6"/>
      <c r="E33" s="6"/>
      <c r="F33" s="6"/>
      <c r="G33" s="7" t="s">
        <v>37</v>
      </c>
      <c r="H33" s="7" t="s">
        <v>29</v>
      </c>
      <c r="I33" s="7" t="s">
        <v>1724</v>
      </c>
      <c r="J33" s="7" t="s">
        <v>1725</v>
      </c>
      <c r="K33" s="10">
        <v>3500930400</v>
      </c>
      <c r="L33" s="7"/>
      <c r="M33" s="7"/>
      <c r="N33" s="7"/>
      <c r="O33" s="13"/>
      <c r="P33" s="13"/>
      <c r="Q33" s="7"/>
      <c r="R33" s="7"/>
      <c r="S33" s="7" t="s">
        <v>1030</v>
      </c>
      <c r="T33" s="7"/>
      <c r="U33" s="7" t="s">
        <v>1029</v>
      </c>
      <c r="V33" s="48" t="s">
        <v>1031</v>
      </c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8"/>
      <c r="AI33" s="7"/>
      <c r="AJ33" s="7" t="s">
        <v>108</v>
      </c>
      <c r="AK33" s="7" t="s">
        <v>109</v>
      </c>
      <c r="AL33" s="10"/>
      <c r="AM33" s="7" t="e">
        <f>VLOOKUP(AL33,Personal!$A$2:$I$300,2,FALSE)</f>
        <v>#N/A</v>
      </c>
      <c r="AN33" s="7" t="e">
        <f>VLOOKUP(AL33,Personal!$A$2:$I$300,3,FALSE)</f>
        <v>#N/A</v>
      </c>
      <c r="AO33" s="7" t="e">
        <f>VLOOKUP(AL33,Personal!$A$2:$I$300,6,FALSE)</f>
        <v>#N/A</v>
      </c>
      <c r="AP33" s="7" t="e">
        <f>VLOOKUP(AL33,Personal!$A$2:$I$300,7,FALSE)</f>
        <v>#N/A</v>
      </c>
      <c r="AQ33" s="7" t="e">
        <f>VLOOKUP(AL33,Personal!$A$2:$I$300,8,FALSE)</f>
        <v>#N/A</v>
      </c>
      <c r="AR33" s="7" t="s">
        <v>1103</v>
      </c>
    </row>
    <row r="34" spans="2:44" x14ac:dyDescent="0.3">
      <c r="B34" s="6">
        <v>29</v>
      </c>
      <c r="C34" s="6"/>
      <c r="D34" s="6"/>
      <c r="E34" s="6"/>
      <c r="F34" s="6"/>
      <c r="G34" s="7" t="s">
        <v>37</v>
      </c>
      <c r="H34" s="7" t="s">
        <v>29</v>
      </c>
      <c r="I34" s="7" t="s">
        <v>1027</v>
      </c>
      <c r="J34" s="7" t="s">
        <v>1034</v>
      </c>
      <c r="K34" s="10" t="s">
        <v>1037</v>
      </c>
      <c r="L34" s="7"/>
      <c r="M34" s="7"/>
      <c r="N34" s="7"/>
      <c r="O34" s="13"/>
      <c r="P34" s="13"/>
      <c r="Q34" s="7"/>
      <c r="R34" s="7"/>
      <c r="S34" s="48" t="s">
        <v>1035</v>
      </c>
      <c r="T34" s="7"/>
      <c r="U34" s="7" t="s">
        <v>1033</v>
      </c>
      <c r="V34" s="48" t="s">
        <v>1036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8"/>
      <c r="AI34" s="7"/>
      <c r="AJ34" s="7" t="s">
        <v>108</v>
      </c>
      <c r="AK34" s="7" t="s">
        <v>109</v>
      </c>
      <c r="AL34" s="10"/>
      <c r="AM34" s="7" t="e">
        <f>VLOOKUP(AL34,Personal!$A$2:$I$300,2,FALSE)</f>
        <v>#N/A</v>
      </c>
      <c r="AN34" s="7" t="e">
        <f>VLOOKUP(AL34,Personal!$A$2:$I$300,3,FALSE)</f>
        <v>#N/A</v>
      </c>
      <c r="AO34" s="7" t="e">
        <f>VLOOKUP(AL34,Personal!$A$2:$I$300,6,FALSE)</f>
        <v>#N/A</v>
      </c>
      <c r="AP34" s="7" t="e">
        <f>VLOOKUP(AL34,Personal!$A$2:$I$300,7,FALSE)</f>
        <v>#N/A</v>
      </c>
      <c r="AQ34" s="7" t="e">
        <f>VLOOKUP(AL34,Personal!$A$2:$I$300,8,FALSE)</f>
        <v>#N/A</v>
      </c>
      <c r="AR34" s="7" t="s">
        <v>1104</v>
      </c>
    </row>
    <row r="35" spans="2:44" x14ac:dyDescent="0.3">
      <c r="B35" s="6">
        <v>30</v>
      </c>
      <c r="C35" s="6"/>
      <c r="D35" s="6"/>
      <c r="E35" s="6"/>
      <c r="F35" s="6"/>
      <c r="G35" s="7" t="s">
        <v>37</v>
      </c>
      <c r="H35" s="7" t="s">
        <v>29</v>
      </c>
      <c r="I35" s="7" t="s">
        <v>1027</v>
      </c>
      <c r="J35" s="7" t="s">
        <v>1032</v>
      </c>
      <c r="K35" s="10" t="s">
        <v>1089</v>
      </c>
      <c r="L35" s="7"/>
      <c r="M35" s="7"/>
      <c r="N35" s="7"/>
      <c r="O35" s="13"/>
      <c r="P35" s="13"/>
      <c r="Q35" s="7"/>
      <c r="R35" s="7"/>
      <c r="S35" s="48" t="s">
        <v>1039</v>
      </c>
      <c r="T35" s="7"/>
      <c r="U35" s="54" t="s">
        <v>1038</v>
      </c>
      <c r="V35" s="48" t="s">
        <v>1040</v>
      </c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8"/>
      <c r="AI35" s="7"/>
      <c r="AJ35" s="7" t="s">
        <v>108</v>
      </c>
      <c r="AK35" s="7" t="s">
        <v>109</v>
      </c>
      <c r="AL35" s="10"/>
      <c r="AM35" s="7" t="e">
        <f>VLOOKUP(AL35,Personal!$A$2:$I$300,2,FALSE)</f>
        <v>#N/A</v>
      </c>
      <c r="AN35" s="7" t="e">
        <f>VLOOKUP(AL35,Personal!$A$2:$I$300,3,FALSE)</f>
        <v>#N/A</v>
      </c>
      <c r="AO35" s="7" t="e">
        <f>VLOOKUP(AL35,Personal!$A$2:$I$300,6,FALSE)</f>
        <v>#N/A</v>
      </c>
      <c r="AP35" s="7" t="e">
        <f>VLOOKUP(AL35,Personal!$A$2:$I$300,7,FALSE)</f>
        <v>#N/A</v>
      </c>
      <c r="AQ35" s="7" t="e">
        <f>VLOOKUP(AL35,Personal!$A$2:$I$300,8,FALSE)</f>
        <v>#N/A</v>
      </c>
      <c r="AR35" s="7" t="s">
        <v>1105</v>
      </c>
    </row>
    <row r="36" spans="2:44" x14ac:dyDescent="0.3">
      <c r="B36" s="6">
        <v>31</v>
      </c>
      <c r="C36" s="6"/>
      <c r="D36" s="6"/>
      <c r="E36" s="6"/>
      <c r="F36" s="6"/>
      <c r="G36" s="7" t="s">
        <v>37</v>
      </c>
      <c r="H36" s="7" t="s">
        <v>29</v>
      </c>
      <c r="I36" s="7" t="s">
        <v>1027</v>
      </c>
      <c r="J36" s="7" t="s">
        <v>1032</v>
      </c>
      <c r="K36" s="10" t="s">
        <v>1487</v>
      </c>
      <c r="L36" s="7"/>
      <c r="M36" s="7"/>
      <c r="N36" s="7"/>
      <c r="O36" s="13"/>
      <c r="P36" s="13"/>
      <c r="Q36" s="7"/>
      <c r="R36" s="7"/>
      <c r="S36" s="7" t="s">
        <v>1488</v>
      </c>
      <c r="T36" s="7"/>
      <c r="U36" s="7" t="s">
        <v>1041</v>
      </c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8"/>
      <c r="AI36" s="7"/>
      <c r="AJ36" s="7" t="s">
        <v>108</v>
      </c>
      <c r="AK36" s="7" t="s">
        <v>109</v>
      </c>
      <c r="AL36" s="10"/>
      <c r="AM36" s="7" t="e">
        <f>VLOOKUP(AL36,Personal!$A$2:$I$300,2,FALSE)</f>
        <v>#N/A</v>
      </c>
      <c r="AN36" s="7" t="e">
        <f>VLOOKUP(AL36,Personal!$A$2:$I$300,3,FALSE)</f>
        <v>#N/A</v>
      </c>
      <c r="AO36" s="7" t="e">
        <f>VLOOKUP(AL36,Personal!$A$2:$I$300,6,FALSE)</f>
        <v>#N/A</v>
      </c>
      <c r="AP36" s="7" t="e">
        <f>VLOOKUP(AL36,Personal!$A$2:$I$300,7,FALSE)</f>
        <v>#N/A</v>
      </c>
      <c r="AQ36" s="7" t="e">
        <f>VLOOKUP(AL36,Personal!$A$2:$I$300,8,FALSE)</f>
        <v>#N/A</v>
      </c>
      <c r="AR36" s="7" t="s">
        <v>1475</v>
      </c>
    </row>
    <row r="37" spans="2:44" x14ac:dyDescent="0.3">
      <c r="B37" s="6">
        <v>32</v>
      </c>
      <c r="C37" s="6"/>
      <c r="D37" s="6"/>
      <c r="E37" s="6"/>
      <c r="F37" s="6"/>
      <c r="G37" s="7" t="s">
        <v>37</v>
      </c>
      <c r="H37" s="7" t="s">
        <v>29</v>
      </c>
      <c r="I37" s="7" t="s">
        <v>1027</v>
      </c>
      <c r="J37" s="7" t="s">
        <v>1032</v>
      </c>
      <c r="K37" s="10" t="s">
        <v>1091</v>
      </c>
      <c r="L37" s="7"/>
      <c r="M37" s="7"/>
      <c r="N37" s="7"/>
      <c r="O37" s="13"/>
      <c r="P37" s="13"/>
      <c r="Q37" s="7"/>
      <c r="R37" s="7"/>
      <c r="S37" s="48" t="s">
        <v>1042</v>
      </c>
      <c r="T37" s="7"/>
      <c r="U37" s="7" t="s">
        <v>1043</v>
      </c>
      <c r="V37" s="7" t="s">
        <v>1044</v>
      </c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8"/>
      <c r="AI37" s="7"/>
      <c r="AJ37" s="7" t="s">
        <v>108</v>
      </c>
      <c r="AK37" s="7" t="s">
        <v>109</v>
      </c>
      <c r="AL37" s="10"/>
      <c r="AM37" s="7" t="e">
        <f>VLOOKUP(AL37,Personal!$A$2:$I$300,2,FALSE)</f>
        <v>#N/A</v>
      </c>
      <c r="AN37" s="7" t="e">
        <f>VLOOKUP(AL37,Personal!$A$2:$I$300,3,FALSE)</f>
        <v>#N/A</v>
      </c>
      <c r="AO37" s="7" t="e">
        <f>VLOOKUP(AL37,Personal!$A$2:$I$300,6,FALSE)</f>
        <v>#N/A</v>
      </c>
      <c r="AP37" s="7" t="e">
        <f>VLOOKUP(AL37,Personal!$A$2:$I$300,7,FALSE)</f>
        <v>#N/A</v>
      </c>
      <c r="AQ37" s="7" t="e">
        <f>VLOOKUP(AL37,Personal!$A$2:$I$300,8,FALSE)</f>
        <v>#N/A</v>
      </c>
      <c r="AR37" s="7" t="s">
        <v>1474</v>
      </c>
    </row>
    <row r="38" spans="2:44" x14ac:dyDescent="0.3">
      <c r="B38" s="6">
        <v>33</v>
      </c>
      <c r="C38" s="6"/>
      <c r="D38" s="6"/>
      <c r="E38" s="6"/>
      <c r="F38" s="6"/>
      <c r="G38" s="7" t="s">
        <v>37</v>
      </c>
      <c r="H38" s="7" t="s">
        <v>29</v>
      </c>
      <c r="I38" s="7" t="s">
        <v>1027</v>
      </c>
      <c r="J38" s="7" t="s">
        <v>1034</v>
      </c>
      <c r="K38" s="10" t="s">
        <v>1092</v>
      </c>
      <c r="L38" s="7"/>
      <c r="M38" s="7"/>
      <c r="N38" s="7"/>
      <c r="O38" s="13"/>
      <c r="P38" s="13"/>
      <c r="Q38" s="7"/>
      <c r="R38" s="7"/>
      <c r="S38" s="7" t="s">
        <v>1046</v>
      </c>
      <c r="T38" s="7"/>
      <c r="U38" s="7" t="s">
        <v>1045</v>
      </c>
      <c r="V38" s="7" t="s">
        <v>1047</v>
      </c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8"/>
      <c r="AI38" s="7"/>
      <c r="AJ38" s="7" t="s">
        <v>108</v>
      </c>
      <c r="AK38" s="7" t="s">
        <v>109</v>
      </c>
      <c r="AL38" s="10"/>
      <c r="AM38" s="7" t="e">
        <f>VLOOKUP(AL38,Personal!$A$2:$I$300,2,FALSE)</f>
        <v>#N/A</v>
      </c>
      <c r="AN38" s="7" t="e">
        <f>VLOOKUP(AL38,Personal!$A$2:$I$300,3,FALSE)</f>
        <v>#N/A</v>
      </c>
      <c r="AO38" s="7" t="e">
        <f>VLOOKUP(AL38,Personal!$A$2:$I$300,6,FALSE)</f>
        <v>#N/A</v>
      </c>
      <c r="AP38" s="7" t="e">
        <f>VLOOKUP(AL38,Personal!$A$2:$I$300,7,FALSE)</f>
        <v>#N/A</v>
      </c>
      <c r="AQ38" s="7" t="e">
        <f>VLOOKUP(AL38,Personal!$A$2:$I$300,8,FALSE)</f>
        <v>#N/A</v>
      </c>
      <c r="AR38" s="7" t="s">
        <v>1432</v>
      </c>
    </row>
    <row r="39" spans="2:44" x14ac:dyDescent="0.3">
      <c r="B39" s="6">
        <v>34</v>
      </c>
      <c r="C39" s="6"/>
      <c r="D39" s="6"/>
      <c r="E39" s="6"/>
      <c r="F39" s="6"/>
      <c r="G39" s="7" t="s">
        <v>37</v>
      </c>
      <c r="H39" s="7" t="s">
        <v>29</v>
      </c>
      <c r="I39" s="7" t="s">
        <v>1027</v>
      </c>
      <c r="J39" s="7" t="s">
        <v>1034</v>
      </c>
      <c r="K39" s="10" t="s">
        <v>1093</v>
      </c>
      <c r="L39" s="7"/>
      <c r="M39" s="7"/>
      <c r="N39" s="7"/>
      <c r="O39" s="13"/>
      <c r="P39" s="13"/>
      <c r="Q39" s="7"/>
      <c r="R39" s="7"/>
      <c r="S39" s="7" t="s">
        <v>1049</v>
      </c>
      <c r="T39" s="7"/>
      <c r="U39" s="7" t="s">
        <v>1048</v>
      </c>
      <c r="V39" s="7" t="s">
        <v>1050</v>
      </c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8"/>
      <c r="AI39" s="7"/>
      <c r="AJ39" s="7" t="s">
        <v>108</v>
      </c>
      <c r="AK39" s="7" t="s">
        <v>109</v>
      </c>
      <c r="AL39" s="10"/>
      <c r="AM39" s="7" t="e">
        <f>VLOOKUP(AL39,Personal!$A$2:$I$300,2,FALSE)</f>
        <v>#N/A</v>
      </c>
      <c r="AN39" s="7" t="e">
        <f>VLOOKUP(AL39,Personal!$A$2:$I$300,3,FALSE)</f>
        <v>#N/A</v>
      </c>
      <c r="AO39" s="7" t="e">
        <f>VLOOKUP(AL39,Personal!$A$2:$I$300,6,FALSE)</f>
        <v>#N/A</v>
      </c>
      <c r="AP39" s="7" t="e">
        <f>VLOOKUP(AL39,Personal!$A$2:$I$300,7,FALSE)</f>
        <v>#N/A</v>
      </c>
      <c r="AQ39" s="7" t="e">
        <f>VLOOKUP(AL39,Personal!$A$2:$I$300,8,FALSE)</f>
        <v>#N/A</v>
      </c>
      <c r="AR39" s="7" t="s">
        <v>1480</v>
      </c>
    </row>
    <row r="40" spans="2:44" x14ac:dyDescent="0.3">
      <c r="B40" s="6">
        <v>35</v>
      </c>
      <c r="C40" s="6"/>
      <c r="D40" s="6"/>
      <c r="E40" s="6"/>
      <c r="F40" s="6"/>
      <c r="G40" s="7" t="s">
        <v>37</v>
      </c>
      <c r="H40" s="7" t="s">
        <v>29</v>
      </c>
      <c r="I40" s="7" t="s">
        <v>1027</v>
      </c>
      <c r="J40" s="7" t="s">
        <v>1034</v>
      </c>
      <c r="K40" s="10" t="s">
        <v>1094</v>
      </c>
      <c r="L40" s="7"/>
      <c r="M40" s="7"/>
      <c r="N40" s="7"/>
      <c r="O40" s="13"/>
      <c r="P40" s="13"/>
      <c r="Q40" s="7"/>
      <c r="R40" s="7"/>
      <c r="S40" s="7" t="s">
        <v>1052</v>
      </c>
      <c r="T40" s="7"/>
      <c r="U40" s="7" t="s">
        <v>1051</v>
      </c>
      <c r="V40" s="48" t="s">
        <v>1053</v>
      </c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8"/>
      <c r="AI40" s="7"/>
      <c r="AJ40" s="7" t="s">
        <v>108</v>
      </c>
      <c r="AK40" s="7" t="s">
        <v>109</v>
      </c>
      <c r="AL40" s="10"/>
      <c r="AM40" s="7" t="e">
        <f>VLOOKUP(AL40,Personal!$A$2:$I$300,2,FALSE)</f>
        <v>#N/A</v>
      </c>
      <c r="AN40" s="7" t="e">
        <f>VLOOKUP(AL40,Personal!$A$2:$I$300,3,FALSE)</f>
        <v>#N/A</v>
      </c>
      <c r="AO40" s="7" t="e">
        <f>VLOOKUP(AL40,Personal!$A$2:$I$300,6,FALSE)</f>
        <v>#N/A</v>
      </c>
      <c r="AP40" s="7" t="e">
        <f>VLOOKUP(AL40,Personal!$A$2:$I$300,7,FALSE)</f>
        <v>#N/A</v>
      </c>
      <c r="AQ40" s="7" t="e">
        <f>VLOOKUP(AL40,Personal!$A$2:$I$300,8,FALSE)</f>
        <v>#N/A</v>
      </c>
      <c r="AR40" s="7" t="s">
        <v>1106</v>
      </c>
    </row>
    <row r="41" spans="2:44" x14ac:dyDescent="0.3">
      <c r="B41" s="6">
        <v>36</v>
      </c>
      <c r="C41" s="6"/>
      <c r="D41" s="6"/>
      <c r="E41" s="6"/>
      <c r="F41" s="6"/>
      <c r="G41" s="7" t="s">
        <v>37</v>
      </c>
      <c r="H41" s="7" t="s">
        <v>29</v>
      </c>
      <c r="I41" s="7" t="s">
        <v>1724</v>
      </c>
      <c r="J41" s="7" t="s">
        <v>1729</v>
      </c>
      <c r="K41" s="10">
        <v>15064216</v>
      </c>
      <c r="L41" s="7"/>
      <c r="M41" s="7"/>
      <c r="N41" s="7"/>
      <c r="O41" s="13"/>
      <c r="P41" s="13"/>
      <c r="Q41" s="7"/>
      <c r="R41" s="7"/>
      <c r="S41" s="7"/>
      <c r="T41" s="7"/>
      <c r="U41" s="7" t="s">
        <v>1054</v>
      </c>
      <c r="V41" s="7" t="s">
        <v>1056</v>
      </c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8"/>
      <c r="AI41" s="7"/>
      <c r="AJ41" s="7" t="s">
        <v>108</v>
      </c>
      <c r="AK41" s="7" t="s">
        <v>109</v>
      </c>
      <c r="AL41" s="10"/>
      <c r="AM41" s="7" t="e">
        <f>VLOOKUP(AL41,Personal!$A$2:$I$300,2,FALSE)</f>
        <v>#N/A</v>
      </c>
      <c r="AN41" s="7" t="e">
        <f>VLOOKUP(AL41,Personal!$A$2:$I$300,3,FALSE)</f>
        <v>#N/A</v>
      </c>
      <c r="AO41" s="7" t="e">
        <f>VLOOKUP(AL41,Personal!$A$2:$I$300,6,FALSE)</f>
        <v>#N/A</v>
      </c>
      <c r="AP41" s="7" t="e">
        <f>VLOOKUP(AL41,Personal!$A$2:$I$300,7,FALSE)</f>
        <v>#N/A</v>
      </c>
      <c r="AQ41" s="7" t="e">
        <f>VLOOKUP(AL41,Personal!$A$2:$I$300,8,FALSE)</f>
        <v>#N/A</v>
      </c>
      <c r="AR41" s="7" t="s">
        <v>1478</v>
      </c>
    </row>
    <row r="42" spans="2:44" x14ac:dyDescent="0.3">
      <c r="B42" s="6">
        <v>37</v>
      </c>
      <c r="C42" s="6"/>
      <c r="D42" s="6"/>
      <c r="E42" s="6"/>
      <c r="F42" s="6"/>
      <c r="G42" s="7" t="s">
        <v>37</v>
      </c>
      <c r="H42" s="7" t="s">
        <v>29</v>
      </c>
      <c r="I42" s="7" t="s">
        <v>1058</v>
      </c>
      <c r="J42" s="7" t="s">
        <v>1802</v>
      </c>
      <c r="K42" s="10" t="s">
        <v>1060</v>
      </c>
      <c r="L42" s="7"/>
      <c r="M42" s="7"/>
      <c r="N42" s="7"/>
      <c r="O42" s="13"/>
      <c r="P42" s="13"/>
      <c r="Q42" s="7"/>
      <c r="R42" s="7"/>
      <c r="S42" s="7"/>
      <c r="T42" s="7"/>
      <c r="U42" s="7" t="s">
        <v>1057</v>
      </c>
      <c r="V42" s="7" t="s">
        <v>1059</v>
      </c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8"/>
      <c r="AI42" s="7"/>
      <c r="AJ42" s="7" t="s">
        <v>108</v>
      </c>
      <c r="AK42" s="7" t="s">
        <v>109</v>
      </c>
      <c r="AL42" s="10"/>
      <c r="AM42" s="7" t="e">
        <f>VLOOKUP(AL42,Personal!$A$2:$I$300,2,FALSE)</f>
        <v>#N/A</v>
      </c>
      <c r="AN42" s="7" t="e">
        <f>VLOOKUP(AL42,Personal!$A$2:$I$300,3,FALSE)</f>
        <v>#N/A</v>
      </c>
      <c r="AO42" s="7" t="e">
        <f>VLOOKUP(AL42,Personal!$A$2:$I$300,6,FALSE)</f>
        <v>#N/A</v>
      </c>
      <c r="AP42" s="7" t="e">
        <f>VLOOKUP(AL42,Personal!$A$2:$I$300,7,FALSE)</f>
        <v>#N/A</v>
      </c>
      <c r="AQ42" s="7" t="e">
        <f>VLOOKUP(AL42,Personal!$A$2:$I$300,8,FALSE)</f>
        <v>#N/A</v>
      </c>
      <c r="AR42" s="7" t="s">
        <v>1470</v>
      </c>
    </row>
    <row r="43" spans="2:44" x14ac:dyDescent="0.3">
      <c r="B43" s="6">
        <v>38</v>
      </c>
      <c r="C43" s="6"/>
      <c r="D43" s="6"/>
      <c r="E43" s="6"/>
      <c r="F43" s="6"/>
      <c r="G43" s="7" t="s">
        <v>37</v>
      </c>
      <c r="H43" s="7" t="s">
        <v>29</v>
      </c>
      <c r="I43" s="7" t="s">
        <v>1027</v>
      </c>
      <c r="J43" s="57" t="s">
        <v>1034</v>
      </c>
      <c r="K43" s="10" t="s">
        <v>1095</v>
      </c>
      <c r="L43" s="7"/>
      <c r="M43" s="7"/>
      <c r="N43" s="7"/>
      <c r="O43" s="13"/>
      <c r="P43" s="13"/>
      <c r="Q43" s="7"/>
      <c r="R43" s="7"/>
      <c r="S43" s="7" t="s">
        <v>1088</v>
      </c>
      <c r="T43" s="7"/>
      <c r="U43" s="7" t="s">
        <v>1061</v>
      </c>
      <c r="V43" s="7" t="s">
        <v>1087</v>
      </c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8"/>
      <c r="AI43" s="7"/>
      <c r="AJ43" s="7" t="s">
        <v>108</v>
      </c>
      <c r="AK43" s="7" t="s">
        <v>109</v>
      </c>
      <c r="AL43" s="10"/>
      <c r="AM43" s="7" t="e">
        <f>VLOOKUP(AL43,Personal!$A$2:$I$300,2,FALSE)</f>
        <v>#N/A</v>
      </c>
      <c r="AN43" s="7" t="e">
        <f>VLOOKUP(AL43,Personal!$A$2:$I$300,3,FALSE)</f>
        <v>#N/A</v>
      </c>
      <c r="AO43" s="7" t="e">
        <f>VLOOKUP(AL43,Personal!$A$2:$I$300,6,FALSE)</f>
        <v>#N/A</v>
      </c>
      <c r="AP43" s="7" t="e">
        <f>VLOOKUP(AL43,Personal!$A$2:$I$300,7,FALSE)</f>
        <v>#N/A</v>
      </c>
      <c r="AQ43" s="7" t="e">
        <f>VLOOKUP(AL43,Personal!$A$2:$I$300,8,FALSE)</f>
        <v>#N/A</v>
      </c>
      <c r="AR43" s="7" t="s">
        <v>1472</v>
      </c>
    </row>
    <row r="44" spans="2:44" x14ac:dyDescent="0.3">
      <c r="B44" s="6">
        <v>39</v>
      </c>
      <c r="C44" s="6"/>
      <c r="D44" s="6"/>
      <c r="E44" s="6"/>
      <c r="F44" s="6"/>
      <c r="G44" s="7" t="s">
        <v>37</v>
      </c>
      <c r="H44" s="7" t="s">
        <v>29</v>
      </c>
      <c r="I44" s="7" t="s">
        <v>1058</v>
      </c>
      <c r="J44" s="7" t="s">
        <v>1803</v>
      </c>
      <c r="K44" s="81" t="s">
        <v>1726</v>
      </c>
      <c r="L44" s="7"/>
      <c r="M44" s="7"/>
      <c r="N44" s="7"/>
      <c r="O44" s="13"/>
      <c r="P44" s="13"/>
      <c r="Q44" s="7"/>
      <c r="R44" s="7"/>
      <c r="S44" s="7"/>
      <c r="T44" s="7"/>
      <c r="U44" s="7" t="s">
        <v>1062</v>
      </c>
      <c r="V44" s="7" t="s">
        <v>1059</v>
      </c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8"/>
      <c r="AI44" s="7"/>
      <c r="AJ44" s="7" t="s">
        <v>108</v>
      </c>
      <c r="AK44" s="7" t="s">
        <v>109</v>
      </c>
      <c r="AL44" s="10"/>
      <c r="AM44" s="7" t="e">
        <f>VLOOKUP(AL44,Personal!$A$2:$I$300,2,FALSE)</f>
        <v>#N/A</v>
      </c>
      <c r="AN44" s="7" t="e">
        <f>VLOOKUP(AL44,Personal!$A$2:$I$300,3,FALSE)</f>
        <v>#N/A</v>
      </c>
      <c r="AO44" s="7" t="e">
        <f>VLOOKUP(AL44,Personal!$A$2:$I$300,6,FALSE)</f>
        <v>#N/A</v>
      </c>
      <c r="AP44" s="7" t="e">
        <f>VLOOKUP(AL44,Personal!$A$2:$I$300,7,FALSE)</f>
        <v>#N/A</v>
      </c>
      <c r="AQ44" s="7" t="e">
        <f>VLOOKUP(AL44,Personal!$A$2:$I$300,8,FALSE)</f>
        <v>#N/A</v>
      </c>
      <c r="AR44" s="7" t="s">
        <v>1107</v>
      </c>
    </row>
    <row r="45" spans="2:44" x14ac:dyDescent="0.3">
      <c r="B45" s="6">
        <v>40</v>
      </c>
      <c r="C45" s="6"/>
      <c r="D45" s="6"/>
      <c r="E45" s="6"/>
      <c r="F45" s="6"/>
      <c r="G45" s="7" t="s">
        <v>37</v>
      </c>
      <c r="H45" s="7" t="s">
        <v>29</v>
      </c>
      <c r="I45" s="7" t="s">
        <v>1058</v>
      </c>
      <c r="J45" s="7" t="s">
        <v>1803</v>
      </c>
      <c r="K45" s="81" t="s">
        <v>1727</v>
      </c>
      <c r="L45" s="7"/>
      <c r="M45" s="7"/>
      <c r="N45" s="7"/>
      <c r="O45" s="13"/>
      <c r="P45" s="13"/>
      <c r="Q45" s="7"/>
      <c r="R45" s="7"/>
      <c r="S45" s="7"/>
      <c r="T45" s="7"/>
      <c r="U45" s="7" t="s">
        <v>1065</v>
      </c>
      <c r="V45" s="7" t="s">
        <v>1059</v>
      </c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8"/>
      <c r="AI45" s="7"/>
      <c r="AJ45" s="7" t="s">
        <v>108</v>
      </c>
      <c r="AK45" s="7" t="s">
        <v>109</v>
      </c>
      <c r="AL45" s="10"/>
      <c r="AM45" s="7" t="e">
        <f>VLOOKUP(AL45,Personal!$A$2:$I$300,2,FALSE)</f>
        <v>#N/A</v>
      </c>
      <c r="AN45" s="7" t="e">
        <f>VLOOKUP(AL45,Personal!$A$2:$I$300,3,FALSE)</f>
        <v>#N/A</v>
      </c>
      <c r="AO45" s="7" t="e">
        <f>VLOOKUP(AL45,Personal!$A$2:$I$300,6,FALSE)</f>
        <v>#N/A</v>
      </c>
      <c r="AP45" s="7" t="e">
        <f>VLOOKUP(AL45,Personal!$A$2:$I$300,7,FALSE)</f>
        <v>#N/A</v>
      </c>
      <c r="AQ45" s="7" t="e">
        <f>VLOOKUP(AL45,Personal!$A$2:$I$300,8,FALSE)</f>
        <v>#N/A</v>
      </c>
      <c r="AR45" s="7" t="s">
        <v>1107</v>
      </c>
    </row>
    <row r="46" spans="2:44" x14ac:dyDescent="0.3">
      <c r="B46" s="6">
        <v>41</v>
      </c>
      <c r="C46" s="6"/>
      <c r="D46" s="6"/>
      <c r="E46" s="6"/>
      <c r="F46" s="6"/>
      <c r="G46" s="7" t="s">
        <v>37</v>
      </c>
      <c r="H46" s="7" t="s">
        <v>29</v>
      </c>
      <c r="I46" s="7" t="s">
        <v>1027</v>
      </c>
      <c r="J46" s="7" t="s">
        <v>1032</v>
      </c>
      <c r="K46" s="10" t="s">
        <v>1096</v>
      </c>
      <c r="L46" s="7"/>
      <c r="M46" s="7"/>
      <c r="N46" s="7"/>
      <c r="O46" s="13"/>
      <c r="P46" s="13"/>
      <c r="Q46" s="7"/>
      <c r="R46" s="7"/>
      <c r="S46" s="7" t="s">
        <v>1085</v>
      </c>
      <c r="T46" s="7"/>
      <c r="U46" s="7" t="s">
        <v>1066</v>
      </c>
      <c r="V46" s="7" t="s">
        <v>1086</v>
      </c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8"/>
      <c r="AI46" s="7"/>
      <c r="AJ46" s="7" t="s">
        <v>108</v>
      </c>
      <c r="AK46" s="7" t="s">
        <v>109</v>
      </c>
      <c r="AL46" s="10"/>
      <c r="AM46" s="7" t="e">
        <f>VLOOKUP(AL46,Personal!$A$2:$I$300,2,FALSE)</f>
        <v>#N/A</v>
      </c>
      <c r="AN46" s="7" t="e">
        <f>VLOOKUP(AL46,Personal!$A$2:$I$300,3,FALSE)</f>
        <v>#N/A</v>
      </c>
      <c r="AO46" s="7" t="e">
        <f>VLOOKUP(AL46,Personal!$A$2:$I$300,6,FALSE)</f>
        <v>#N/A</v>
      </c>
      <c r="AP46" s="7" t="e">
        <f>VLOOKUP(AL46,Personal!$A$2:$I$300,7,FALSE)</f>
        <v>#N/A</v>
      </c>
      <c r="AQ46" s="7" t="e">
        <f>VLOOKUP(AL46,Personal!$A$2:$I$300,8,FALSE)</f>
        <v>#N/A</v>
      </c>
      <c r="AR46" s="7" t="s">
        <v>1477</v>
      </c>
    </row>
    <row r="47" spans="2:44" x14ac:dyDescent="0.3">
      <c r="B47" s="6">
        <v>42</v>
      </c>
      <c r="C47" s="6"/>
      <c r="D47" s="6"/>
      <c r="E47" s="6"/>
      <c r="F47" s="6"/>
      <c r="G47" s="7" t="s">
        <v>37</v>
      </c>
      <c r="H47" s="7" t="s">
        <v>29</v>
      </c>
      <c r="I47" s="7" t="s">
        <v>1027</v>
      </c>
      <c r="J47" s="7" t="s">
        <v>1034</v>
      </c>
      <c r="K47" s="10" t="s">
        <v>1097</v>
      </c>
      <c r="L47" s="7"/>
      <c r="M47" s="7"/>
      <c r="N47" s="7"/>
      <c r="O47" s="13"/>
      <c r="P47" s="13"/>
      <c r="Q47" s="7"/>
      <c r="R47" s="7"/>
      <c r="S47" s="7" t="s">
        <v>1111</v>
      </c>
      <c r="T47" s="7"/>
      <c r="U47" s="7" t="s">
        <v>1067</v>
      </c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8"/>
      <c r="AI47" s="7"/>
      <c r="AJ47" s="7" t="s">
        <v>108</v>
      </c>
      <c r="AK47" s="7" t="s">
        <v>109</v>
      </c>
      <c r="AL47" s="10"/>
      <c r="AM47" s="7" t="e">
        <f>VLOOKUP(AL47,Personal!$A$2:$I$300,2,FALSE)</f>
        <v>#N/A</v>
      </c>
      <c r="AN47" s="7" t="e">
        <f>VLOOKUP(AL47,Personal!$A$2:$I$300,3,FALSE)</f>
        <v>#N/A</v>
      </c>
      <c r="AO47" s="7" t="e">
        <f>VLOOKUP(AL47,Personal!$A$2:$I$300,6,FALSE)</f>
        <v>#N/A</v>
      </c>
      <c r="AP47" s="7" t="e">
        <f>VLOOKUP(AL47,Personal!$A$2:$I$300,7,FALSE)</f>
        <v>#N/A</v>
      </c>
      <c r="AQ47" s="7" t="e">
        <f>VLOOKUP(AL47,Personal!$A$2:$I$300,8,FALSE)</f>
        <v>#N/A</v>
      </c>
      <c r="AR47" s="7" t="s">
        <v>1479</v>
      </c>
    </row>
    <row r="48" spans="2:44" x14ac:dyDescent="0.3">
      <c r="B48" s="6">
        <v>43</v>
      </c>
      <c r="C48" s="6"/>
      <c r="D48" s="6"/>
      <c r="E48" s="6"/>
      <c r="F48" s="6"/>
      <c r="G48" s="7" t="s">
        <v>37</v>
      </c>
      <c r="H48" s="7" t="s">
        <v>29</v>
      </c>
      <c r="I48" s="7" t="s">
        <v>1027</v>
      </c>
      <c r="J48" s="7" t="s">
        <v>1032</v>
      </c>
      <c r="K48" s="10" t="s">
        <v>1485</v>
      </c>
      <c r="L48" s="7"/>
      <c r="M48" s="7"/>
      <c r="N48" s="7"/>
      <c r="O48" s="13"/>
      <c r="P48" s="13"/>
      <c r="Q48" s="7"/>
      <c r="R48" s="7"/>
      <c r="S48" s="7" t="s">
        <v>1083</v>
      </c>
      <c r="T48" s="7"/>
      <c r="U48" s="7" t="s">
        <v>1068</v>
      </c>
      <c r="V48" s="7" t="s">
        <v>1084</v>
      </c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8"/>
      <c r="AI48" s="7"/>
      <c r="AJ48" s="7" t="s">
        <v>108</v>
      </c>
      <c r="AK48" s="7" t="s">
        <v>109</v>
      </c>
      <c r="AL48" s="10"/>
      <c r="AM48" s="7" t="e">
        <f>VLOOKUP(AL48,Personal!$A$2:$I$300,2,FALSE)</f>
        <v>#N/A</v>
      </c>
      <c r="AN48" s="7" t="e">
        <f>VLOOKUP(AL48,Personal!$A$2:$I$300,3,FALSE)</f>
        <v>#N/A</v>
      </c>
      <c r="AO48" s="7" t="e">
        <f>VLOOKUP(AL48,Personal!$A$2:$I$300,6,FALSE)</f>
        <v>#N/A</v>
      </c>
      <c r="AP48" s="7" t="e">
        <f>VLOOKUP(AL48,Personal!$A$2:$I$300,7,FALSE)</f>
        <v>#N/A</v>
      </c>
      <c r="AQ48" s="7" t="e">
        <f>VLOOKUP(AL48,Personal!$A$2:$I$300,8,FALSE)</f>
        <v>#N/A</v>
      </c>
      <c r="AR48" s="7" t="s">
        <v>1108</v>
      </c>
    </row>
    <row r="49" spans="2:44" x14ac:dyDescent="0.3">
      <c r="B49" s="6">
        <v>44</v>
      </c>
      <c r="C49" s="6"/>
      <c r="D49" s="6"/>
      <c r="E49" s="6"/>
      <c r="F49" s="6"/>
      <c r="G49" s="7" t="s">
        <v>37</v>
      </c>
      <c r="H49" s="7" t="s">
        <v>29</v>
      </c>
      <c r="I49" s="7" t="s">
        <v>1027</v>
      </c>
      <c r="J49" s="7" t="s">
        <v>1034</v>
      </c>
      <c r="K49" s="10" t="s">
        <v>1080</v>
      </c>
      <c r="L49" s="7"/>
      <c r="M49" s="7"/>
      <c r="N49" s="7"/>
      <c r="O49" s="13"/>
      <c r="P49" s="13"/>
      <c r="Q49" s="7"/>
      <c r="R49" s="7"/>
      <c r="S49" s="7" t="s">
        <v>1081</v>
      </c>
      <c r="T49" s="7"/>
      <c r="U49" s="7" t="s">
        <v>1069</v>
      </c>
      <c r="V49" s="7" t="s">
        <v>1082</v>
      </c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8"/>
      <c r="AI49" s="7"/>
      <c r="AJ49" s="7" t="s">
        <v>108</v>
      </c>
      <c r="AK49" s="7" t="s">
        <v>109</v>
      </c>
      <c r="AL49" s="10"/>
      <c r="AM49" s="7" t="e">
        <f>VLOOKUP(AL49,Personal!$A$2:$I$300,2,FALSE)</f>
        <v>#N/A</v>
      </c>
      <c r="AN49" s="7" t="e">
        <f>VLOOKUP(AL49,Personal!$A$2:$I$300,3,FALSE)</f>
        <v>#N/A</v>
      </c>
      <c r="AO49" s="7" t="e">
        <f>VLOOKUP(AL49,Personal!$A$2:$I$300,6,FALSE)</f>
        <v>#N/A</v>
      </c>
      <c r="AP49" s="7" t="e">
        <f>VLOOKUP(AL49,Personal!$A$2:$I$300,7,FALSE)</f>
        <v>#N/A</v>
      </c>
      <c r="AQ49" s="7" t="e">
        <f>VLOOKUP(AL49,Personal!$A$2:$I$300,8,FALSE)</f>
        <v>#N/A</v>
      </c>
      <c r="AR49" s="7" t="s">
        <v>1109</v>
      </c>
    </row>
    <row r="50" spans="2:44" x14ac:dyDescent="0.3">
      <c r="B50" s="6">
        <v>45</v>
      </c>
      <c r="C50" s="6"/>
      <c r="D50" s="6"/>
      <c r="E50" s="6"/>
      <c r="F50" s="6"/>
      <c r="G50" s="7" t="s">
        <v>37</v>
      </c>
      <c r="H50" s="7" t="s">
        <v>29</v>
      </c>
      <c r="I50" s="7" t="s">
        <v>1027</v>
      </c>
      <c r="J50" s="7" t="s">
        <v>1034</v>
      </c>
      <c r="K50" s="10" t="s">
        <v>1098</v>
      </c>
      <c r="L50" s="7"/>
      <c r="M50" s="7"/>
      <c r="N50" s="7"/>
      <c r="O50" s="13"/>
      <c r="P50" s="13"/>
      <c r="Q50" s="7" t="s">
        <v>1112</v>
      </c>
      <c r="R50" s="7"/>
      <c r="S50" s="7" t="s">
        <v>1079</v>
      </c>
      <c r="T50" s="7"/>
      <c r="U50" s="54" t="s">
        <v>1070</v>
      </c>
      <c r="V50" s="48" t="s">
        <v>1078</v>
      </c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8"/>
      <c r="AI50" s="7"/>
      <c r="AJ50" s="7" t="s">
        <v>108</v>
      </c>
      <c r="AK50" s="7" t="s">
        <v>109</v>
      </c>
      <c r="AL50" s="10"/>
      <c r="AM50" s="7" t="e">
        <f>VLOOKUP(AL50,Personal!$A$2:$I$300,2,FALSE)</f>
        <v>#N/A</v>
      </c>
      <c r="AN50" s="7" t="e">
        <f>VLOOKUP(AL50,Personal!$A$2:$I$300,3,FALSE)</f>
        <v>#N/A</v>
      </c>
      <c r="AO50" s="7" t="e">
        <f>VLOOKUP(AL50,Personal!$A$2:$I$300,6,FALSE)</f>
        <v>#N/A</v>
      </c>
      <c r="AP50" s="7" t="e">
        <f>VLOOKUP(AL50,Personal!$A$2:$I$300,7,FALSE)</f>
        <v>#N/A</v>
      </c>
      <c r="AQ50" s="7" t="e">
        <f>VLOOKUP(AL50,Personal!$A$2:$I$300,8,FALSE)</f>
        <v>#N/A</v>
      </c>
      <c r="AR50" s="7" t="s">
        <v>1110</v>
      </c>
    </row>
    <row r="51" spans="2:44" x14ac:dyDescent="0.3">
      <c r="B51" s="6">
        <v>46</v>
      </c>
      <c r="C51" s="6"/>
      <c r="D51" s="6"/>
      <c r="E51" s="6"/>
      <c r="F51" s="6"/>
      <c r="G51" s="7" t="s">
        <v>37</v>
      </c>
      <c r="H51" s="7" t="s">
        <v>29</v>
      </c>
      <c r="I51" s="7" t="s">
        <v>1027</v>
      </c>
      <c r="J51" s="7" t="s">
        <v>1034</v>
      </c>
      <c r="K51" s="10" t="s">
        <v>1099</v>
      </c>
      <c r="L51" s="7"/>
      <c r="M51" s="7"/>
      <c r="N51" s="7"/>
      <c r="O51" s="13"/>
      <c r="P51" s="13"/>
      <c r="Q51" s="7"/>
      <c r="R51" s="7"/>
      <c r="S51" s="7" t="s">
        <v>1072</v>
      </c>
      <c r="T51" s="7"/>
      <c r="U51" s="7" t="s">
        <v>1071</v>
      </c>
      <c r="V51" s="7" t="s">
        <v>1073</v>
      </c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8"/>
      <c r="AI51" s="7"/>
      <c r="AJ51" s="7" t="s">
        <v>108</v>
      </c>
      <c r="AK51" s="7" t="s">
        <v>109</v>
      </c>
      <c r="AL51" s="10"/>
      <c r="AM51" s="7" t="e">
        <f>VLOOKUP(AL51,Personal!$A$2:$I$300,2,FALSE)</f>
        <v>#N/A</v>
      </c>
      <c r="AN51" s="7" t="e">
        <f>VLOOKUP(AL51,Personal!$A$2:$I$300,3,FALSE)</f>
        <v>#N/A</v>
      </c>
      <c r="AO51" s="7" t="e">
        <f>VLOOKUP(AL51,Personal!$A$2:$I$300,6,FALSE)</f>
        <v>#N/A</v>
      </c>
      <c r="AP51" s="7" t="e">
        <f>VLOOKUP(AL51,Personal!$A$2:$I$300,7,FALSE)</f>
        <v>#N/A</v>
      </c>
      <c r="AQ51" s="7" t="e">
        <f>VLOOKUP(AL51,Personal!$A$2:$I$300,8,FALSE)</f>
        <v>#N/A</v>
      </c>
      <c r="AR51" s="7" t="s">
        <v>1439</v>
      </c>
    </row>
    <row r="52" spans="2:44" x14ac:dyDescent="0.3">
      <c r="B52" s="6">
        <v>47</v>
      </c>
      <c r="C52" s="6"/>
      <c r="D52" s="6"/>
      <c r="E52" s="6"/>
      <c r="F52" s="6"/>
      <c r="G52" s="7" t="s">
        <v>37</v>
      </c>
      <c r="H52" s="7" t="s">
        <v>29</v>
      </c>
      <c r="I52" s="7" t="s">
        <v>1027</v>
      </c>
      <c r="J52" s="7" t="s">
        <v>1032</v>
      </c>
      <c r="K52" s="10" t="s">
        <v>1028</v>
      </c>
      <c r="L52" s="7"/>
      <c r="M52" s="7"/>
      <c r="N52" s="7"/>
      <c r="O52" s="13"/>
      <c r="P52" s="13"/>
      <c r="Q52" s="7"/>
      <c r="R52" s="7"/>
      <c r="S52" s="7" t="s">
        <v>1075</v>
      </c>
      <c r="T52" s="7"/>
      <c r="U52" s="7" t="s">
        <v>1074</v>
      </c>
      <c r="V52" s="7" t="s">
        <v>1076</v>
      </c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8"/>
      <c r="AI52" s="7"/>
      <c r="AJ52" s="7" t="s">
        <v>108</v>
      </c>
      <c r="AK52" s="7" t="s">
        <v>109</v>
      </c>
      <c r="AL52" s="10"/>
      <c r="AM52" s="7" t="e">
        <f>VLOOKUP(AL52,Personal!$A$2:$I$300,2,FALSE)</f>
        <v>#N/A</v>
      </c>
      <c r="AN52" s="7" t="e">
        <f>VLOOKUP(AL52,Personal!$A$2:$I$300,3,FALSE)</f>
        <v>#N/A</v>
      </c>
      <c r="AO52" s="7" t="e">
        <f>VLOOKUP(AL52,Personal!$A$2:$I$300,6,FALSE)</f>
        <v>#N/A</v>
      </c>
      <c r="AP52" s="7" t="e">
        <f>VLOOKUP(AL52,Personal!$A$2:$I$300,7,FALSE)</f>
        <v>#N/A</v>
      </c>
      <c r="AQ52" s="7" t="e">
        <f>VLOOKUP(AL52,Personal!$A$2:$I$300,8,FALSE)</f>
        <v>#N/A</v>
      </c>
      <c r="AR52" s="7" t="s">
        <v>1476</v>
      </c>
    </row>
    <row r="53" spans="2:44" x14ac:dyDescent="0.3">
      <c r="B53" s="6">
        <v>48</v>
      </c>
      <c r="C53" s="6"/>
      <c r="D53" s="6"/>
      <c r="E53" s="6"/>
      <c r="F53" s="6"/>
      <c r="G53" s="7" t="s">
        <v>37</v>
      </c>
      <c r="H53" s="7" t="s">
        <v>29</v>
      </c>
      <c r="I53" s="7" t="s">
        <v>1724</v>
      </c>
      <c r="J53" s="7" t="s">
        <v>1729</v>
      </c>
      <c r="K53" s="10" t="s">
        <v>1728</v>
      </c>
      <c r="L53" s="7"/>
      <c r="M53" s="7"/>
      <c r="N53" s="7"/>
      <c r="O53" s="13"/>
      <c r="P53" s="13"/>
      <c r="Q53" s="7"/>
      <c r="R53" s="7"/>
      <c r="S53" s="7"/>
      <c r="T53" s="7"/>
      <c r="U53" s="7" t="s">
        <v>1090</v>
      </c>
      <c r="V53" s="7" t="s">
        <v>1059</v>
      </c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8"/>
      <c r="AI53" s="7"/>
      <c r="AJ53" s="7" t="s">
        <v>108</v>
      </c>
      <c r="AK53" s="7" t="s">
        <v>109</v>
      </c>
      <c r="AL53" s="10"/>
      <c r="AM53" s="7" t="e">
        <f>VLOOKUP(AL53,Personal!$A$2:$I$300,2,FALSE)</f>
        <v>#N/A</v>
      </c>
      <c r="AN53" s="7" t="e">
        <f>VLOOKUP(AL53,Personal!$A$2:$I$300,3,FALSE)</f>
        <v>#N/A</v>
      </c>
      <c r="AO53" s="7" t="e">
        <f>VLOOKUP(AL53,Personal!$A$2:$I$300,6,FALSE)</f>
        <v>#N/A</v>
      </c>
      <c r="AP53" s="7" t="e">
        <f>VLOOKUP(AL53,Personal!$A$2:$I$300,7,FALSE)</f>
        <v>#N/A</v>
      </c>
      <c r="AQ53" s="7" t="e">
        <f>VLOOKUP(AL53,Personal!$A$2:$I$300,8,FALSE)</f>
        <v>#N/A</v>
      </c>
      <c r="AR53" s="7" t="s">
        <v>1471</v>
      </c>
    </row>
    <row r="54" spans="2:44" x14ac:dyDescent="0.3">
      <c r="B54" s="6">
        <v>49</v>
      </c>
      <c r="C54" s="6"/>
      <c r="D54" s="6"/>
      <c r="E54" s="6"/>
      <c r="F54" s="6"/>
      <c r="G54" s="7" t="s">
        <v>33</v>
      </c>
      <c r="H54" s="7" t="s">
        <v>29</v>
      </c>
      <c r="I54" s="7" t="s">
        <v>46</v>
      </c>
      <c r="J54" s="7" t="s">
        <v>193</v>
      </c>
      <c r="K54" s="10" t="s">
        <v>1100</v>
      </c>
      <c r="L54" s="7" t="s">
        <v>1290</v>
      </c>
      <c r="M54" s="7"/>
      <c r="N54" s="7"/>
      <c r="O54" s="13"/>
      <c r="P54" s="13"/>
      <c r="Q54" s="7"/>
      <c r="R54" s="7"/>
      <c r="S54" s="7" t="s">
        <v>1102</v>
      </c>
      <c r="T54" s="7"/>
      <c r="U54" s="7" t="s">
        <v>1595</v>
      </c>
      <c r="V54" s="7"/>
      <c r="W54" s="7" t="s">
        <v>1101</v>
      </c>
      <c r="X54" s="7" t="s">
        <v>54</v>
      </c>
      <c r="Y54" s="7" t="s">
        <v>89</v>
      </c>
      <c r="Z54" s="7" t="s">
        <v>117</v>
      </c>
      <c r="AA54" s="7" t="s">
        <v>60</v>
      </c>
      <c r="AB54" s="7"/>
      <c r="AC54" s="7" t="s">
        <v>234</v>
      </c>
      <c r="AD54" s="7"/>
      <c r="AE54" s="7" t="s">
        <v>88</v>
      </c>
      <c r="AF54" s="7" t="s">
        <v>169</v>
      </c>
      <c r="AG54" s="7" t="s">
        <v>174</v>
      </c>
      <c r="AH54" s="8"/>
      <c r="AI54" s="7"/>
      <c r="AJ54" s="7" t="s">
        <v>107</v>
      </c>
      <c r="AK54" s="7" t="s">
        <v>109</v>
      </c>
      <c r="AL54" s="9" t="s">
        <v>288</v>
      </c>
      <c r="AM54" s="7" t="str">
        <f>VLOOKUP(AL54,Personal!$A$2:$I$300,2,FALSE)</f>
        <v>0000000269</v>
      </c>
      <c r="AN54" s="7" t="str">
        <f>VLOOKUP(AL54,Personal!$A$2:$I$300,3,FALSE)</f>
        <v>VEGA ARRATEA JAVIER VICTOR</v>
      </c>
      <c r="AO54" s="7" t="str">
        <f>VLOOKUP(AL54,Personal!$A$2:$I$300,6,FALSE)</f>
        <v>Supervisor Jr. de Steward</v>
      </c>
      <c r="AP54" s="7" t="str">
        <f>VLOOKUP(AL54,Personal!$A$2:$I$300,7,FALSE)</f>
        <v>Steward</v>
      </c>
      <c r="AQ54" s="7" t="str">
        <f>VLOOKUP(AL54,Personal!$A$2:$I$300,8,FALSE)</f>
        <v>Alimentos y Bebidas</v>
      </c>
      <c r="AR54" s="89"/>
    </row>
    <row r="55" spans="2:44" x14ac:dyDescent="0.3">
      <c r="B55" s="6">
        <v>50</v>
      </c>
      <c r="C55" s="6"/>
      <c r="D55" s="6"/>
      <c r="E55" s="6"/>
      <c r="F55" s="6"/>
      <c r="G55" s="1" t="s">
        <v>33</v>
      </c>
      <c r="H55" s="7" t="s">
        <v>29</v>
      </c>
      <c r="I55" s="7" t="s">
        <v>46</v>
      </c>
      <c r="J55" s="7" t="s">
        <v>193</v>
      </c>
      <c r="K55" s="10" t="s">
        <v>1116</v>
      </c>
      <c r="L55" s="7" t="s">
        <v>1290</v>
      </c>
      <c r="M55" s="7"/>
      <c r="N55" s="7"/>
      <c r="O55" s="13"/>
      <c r="P55" s="13"/>
      <c r="Q55" s="7"/>
      <c r="R55" s="7"/>
      <c r="S55" s="7" t="s">
        <v>1117</v>
      </c>
      <c r="T55" s="7"/>
      <c r="U55" s="7" t="s">
        <v>1921</v>
      </c>
      <c r="V55" s="7" t="s">
        <v>1922</v>
      </c>
      <c r="W55" s="7" t="s">
        <v>1922</v>
      </c>
      <c r="X55" s="7" t="s">
        <v>54</v>
      </c>
      <c r="Y55" s="7" t="s">
        <v>89</v>
      </c>
      <c r="Z55" s="7" t="s">
        <v>117</v>
      </c>
      <c r="AA55" s="7" t="s">
        <v>59</v>
      </c>
      <c r="AB55" s="7"/>
      <c r="AC55" s="7" t="s">
        <v>234</v>
      </c>
      <c r="AD55" s="7"/>
      <c r="AE55" s="7" t="s">
        <v>88</v>
      </c>
      <c r="AF55" s="7"/>
      <c r="AG55" s="7" t="s">
        <v>175</v>
      </c>
      <c r="AH55" s="8"/>
      <c r="AI55" s="7"/>
      <c r="AJ55" s="7" t="s">
        <v>107</v>
      </c>
      <c r="AK55" s="7" t="s">
        <v>109</v>
      </c>
      <c r="AL55" s="9" t="s">
        <v>2112</v>
      </c>
      <c r="AM55" s="7" t="str">
        <f>VLOOKUP(AL55,Personal!$A$2:$I$300,2,FALSE)</f>
        <v>0000001791</v>
      </c>
      <c r="AN55" s="7" t="str">
        <f>VLOOKUP(AL55,Personal!$A$2:$I$300,3,FALSE)</f>
        <v xml:space="preserve">MAMANI SEVILLANO ANGIE </v>
      </c>
      <c r="AO55" s="7" t="str">
        <f>VLOOKUP(AL55,Personal!$A$2:$I$300,6,FALSE)</f>
        <v>Asistente de Mantenimiento</v>
      </c>
      <c r="AP55" s="7" t="str">
        <f>VLOOKUP(AL55,Personal!$A$2:$I$300,7,FALSE)</f>
        <v>Mantenimiento</v>
      </c>
      <c r="AQ55" s="7" t="str">
        <f>VLOOKUP(AL55,Personal!$A$2:$I$300,8,FALSE)</f>
        <v>Mantenimiento</v>
      </c>
      <c r="AR55" s="7"/>
    </row>
    <row r="56" spans="2:44" x14ac:dyDescent="0.3">
      <c r="B56" s="6">
        <v>51</v>
      </c>
      <c r="C56" s="6"/>
      <c r="D56" s="6"/>
      <c r="E56" s="6"/>
      <c r="F56" s="6"/>
      <c r="G56" s="7" t="s">
        <v>33</v>
      </c>
      <c r="H56" s="7" t="s">
        <v>29</v>
      </c>
      <c r="I56" s="7" t="s">
        <v>48</v>
      </c>
      <c r="J56" s="7" t="s">
        <v>1113</v>
      </c>
      <c r="K56" s="10" t="s">
        <v>1115</v>
      </c>
      <c r="L56" s="7" t="s">
        <v>1114</v>
      </c>
      <c r="M56" s="7"/>
      <c r="N56" s="7"/>
      <c r="O56" s="13"/>
      <c r="P56" s="13"/>
      <c r="Q56" s="7"/>
      <c r="R56" s="7"/>
      <c r="S56" s="7" t="s">
        <v>1343</v>
      </c>
      <c r="T56" s="7"/>
      <c r="U56" s="7"/>
      <c r="V56" s="7" t="s">
        <v>1344</v>
      </c>
      <c r="W56" s="7"/>
      <c r="X56" s="7" t="s">
        <v>54</v>
      </c>
      <c r="Y56" s="7" t="s">
        <v>89</v>
      </c>
      <c r="Z56" s="7" t="s">
        <v>117</v>
      </c>
      <c r="AA56" s="7" t="s">
        <v>62</v>
      </c>
      <c r="AB56" s="7"/>
      <c r="AC56" s="7" t="s">
        <v>1345</v>
      </c>
      <c r="AD56" s="7"/>
      <c r="AE56" s="7" t="s">
        <v>88</v>
      </c>
      <c r="AF56" s="7"/>
      <c r="AG56" s="7" t="s">
        <v>174</v>
      </c>
      <c r="AH56" s="8"/>
      <c r="AI56" s="7"/>
      <c r="AJ56" s="7" t="s">
        <v>107</v>
      </c>
      <c r="AK56" s="7" t="s">
        <v>109</v>
      </c>
      <c r="AL56" s="9" t="s">
        <v>589</v>
      </c>
      <c r="AM56" s="7" t="str">
        <f>VLOOKUP(AL56,Personal!$A$2:$I$300,2,FALSE)</f>
        <v>0000001501</v>
      </c>
      <c r="AN56" s="7" t="str">
        <f>VLOOKUP(AL56,Personal!$A$2:$I$300,3,FALSE)</f>
        <v>YAMUNAQUE CASTILLO HECTOR ARTURO</v>
      </c>
      <c r="AO56" s="7" t="str">
        <f>VLOOKUP(AL56,Personal!$A$2:$I$300,6,FALSE)</f>
        <v>Gerente de Sistemas</v>
      </c>
      <c r="AP56" s="7" t="str">
        <f>VLOOKUP(AL56,Personal!$A$2:$I$300,7,FALSE)</f>
        <v xml:space="preserve">Tecnologias de Información </v>
      </c>
      <c r="AQ56" s="7" t="str">
        <f>VLOOKUP(AL56,Personal!$A$2:$I$300,8,FALSE)</f>
        <v xml:space="preserve">Tecnologias de Información </v>
      </c>
      <c r="AR56" s="7"/>
    </row>
    <row r="57" spans="2:44" x14ac:dyDescent="0.3">
      <c r="B57" s="6">
        <v>52</v>
      </c>
      <c r="C57" s="6"/>
      <c r="D57" s="6"/>
      <c r="E57" s="6"/>
      <c r="F57" s="6"/>
      <c r="G57" s="7" t="s">
        <v>35</v>
      </c>
      <c r="H57" s="7" t="s">
        <v>29</v>
      </c>
      <c r="I57" s="7" t="s">
        <v>46</v>
      </c>
      <c r="J57" s="7" t="s">
        <v>226</v>
      </c>
      <c r="K57" s="10"/>
      <c r="L57" s="7"/>
      <c r="M57" s="7"/>
      <c r="N57" s="7"/>
      <c r="O57" s="13"/>
      <c r="P57" s="13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 t="s">
        <v>230</v>
      </c>
      <c r="AE57" s="7"/>
      <c r="AF57" s="7"/>
      <c r="AG57" s="7"/>
      <c r="AH57" s="8"/>
      <c r="AI57" s="7"/>
      <c r="AJ57" s="7" t="s">
        <v>107</v>
      </c>
      <c r="AK57" s="7"/>
      <c r="AL57" s="9"/>
      <c r="AM57" s="7" t="e">
        <f>VLOOKUP(AL57,Personal!$A$2:$I$300,2,FALSE)</f>
        <v>#N/A</v>
      </c>
      <c r="AN57" s="7" t="e">
        <f>VLOOKUP(AL57,Personal!$A$2:$I$300,3,FALSE)</f>
        <v>#N/A</v>
      </c>
      <c r="AO57" s="7" t="e">
        <f>VLOOKUP(AL57,Personal!$A$2:$I$300,6,FALSE)</f>
        <v>#N/A</v>
      </c>
      <c r="AP57" s="7" t="e">
        <f>VLOOKUP(AL57,Personal!$A$2:$I$300,7,FALSE)</f>
        <v>#N/A</v>
      </c>
      <c r="AQ57" s="7" t="e">
        <f>VLOOKUP(AL57,Personal!$A$2:$I$300,8,FALSE)</f>
        <v>#N/A</v>
      </c>
      <c r="AR57" s="7"/>
    </row>
    <row r="58" spans="2:44" x14ac:dyDescent="0.3">
      <c r="B58" s="6">
        <v>53</v>
      </c>
      <c r="C58" s="6"/>
      <c r="D58" s="6"/>
      <c r="E58" s="6"/>
      <c r="F58" s="6"/>
      <c r="G58" s="7" t="s">
        <v>33</v>
      </c>
      <c r="H58" s="7" t="s">
        <v>29</v>
      </c>
      <c r="I58" s="7" t="s">
        <v>46</v>
      </c>
      <c r="J58" s="7" t="s">
        <v>193</v>
      </c>
      <c r="K58" s="10" t="s">
        <v>1178</v>
      </c>
      <c r="L58" s="7" t="s">
        <v>1290</v>
      </c>
      <c r="M58" s="7"/>
      <c r="N58" s="7"/>
      <c r="O58" s="13"/>
      <c r="P58" s="13"/>
      <c r="Q58" s="7"/>
      <c r="R58" s="7"/>
      <c r="S58" s="7" t="s">
        <v>1179</v>
      </c>
      <c r="T58" s="7"/>
      <c r="U58" s="7" t="s">
        <v>1447</v>
      </c>
      <c r="V58" s="7"/>
      <c r="W58" s="7" t="s">
        <v>1187</v>
      </c>
      <c r="X58" s="7" t="s">
        <v>54</v>
      </c>
      <c r="Y58" s="7" t="s">
        <v>89</v>
      </c>
      <c r="Z58" s="7" t="s">
        <v>117</v>
      </c>
      <c r="AA58" s="7" t="s">
        <v>60</v>
      </c>
      <c r="AB58" s="7"/>
      <c r="AC58" s="7" t="s">
        <v>234</v>
      </c>
      <c r="AD58" s="7"/>
      <c r="AE58" s="7" t="s">
        <v>88</v>
      </c>
      <c r="AF58" s="7" t="s">
        <v>169</v>
      </c>
      <c r="AG58" s="7" t="s">
        <v>174</v>
      </c>
      <c r="AH58" s="8"/>
      <c r="AI58" s="7"/>
      <c r="AJ58" s="7" t="s">
        <v>107</v>
      </c>
      <c r="AK58" s="7" t="s">
        <v>109</v>
      </c>
      <c r="AL58" s="9" t="s">
        <v>709</v>
      </c>
      <c r="AM58" s="7" t="str">
        <f>VLOOKUP(AL58,Personal!$A$2:$I$300,2,FALSE)</f>
        <v>0000001580</v>
      </c>
      <c r="AN58" s="7" t="str">
        <f>VLOOKUP(AL58,Personal!$A$2:$I$300,3,FALSE)</f>
        <v>RAMOS MAGAN HANNA GRACE</v>
      </c>
      <c r="AO58" s="7" t="str">
        <f>VLOOKUP(AL58,Personal!$A$2:$I$300,6,FALSE)</f>
        <v>Asistente Administrativa Jr.</v>
      </c>
      <c r="AP58" s="7" t="str">
        <f>VLOOKUP(AL58,Personal!$A$2:$I$300,7,FALSE)</f>
        <v>Gerencia A&amp;B</v>
      </c>
      <c r="AQ58" s="7" t="str">
        <f>VLOOKUP(AL58,Personal!$A$2:$I$300,8,FALSE)</f>
        <v>Alimentos y Bebidas</v>
      </c>
      <c r="AR58" s="89"/>
    </row>
    <row r="59" spans="2:44" x14ac:dyDescent="0.3">
      <c r="B59" s="6">
        <v>54</v>
      </c>
      <c r="C59" s="6"/>
      <c r="D59" s="6"/>
      <c r="E59" s="6"/>
      <c r="F59" s="6"/>
      <c r="G59" s="7" t="s">
        <v>33</v>
      </c>
      <c r="H59" s="7" t="s">
        <v>29</v>
      </c>
      <c r="I59" s="7" t="s">
        <v>46</v>
      </c>
      <c r="J59" s="7" t="s">
        <v>193</v>
      </c>
      <c r="K59" s="10" t="s">
        <v>1180</v>
      </c>
      <c r="L59" s="7" t="s">
        <v>1290</v>
      </c>
      <c r="M59" s="7"/>
      <c r="N59" s="7"/>
      <c r="O59" s="13"/>
      <c r="P59" s="13"/>
      <c r="Q59" s="7"/>
      <c r="R59" s="7"/>
      <c r="S59" s="7" t="s">
        <v>1185</v>
      </c>
      <c r="T59" s="7"/>
      <c r="U59" s="7" t="s">
        <v>1448</v>
      </c>
      <c r="V59" s="7"/>
      <c r="W59" s="7" t="s">
        <v>1186</v>
      </c>
      <c r="X59" s="7" t="s">
        <v>54</v>
      </c>
      <c r="Y59" s="7" t="s">
        <v>89</v>
      </c>
      <c r="Z59" s="7" t="s">
        <v>117</v>
      </c>
      <c r="AA59" s="7" t="s">
        <v>60</v>
      </c>
      <c r="AB59" s="7"/>
      <c r="AC59" s="7" t="s">
        <v>234</v>
      </c>
      <c r="AD59" s="7"/>
      <c r="AE59" s="7" t="s">
        <v>88</v>
      </c>
      <c r="AF59" s="7" t="s">
        <v>169</v>
      </c>
      <c r="AG59" s="7" t="s">
        <v>174</v>
      </c>
      <c r="AH59" s="8"/>
      <c r="AI59" s="7"/>
      <c r="AJ59" s="7" t="s">
        <v>107</v>
      </c>
      <c r="AK59" s="7" t="s">
        <v>109</v>
      </c>
      <c r="AL59" s="9" t="s">
        <v>1908</v>
      </c>
      <c r="AM59" s="7" t="str">
        <f>VLOOKUP(AL59,Personal!$A$2:$I$300,2,FALSE)</f>
        <v>0000001780</v>
      </c>
      <c r="AN59" s="7" t="str">
        <f>VLOOKUP(AL59,Personal!$A$2:$I$300,3,FALSE)</f>
        <v>CHUYES MENDOZA CLAUDIA ELIZABETH</v>
      </c>
      <c r="AO59" s="7" t="str">
        <f>VLOOKUP(AL59,Personal!$A$2:$I$300,6,FALSE)</f>
        <v xml:space="preserve">Ejecutiva de Eventos </v>
      </c>
      <c r="AP59" s="7" t="str">
        <f>VLOOKUP(AL59,Personal!$A$2:$I$300,7,FALSE)</f>
        <v>Ventas</v>
      </c>
      <c r="AQ59" s="7" t="str">
        <f>VLOOKUP(AL59,Personal!$A$2:$I$300,8,FALSE)</f>
        <v>Ventas y Marketing</v>
      </c>
      <c r="AR59" s="89"/>
    </row>
    <row r="60" spans="2:44" x14ac:dyDescent="0.3">
      <c r="B60" s="6">
        <v>55</v>
      </c>
      <c r="C60" s="6"/>
      <c r="D60" s="6"/>
      <c r="E60" s="6"/>
      <c r="F60" s="6"/>
      <c r="G60" s="7" t="s">
        <v>35</v>
      </c>
      <c r="H60" s="7" t="s">
        <v>29</v>
      </c>
      <c r="I60" s="7" t="s">
        <v>46</v>
      </c>
      <c r="J60" s="7" t="s">
        <v>226</v>
      </c>
      <c r="K60" s="10"/>
      <c r="L60" s="7"/>
      <c r="M60" s="7"/>
      <c r="N60" s="7"/>
      <c r="O60" s="13"/>
      <c r="P60" s="13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8"/>
      <c r="AI60" s="7"/>
      <c r="AJ60" s="7" t="s">
        <v>107</v>
      </c>
      <c r="AK60" s="7" t="s">
        <v>109</v>
      </c>
      <c r="AL60" s="10">
        <v>41093999</v>
      </c>
      <c r="AM60" s="7" t="str">
        <f>VLOOKUP(AL60,Personal!$A$2:$I$300,2,FALSE)</f>
        <v>0000001737</v>
      </c>
      <c r="AN60" s="7" t="str">
        <f>VLOOKUP(AL60,Personal!$A$2:$I$300,3,FALSE)</f>
        <v>MUÑOZ CUBA ROSA ALICIA</v>
      </c>
      <c r="AO60" s="7" t="str">
        <f>VLOOKUP(AL60,Personal!$A$2:$I$300,6,FALSE)</f>
        <v xml:space="preserve">Ejecutiva de Eventos </v>
      </c>
      <c r="AP60" s="7" t="str">
        <f>VLOOKUP(AL60,Personal!$A$2:$I$300,7,FALSE)</f>
        <v>Ventas</v>
      </c>
      <c r="AQ60" s="7" t="str">
        <f>VLOOKUP(AL60,Personal!$A$2:$I$300,8,FALSE)</f>
        <v>Ventas y Marketing</v>
      </c>
      <c r="AR60" s="7"/>
    </row>
    <row r="61" spans="2:44" x14ac:dyDescent="0.3">
      <c r="B61" s="6">
        <v>56</v>
      </c>
      <c r="C61" s="6"/>
      <c r="D61" s="6"/>
      <c r="E61" s="6"/>
      <c r="F61" s="6"/>
      <c r="G61" s="7" t="s">
        <v>33</v>
      </c>
      <c r="H61" s="7" t="s">
        <v>29</v>
      </c>
      <c r="I61" s="7" t="s">
        <v>46</v>
      </c>
      <c r="J61" s="7" t="s">
        <v>193</v>
      </c>
      <c r="K61" s="10" t="s">
        <v>201</v>
      </c>
      <c r="L61" s="7" t="s">
        <v>1290</v>
      </c>
      <c r="M61" s="7"/>
      <c r="N61" s="7"/>
      <c r="O61" s="13"/>
      <c r="P61" s="13"/>
      <c r="Q61" s="7"/>
      <c r="R61" s="7"/>
      <c r="S61" s="7" t="s">
        <v>1686</v>
      </c>
      <c r="T61" s="7"/>
      <c r="U61" s="7" t="s">
        <v>1690</v>
      </c>
      <c r="V61" s="7"/>
      <c r="W61" s="7" t="s">
        <v>1687</v>
      </c>
      <c r="X61" s="7" t="s">
        <v>54</v>
      </c>
      <c r="Y61" s="7" t="s">
        <v>89</v>
      </c>
      <c r="Z61" s="7" t="s">
        <v>117</v>
      </c>
      <c r="AA61" s="7" t="s">
        <v>59</v>
      </c>
      <c r="AB61" s="7"/>
      <c r="AC61" s="7" t="s">
        <v>234</v>
      </c>
      <c r="AD61" s="7"/>
      <c r="AE61" s="7" t="s">
        <v>88</v>
      </c>
      <c r="AF61" s="7" t="s">
        <v>169</v>
      </c>
      <c r="AG61" s="7" t="s">
        <v>175</v>
      </c>
      <c r="AH61" s="8"/>
      <c r="AI61" s="7"/>
      <c r="AJ61" s="7" t="s">
        <v>107</v>
      </c>
      <c r="AK61" s="7" t="s">
        <v>109</v>
      </c>
      <c r="AL61" s="9" t="s">
        <v>1825</v>
      </c>
      <c r="AM61" s="7" t="str">
        <f>VLOOKUP(AL61,Personal!$A$2:$I$300,2,FALSE)</f>
        <v>0000P00761</v>
      </c>
      <c r="AN61" s="7" t="str">
        <f>VLOOKUP(AL61,Personal!$A$2:$I$300,3,FALSE)</f>
        <v>NOLASCO CUNYARACHE GABRIELA FLOR</v>
      </c>
      <c r="AO61" s="7" t="str">
        <f>VLOOKUP(AL61,Personal!$A$2:$I$300,6,FALSE)</f>
        <v>Practicante de Mantenimiento</v>
      </c>
      <c r="AP61" s="7" t="str">
        <f>VLOOKUP(AL61,Personal!$A$2:$I$300,7,FALSE)</f>
        <v>Mantenimiento</v>
      </c>
      <c r="AQ61" s="7" t="str">
        <f>VLOOKUP(AL61,Personal!$A$2:$I$300,8,FALSE)</f>
        <v>Mantenimiento</v>
      </c>
      <c r="AR61" s="7"/>
    </row>
    <row r="62" spans="2:44" x14ac:dyDescent="0.3">
      <c r="B62" s="6">
        <v>57</v>
      </c>
      <c r="C62" s="6"/>
      <c r="D62" s="6"/>
      <c r="E62" s="6"/>
      <c r="F62" s="6"/>
      <c r="G62" s="7" t="s">
        <v>33</v>
      </c>
      <c r="H62" s="7" t="s">
        <v>29</v>
      </c>
      <c r="I62" s="7" t="s">
        <v>46</v>
      </c>
      <c r="J62" s="7" t="s">
        <v>193</v>
      </c>
      <c r="K62" s="10" t="s">
        <v>1190</v>
      </c>
      <c r="L62" s="7" t="s">
        <v>1290</v>
      </c>
      <c r="M62" s="7"/>
      <c r="N62" s="7"/>
      <c r="O62" s="13"/>
      <c r="P62" s="13"/>
      <c r="Q62" s="7"/>
      <c r="R62" s="7"/>
      <c r="S62" s="7" t="s">
        <v>1689</v>
      </c>
      <c r="T62" s="7"/>
      <c r="U62" s="7" t="s">
        <v>1621</v>
      </c>
      <c r="V62" s="7" t="s">
        <v>1231</v>
      </c>
      <c r="W62" s="7" t="s">
        <v>1500</v>
      </c>
      <c r="X62" s="7" t="s">
        <v>54</v>
      </c>
      <c r="Y62" s="7" t="s">
        <v>89</v>
      </c>
      <c r="Z62" s="7" t="s">
        <v>117</v>
      </c>
      <c r="AA62" s="7" t="s">
        <v>60</v>
      </c>
      <c r="AB62" s="7"/>
      <c r="AC62" s="7" t="s">
        <v>234</v>
      </c>
      <c r="AD62" s="7"/>
      <c r="AE62" s="7" t="s">
        <v>88</v>
      </c>
      <c r="AF62" s="7" t="s">
        <v>169</v>
      </c>
      <c r="AG62" s="7" t="s">
        <v>174</v>
      </c>
      <c r="AH62" s="8"/>
      <c r="AI62" s="7"/>
      <c r="AJ62" s="7" t="s">
        <v>107</v>
      </c>
      <c r="AK62" s="7" t="s">
        <v>109</v>
      </c>
      <c r="AL62" s="9" t="s">
        <v>379</v>
      </c>
      <c r="AM62" s="7" t="str">
        <f>VLOOKUP(AL62,Personal!$A$2:$I$300,2,FALSE)</f>
        <v>0000000868</v>
      </c>
      <c r="AN62" s="7" t="str">
        <f>VLOOKUP(AL62,Personal!$A$2:$I$300,3,FALSE)</f>
        <v>PECHING CHIONG KARINA JANET</v>
      </c>
      <c r="AO62" s="7" t="str">
        <f>VLOOKUP(AL62,Personal!$A$2:$I$300,6,FALSE)</f>
        <v>Gerenta de Reservas</v>
      </c>
      <c r="AP62" s="7" t="str">
        <f>VLOOKUP(AL62,Personal!$A$2:$I$300,7,FALSE)</f>
        <v>Reservas</v>
      </c>
      <c r="AQ62" s="7" t="str">
        <f>VLOOKUP(AL62,Personal!$A$2:$I$300,8,FALSE)</f>
        <v>Ventas y Marketing</v>
      </c>
      <c r="AR62" s="89"/>
    </row>
    <row r="63" spans="2:44" x14ac:dyDescent="0.3">
      <c r="B63" s="6">
        <v>58</v>
      </c>
      <c r="C63" s="6"/>
      <c r="D63" s="6"/>
      <c r="E63" s="6"/>
      <c r="F63" s="6"/>
      <c r="G63" s="7" t="s">
        <v>33</v>
      </c>
      <c r="H63" s="7" t="s">
        <v>29</v>
      </c>
      <c r="I63" s="7" t="s">
        <v>46</v>
      </c>
      <c r="J63" s="7" t="s">
        <v>193</v>
      </c>
      <c r="K63" s="10" t="s">
        <v>1202</v>
      </c>
      <c r="L63" s="7" t="s">
        <v>1290</v>
      </c>
      <c r="M63" s="7"/>
      <c r="N63" s="7"/>
      <c r="O63" s="13"/>
      <c r="P63" s="13"/>
      <c r="Q63" s="7"/>
      <c r="R63" s="7"/>
      <c r="S63" s="7" t="s">
        <v>1207</v>
      </c>
      <c r="T63" s="7"/>
      <c r="U63" s="7" t="s">
        <v>1666</v>
      </c>
      <c r="V63" s="7" t="s">
        <v>1349</v>
      </c>
      <c r="W63" s="7"/>
      <c r="X63" s="7" t="s">
        <v>54</v>
      </c>
      <c r="Y63" s="7" t="s">
        <v>89</v>
      </c>
      <c r="Z63" s="7" t="s">
        <v>117</v>
      </c>
      <c r="AA63" s="7" t="s">
        <v>60</v>
      </c>
      <c r="AB63" s="7"/>
      <c r="AC63" s="7" t="s">
        <v>234</v>
      </c>
      <c r="AD63" s="7"/>
      <c r="AE63" s="7" t="s">
        <v>88</v>
      </c>
      <c r="AF63" s="7" t="s">
        <v>169</v>
      </c>
      <c r="AG63" s="7" t="s">
        <v>174</v>
      </c>
      <c r="AH63" s="8"/>
      <c r="AI63" s="7"/>
      <c r="AJ63" s="7" t="s">
        <v>107</v>
      </c>
      <c r="AK63" s="7" t="s">
        <v>109</v>
      </c>
      <c r="AL63" s="10">
        <v>41531474</v>
      </c>
      <c r="AM63" s="7" t="str">
        <f>VLOOKUP(AL63,Personal!$A$2:$I$300,2,FALSE)</f>
        <v>0000F00050</v>
      </c>
      <c r="AN63" s="7" t="str">
        <f>VLOOKUP(AL63,Personal!$A$2:$I$300,3,FALSE)</f>
        <v>JARA RISCO GINO</v>
      </c>
      <c r="AO63" s="7" t="str">
        <f>VLOOKUP(AL63,Personal!$A$2:$I$300,6,FALSE)</f>
        <v>Director de Alimentos y Bebidas</v>
      </c>
      <c r="AP63" s="7" t="str">
        <f>VLOOKUP(AL63,Personal!$A$2:$I$300,7,FALSE)</f>
        <v>Gerencia A&amp;B</v>
      </c>
      <c r="AQ63" s="7" t="str">
        <f>VLOOKUP(AL63,Personal!$A$2:$I$300,8,FALSE)</f>
        <v>Alimentos y Bebidas</v>
      </c>
      <c r="AR63" s="7"/>
    </row>
    <row r="64" spans="2:44" x14ac:dyDescent="0.3">
      <c r="B64" s="6">
        <v>59</v>
      </c>
      <c r="C64" s="6"/>
      <c r="D64" s="6"/>
      <c r="E64" s="6"/>
      <c r="F64" s="6"/>
      <c r="G64" s="7" t="s">
        <v>35</v>
      </c>
      <c r="H64" s="7" t="s">
        <v>29</v>
      </c>
      <c r="I64" s="7" t="s">
        <v>46</v>
      </c>
      <c r="J64" s="7" t="s">
        <v>226</v>
      </c>
      <c r="K64" s="10" t="s">
        <v>1204</v>
      </c>
      <c r="L64" s="7"/>
      <c r="M64" s="7"/>
      <c r="N64" s="7"/>
      <c r="O64" s="13"/>
      <c r="P64" s="13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 t="s">
        <v>230</v>
      </c>
      <c r="AE64" s="7"/>
      <c r="AF64" s="7"/>
      <c r="AG64" s="7"/>
      <c r="AH64" s="8"/>
      <c r="AI64" s="7"/>
      <c r="AJ64" s="7" t="s">
        <v>107</v>
      </c>
      <c r="AK64" s="7" t="s">
        <v>109</v>
      </c>
      <c r="AL64" s="10">
        <v>40235456</v>
      </c>
      <c r="AM64" s="7" t="str">
        <f>VLOOKUP(AL64,Personal!$A$2:$I$300,2,FALSE)</f>
        <v>0000000806</v>
      </c>
      <c r="AN64" s="7" t="str">
        <f>VLOOKUP(AL64,Personal!$A$2:$I$300,3,FALSE)</f>
        <v>TRUJILLO GARAY MONICA ALEJANDRA</v>
      </c>
      <c r="AO64" s="7" t="str">
        <f>VLOOKUP(AL64,Personal!$A$2:$I$300,6,FALSE)</f>
        <v>Gerente de Congresos y Convenciones</v>
      </c>
      <c r="AP64" s="7" t="str">
        <f>VLOOKUP(AL64,Personal!$A$2:$I$300,7,FALSE)</f>
        <v>Ventas</v>
      </c>
      <c r="AQ64" s="7" t="str">
        <f>VLOOKUP(AL64,Personal!$A$2:$I$300,8,FALSE)</f>
        <v>Ventas y Marketing</v>
      </c>
      <c r="AR64" s="7"/>
    </row>
    <row r="65" spans="2:44" x14ac:dyDescent="0.3">
      <c r="B65" s="6">
        <v>60</v>
      </c>
      <c r="C65" s="6"/>
      <c r="D65" s="6"/>
      <c r="E65" s="6"/>
      <c r="F65" s="6"/>
      <c r="G65" s="7" t="s">
        <v>35</v>
      </c>
      <c r="H65" s="7" t="s">
        <v>29</v>
      </c>
      <c r="I65" s="7" t="s">
        <v>46</v>
      </c>
      <c r="J65" s="7" t="s">
        <v>226</v>
      </c>
      <c r="K65" s="10" t="s">
        <v>1205</v>
      </c>
      <c r="L65" s="7"/>
      <c r="M65" s="7"/>
      <c r="N65" s="7"/>
      <c r="O65" s="13"/>
      <c r="P65" s="13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 t="s">
        <v>230</v>
      </c>
      <c r="AE65" s="7"/>
      <c r="AF65" s="7"/>
      <c r="AG65" s="7"/>
      <c r="AH65" s="8"/>
      <c r="AI65" s="7"/>
      <c r="AJ65" s="7" t="s">
        <v>107</v>
      </c>
      <c r="AK65" s="7" t="s">
        <v>176</v>
      </c>
      <c r="AL65" s="10" t="s">
        <v>1748</v>
      </c>
      <c r="AM65" s="7">
        <f>VLOOKUP(AL65,Personal!$A$2:$I$300,2,FALSE)</f>
        <v>0</v>
      </c>
      <c r="AN65" s="7" t="str">
        <f>VLOOKUP(AL65,Personal!$A$2:$I$300,3,FALSE)</f>
        <v xml:space="preserve">Tecnologias de Información </v>
      </c>
      <c r="AO65" s="7" t="str">
        <f>VLOOKUP(AL65,Personal!$A$2:$I$300,6,FALSE)</f>
        <v xml:space="preserve">Tecnologias de Información </v>
      </c>
      <c r="AP65" s="7" t="str">
        <f>VLOOKUP(AL65,Personal!$A$2:$I$300,7,FALSE)</f>
        <v xml:space="preserve">Tecnologias de Información </v>
      </c>
      <c r="AQ65" s="7" t="str">
        <f>VLOOKUP(AL65,Personal!$A$2:$I$300,8,FALSE)</f>
        <v xml:space="preserve">Tecnologias de Información </v>
      </c>
      <c r="AR65" s="7" t="s">
        <v>1206</v>
      </c>
    </row>
    <row r="66" spans="2:44" x14ac:dyDescent="0.3">
      <c r="B66" s="6">
        <v>61</v>
      </c>
      <c r="C66" s="6"/>
      <c r="D66" s="6"/>
      <c r="E66" s="6"/>
      <c r="F66" s="6"/>
      <c r="G66" s="7" t="s">
        <v>33</v>
      </c>
      <c r="H66" s="7" t="s">
        <v>29</v>
      </c>
      <c r="I66" s="7" t="s">
        <v>46</v>
      </c>
      <c r="J66" s="7" t="s">
        <v>193</v>
      </c>
      <c r="K66" s="10" t="s">
        <v>1208</v>
      </c>
      <c r="L66" s="7" t="s">
        <v>1290</v>
      </c>
      <c r="M66" s="7"/>
      <c r="N66" s="7"/>
      <c r="O66" s="13"/>
      <c r="P66" s="13"/>
      <c r="Q66" s="7"/>
      <c r="R66" s="7"/>
      <c r="S66" s="7" t="s">
        <v>1209</v>
      </c>
      <c r="T66" s="7"/>
      <c r="U66" s="7" t="s">
        <v>1546</v>
      </c>
      <c r="V66" s="7" t="s">
        <v>1214</v>
      </c>
      <c r="W66" s="7" t="s">
        <v>1406</v>
      </c>
      <c r="X66" s="7" t="s">
        <v>54</v>
      </c>
      <c r="Y66" s="7" t="s">
        <v>89</v>
      </c>
      <c r="Z66" s="7" t="s">
        <v>117</v>
      </c>
      <c r="AA66" s="7" t="s">
        <v>60</v>
      </c>
      <c r="AB66" s="7"/>
      <c r="AC66" s="7" t="s">
        <v>234</v>
      </c>
      <c r="AD66" s="7"/>
      <c r="AE66" s="7" t="s">
        <v>88</v>
      </c>
      <c r="AF66" s="7"/>
      <c r="AG66" s="7" t="s">
        <v>175</v>
      </c>
      <c r="AH66" s="8"/>
      <c r="AI66" s="7"/>
      <c r="AJ66" s="7" t="s">
        <v>107</v>
      </c>
      <c r="AK66" s="7" t="s">
        <v>109</v>
      </c>
      <c r="AL66" s="9" t="s">
        <v>1993</v>
      </c>
      <c r="AM66" s="7" t="str">
        <f>VLOOKUP(AL66,Personal!$A$2:$I$300,2,FALSE)</f>
        <v>0000001713</v>
      </c>
      <c r="AN66" s="7" t="str">
        <f>VLOOKUP(AL66,Personal!$A$2:$I$300,3,FALSE)</f>
        <v>TISNADO MEGO LEIDER ALFONZO</v>
      </c>
      <c r="AO66" s="7" t="str">
        <f>VLOOKUP(AL66,Personal!$A$2:$I$300,6,FALSE)</f>
        <v>Encargado de Costos</v>
      </c>
      <c r="AP66" s="7" t="str">
        <f>VLOOKUP(AL66,Personal!$A$2:$I$300,7,FALSE)</f>
        <v>Contabilidad</v>
      </c>
      <c r="AQ66" s="7" t="str">
        <f>VLOOKUP(AL66,Personal!$A$2:$I$300,8,FALSE)</f>
        <v>Contraloría</v>
      </c>
      <c r="AR66" s="89"/>
    </row>
    <row r="67" spans="2:44" x14ac:dyDescent="0.3">
      <c r="B67" s="6">
        <v>62</v>
      </c>
      <c r="C67" s="6"/>
      <c r="D67" s="6"/>
      <c r="E67" s="6"/>
      <c r="F67" s="6"/>
      <c r="G67" s="7" t="s">
        <v>33</v>
      </c>
      <c r="H67" s="7" t="s">
        <v>29</v>
      </c>
      <c r="I67" s="7" t="s">
        <v>46</v>
      </c>
      <c r="J67" s="7" t="s">
        <v>193</v>
      </c>
      <c r="K67" s="10" t="s">
        <v>1211</v>
      </c>
      <c r="L67" s="7" t="s">
        <v>1290</v>
      </c>
      <c r="M67" s="7"/>
      <c r="N67" s="7"/>
      <c r="O67" s="13"/>
      <c r="P67" s="13"/>
      <c r="Q67" s="7"/>
      <c r="R67" s="7"/>
      <c r="S67" s="7" t="s">
        <v>1212</v>
      </c>
      <c r="T67" s="7"/>
      <c r="U67" s="7" t="s">
        <v>1597</v>
      </c>
      <c r="V67" s="7" t="s">
        <v>1213</v>
      </c>
      <c r="W67" s="7" t="s">
        <v>1589</v>
      </c>
      <c r="X67" s="7" t="s">
        <v>54</v>
      </c>
      <c r="Y67" s="7" t="s">
        <v>89</v>
      </c>
      <c r="Z67" s="7" t="s">
        <v>117</v>
      </c>
      <c r="AA67" s="7" t="s">
        <v>60</v>
      </c>
      <c r="AB67" s="7"/>
      <c r="AC67" s="7" t="s">
        <v>234</v>
      </c>
      <c r="AD67" s="7"/>
      <c r="AE67" s="7" t="s">
        <v>88</v>
      </c>
      <c r="AF67" s="7" t="s">
        <v>169</v>
      </c>
      <c r="AG67" s="7" t="s">
        <v>174</v>
      </c>
      <c r="AH67" s="8"/>
      <c r="AI67" s="7"/>
      <c r="AJ67" s="7" t="s">
        <v>107</v>
      </c>
      <c r="AK67" s="7" t="s">
        <v>109</v>
      </c>
      <c r="AL67" s="9" t="s">
        <v>1574</v>
      </c>
      <c r="AM67" s="7" t="str">
        <f>VLOOKUP(AL67,Personal!$A$2:$I$300,2,FALSE)</f>
        <v>0000001236</v>
      </c>
      <c r="AN67" s="7" t="str">
        <f>VLOOKUP(AL67,Personal!$A$2:$I$300,3,FALSE)</f>
        <v>BAUTISTA CARDENAS MIGUEL ALEJANDRO</v>
      </c>
      <c r="AO67" s="7" t="str">
        <f>VLOOKUP(AL67,Personal!$A$2:$I$300,6,FALSE)</f>
        <v>Sub Chef</v>
      </c>
      <c r="AP67" s="7" t="str">
        <f>VLOOKUP(AL67,Personal!$A$2:$I$300,7,FALSE)</f>
        <v xml:space="preserve">Cocina La Locanda </v>
      </c>
      <c r="AQ67" s="7" t="str">
        <f>VLOOKUP(AL67,Personal!$A$2:$I$300,8,FALSE)</f>
        <v>Cocina</v>
      </c>
      <c r="AR67" s="7"/>
    </row>
    <row r="68" spans="2:44" x14ac:dyDescent="0.3">
      <c r="B68" s="6">
        <v>63</v>
      </c>
      <c r="C68" s="6"/>
      <c r="D68" s="6"/>
      <c r="E68" s="6"/>
      <c r="F68" s="6"/>
      <c r="G68" s="7" t="s">
        <v>33</v>
      </c>
      <c r="H68" s="7" t="s">
        <v>29</v>
      </c>
      <c r="I68" s="7" t="s">
        <v>46</v>
      </c>
      <c r="J68" s="7" t="s">
        <v>193</v>
      </c>
      <c r="K68" s="10" t="s">
        <v>1216</v>
      </c>
      <c r="L68" s="7" t="s">
        <v>1290</v>
      </c>
      <c r="M68" s="7"/>
      <c r="N68" s="7"/>
      <c r="O68" s="13"/>
      <c r="P68" s="13"/>
      <c r="Q68" s="7"/>
      <c r="R68" s="7"/>
      <c r="S68" s="7" t="s">
        <v>1215</v>
      </c>
      <c r="T68" s="7"/>
      <c r="U68" s="7" t="s">
        <v>1621</v>
      </c>
      <c r="V68" s="7"/>
      <c r="W68" s="7" t="s">
        <v>1623</v>
      </c>
      <c r="X68" s="7" t="s">
        <v>54</v>
      </c>
      <c r="Y68" s="7" t="s">
        <v>89</v>
      </c>
      <c r="Z68" s="7" t="s">
        <v>117</v>
      </c>
      <c r="AA68" s="7" t="s">
        <v>60</v>
      </c>
      <c r="AB68" s="7"/>
      <c r="AC68" s="7" t="s">
        <v>234</v>
      </c>
      <c r="AD68" s="7"/>
      <c r="AE68" s="7" t="s">
        <v>88</v>
      </c>
      <c r="AF68" s="7"/>
      <c r="AG68" s="7" t="s">
        <v>175</v>
      </c>
      <c r="AH68" s="8"/>
      <c r="AI68" s="7"/>
      <c r="AJ68" s="7" t="s">
        <v>107</v>
      </c>
      <c r="AK68" s="7" t="s">
        <v>109</v>
      </c>
      <c r="AL68" s="9" t="s">
        <v>1785</v>
      </c>
      <c r="AM68" s="7" t="str">
        <f>VLOOKUP(AL68,Personal!$A$2:$I$300,2,FALSE)</f>
        <v>0000001760</v>
      </c>
      <c r="AN68" s="7" t="str">
        <f>VLOOKUP(AL68,Personal!$A$2:$I$300,3,FALSE)</f>
        <v>CONDORI MORENO ELIZABETH CINTHIA</v>
      </c>
      <c r="AO68" s="7" t="str">
        <f>VLOOKUP(AL68,Personal!$A$2:$I$300,6,FALSE)</f>
        <v>Asistente de Calidad</v>
      </c>
      <c r="AP68" s="7" t="str">
        <f>VLOOKUP(AL68,Personal!$A$2:$I$300,7,FALSE)</f>
        <v>Calidad</v>
      </c>
      <c r="AQ68" s="7" t="str">
        <f>VLOOKUP(AL68,Personal!$A$2:$I$300,8,FALSE)</f>
        <v>Cocina</v>
      </c>
      <c r="AR68" s="89"/>
    </row>
    <row r="69" spans="2:44" x14ac:dyDescent="0.3">
      <c r="B69" s="6">
        <v>64</v>
      </c>
      <c r="C69" s="6"/>
      <c r="D69" s="6"/>
      <c r="E69" s="6"/>
      <c r="F69" s="6"/>
      <c r="G69" s="7" t="s">
        <v>33</v>
      </c>
      <c r="H69" s="7" t="s">
        <v>29</v>
      </c>
      <c r="I69" s="7" t="s">
        <v>46</v>
      </c>
      <c r="J69" s="7" t="s">
        <v>193</v>
      </c>
      <c r="K69" s="10" t="s">
        <v>1217</v>
      </c>
      <c r="L69" s="7" t="s">
        <v>1290</v>
      </c>
      <c r="M69" s="7"/>
      <c r="N69" s="7"/>
      <c r="O69" s="13"/>
      <c r="P69" s="13"/>
      <c r="Q69" s="7"/>
      <c r="R69" s="7"/>
      <c r="S69" s="7" t="s">
        <v>1218</v>
      </c>
      <c r="T69" s="7"/>
      <c r="U69" s="7" t="s">
        <v>1730</v>
      </c>
      <c r="V69" s="7" t="s">
        <v>1737</v>
      </c>
      <c r="W69" s="7" t="s">
        <v>1737</v>
      </c>
      <c r="X69" s="7" t="s">
        <v>54</v>
      </c>
      <c r="Y69" s="7" t="s">
        <v>89</v>
      </c>
      <c r="Z69" s="7" t="s">
        <v>117</v>
      </c>
      <c r="AA69" s="7" t="s">
        <v>58</v>
      </c>
      <c r="AB69" s="7"/>
      <c r="AC69" s="7" t="s">
        <v>77</v>
      </c>
      <c r="AD69" s="7"/>
      <c r="AE69" s="54" t="s">
        <v>1210</v>
      </c>
      <c r="AF69" s="7"/>
      <c r="AG69" s="7" t="s">
        <v>174</v>
      </c>
      <c r="AH69" s="8"/>
      <c r="AI69" s="7"/>
      <c r="AJ69" s="7" t="s">
        <v>107</v>
      </c>
      <c r="AK69" s="7" t="s">
        <v>109</v>
      </c>
      <c r="AL69" s="83" t="s">
        <v>1740</v>
      </c>
      <c r="AM69" s="7">
        <f>VLOOKUP(AL69,Personal!$A$2:$I$300,2,FALSE)</f>
        <v>0</v>
      </c>
      <c r="AN69" s="7" t="str">
        <f>VLOOKUP(AL69,Personal!$A$2:$I$300,3,FALSE)</f>
        <v>SISTEMAS DE ACTIVOS FIJOS</v>
      </c>
      <c r="AO69" s="7" t="str">
        <f>VLOOKUP(AL69,Personal!$A$2:$I$300,6,FALSE)</f>
        <v>Sistema de Activos Fijos</v>
      </c>
      <c r="AP69" s="7" t="str">
        <f>VLOOKUP(AL69,Personal!$A$2:$I$300,7,FALSE)</f>
        <v>Contabilidad</v>
      </c>
      <c r="AQ69" s="7" t="str">
        <f>VLOOKUP(AL69,Personal!$A$2:$I$300,8,FALSE)</f>
        <v>Contraloría</v>
      </c>
      <c r="AR69" s="89"/>
    </row>
    <row r="70" spans="2:44" x14ac:dyDescent="0.3">
      <c r="B70" s="6">
        <v>65</v>
      </c>
      <c r="C70" s="6"/>
      <c r="D70" s="6"/>
      <c r="E70" s="6"/>
      <c r="F70" s="6"/>
      <c r="G70" s="7" t="s">
        <v>33</v>
      </c>
      <c r="H70" s="7" t="s">
        <v>29</v>
      </c>
      <c r="I70" s="7" t="s">
        <v>46</v>
      </c>
      <c r="J70" s="7" t="s">
        <v>193</v>
      </c>
      <c r="K70" s="10" t="s">
        <v>1219</v>
      </c>
      <c r="L70" s="7" t="s">
        <v>1290</v>
      </c>
      <c r="M70" s="7"/>
      <c r="N70" s="7"/>
      <c r="O70" s="13"/>
      <c r="P70" s="13"/>
      <c r="Q70" s="7"/>
      <c r="R70" s="7"/>
      <c r="S70" s="7" t="s">
        <v>1221</v>
      </c>
      <c r="T70" s="7"/>
      <c r="U70" s="7" t="s">
        <v>1539</v>
      </c>
      <c r="V70" s="7" t="s">
        <v>1220</v>
      </c>
      <c r="W70" s="7" t="s">
        <v>1410</v>
      </c>
      <c r="X70" s="7" t="s">
        <v>54</v>
      </c>
      <c r="Y70" s="7" t="s">
        <v>89</v>
      </c>
      <c r="Z70" s="7" t="s">
        <v>117</v>
      </c>
      <c r="AA70" s="7" t="s">
        <v>60</v>
      </c>
      <c r="AB70" s="7"/>
      <c r="AC70" s="7" t="s">
        <v>234</v>
      </c>
      <c r="AD70" s="7"/>
      <c r="AE70" s="54" t="s">
        <v>88</v>
      </c>
      <c r="AF70" s="7"/>
      <c r="AG70" s="7" t="s">
        <v>174</v>
      </c>
      <c r="AH70" s="8"/>
      <c r="AI70" s="7"/>
      <c r="AJ70" s="7" t="s">
        <v>107</v>
      </c>
      <c r="AK70" s="7" t="s">
        <v>109</v>
      </c>
      <c r="AL70" s="9" t="s">
        <v>265</v>
      </c>
      <c r="AM70" s="7" t="str">
        <f>VLOOKUP(AL70,Personal!$A$2:$I$300,2,FALSE)</f>
        <v>0000000037</v>
      </c>
      <c r="AN70" s="7" t="str">
        <f>VLOOKUP(AL70,Personal!$A$2:$I$300,3,FALSE)</f>
        <v>OBARA AVI JUAN FERNANDO</v>
      </c>
      <c r="AO70" s="7" t="str">
        <f>VLOOKUP(AL70,Personal!$A$2:$I$300,6,FALSE)</f>
        <v>Gerente de Compras</v>
      </c>
      <c r="AP70" s="7" t="str">
        <f>VLOOKUP(AL70,Personal!$A$2:$I$300,7,FALSE)</f>
        <v>Compras</v>
      </c>
      <c r="AQ70" s="7" t="str">
        <f>VLOOKUP(AL70,Personal!$A$2:$I$300,8,FALSE)</f>
        <v>Compras</v>
      </c>
      <c r="AR70" s="89"/>
    </row>
    <row r="71" spans="2:44" x14ac:dyDescent="0.3">
      <c r="B71" s="6">
        <v>66</v>
      </c>
      <c r="C71" s="6"/>
      <c r="D71" s="6"/>
      <c r="E71" s="6"/>
      <c r="F71" s="6"/>
      <c r="G71" s="7" t="s">
        <v>33</v>
      </c>
      <c r="H71" s="7" t="s">
        <v>29</v>
      </c>
      <c r="I71" s="7" t="s">
        <v>46</v>
      </c>
      <c r="J71" s="7" t="s">
        <v>1224</v>
      </c>
      <c r="K71" s="10" t="s">
        <v>1225</v>
      </c>
      <c r="L71" s="7" t="s">
        <v>1359</v>
      </c>
      <c r="M71" s="7"/>
      <c r="N71" s="7"/>
      <c r="O71" s="13"/>
      <c r="P71" s="13"/>
      <c r="Q71" s="7"/>
      <c r="R71" s="7"/>
      <c r="S71" s="7" t="s">
        <v>1223</v>
      </c>
      <c r="T71" s="7"/>
      <c r="U71" s="7" t="s">
        <v>1445</v>
      </c>
      <c r="V71" s="7" t="s">
        <v>1222</v>
      </c>
      <c r="W71" s="7" t="s">
        <v>1222</v>
      </c>
      <c r="X71" s="7" t="s">
        <v>55</v>
      </c>
      <c r="Y71" s="7" t="s">
        <v>97</v>
      </c>
      <c r="Z71" s="7" t="s">
        <v>116</v>
      </c>
      <c r="AA71" s="7" t="s">
        <v>73</v>
      </c>
      <c r="AB71" s="7"/>
      <c r="AC71" s="7" t="s">
        <v>79</v>
      </c>
      <c r="AD71" s="7"/>
      <c r="AE71" s="7" t="s">
        <v>88</v>
      </c>
      <c r="AF71" s="7" t="s">
        <v>169</v>
      </c>
      <c r="AG71" s="7" t="s">
        <v>174</v>
      </c>
      <c r="AH71" s="8"/>
      <c r="AI71" s="7"/>
      <c r="AJ71" s="7" t="s">
        <v>107</v>
      </c>
      <c r="AK71" s="7" t="s">
        <v>109</v>
      </c>
      <c r="AL71" s="9" t="s">
        <v>947</v>
      </c>
      <c r="AM71" s="7" t="str">
        <f>VLOOKUP(AL71,Personal!$A$2:$I$300,2,FALSE)</f>
        <v>0000001708</v>
      </c>
      <c r="AN71" s="7" t="str">
        <f>VLOOKUP(AL71,Personal!$A$2:$I$300,3,FALSE)</f>
        <v>PALACIOS CULQUI THALIA YARIM</v>
      </c>
      <c r="AO71" s="7" t="str">
        <f>VLOOKUP(AL71,Personal!$A$2:$I$300,6,FALSE)</f>
        <v>Jefe de Marketing</v>
      </c>
      <c r="AP71" s="7" t="str">
        <f>VLOOKUP(AL71,Personal!$A$2:$I$300,7,FALSE)</f>
        <v>Marketing</v>
      </c>
      <c r="AQ71" s="7" t="str">
        <f>VLOOKUP(AL71,Personal!$A$2:$I$300,8,FALSE)</f>
        <v>Ventas y Marketing</v>
      </c>
      <c r="AR71" s="7"/>
    </row>
    <row r="72" spans="2:44" x14ac:dyDescent="0.3">
      <c r="B72" s="6">
        <v>67</v>
      </c>
      <c r="C72" s="6"/>
      <c r="D72" s="6"/>
      <c r="E72" s="6"/>
      <c r="F72" s="6"/>
      <c r="G72" s="7" t="s">
        <v>33</v>
      </c>
      <c r="H72" s="7" t="s">
        <v>29</v>
      </c>
      <c r="I72" s="7" t="s">
        <v>46</v>
      </c>
      <c r="J72" s="7" t="s">
        <v>193</v>
      </c>
      <c r="K72" s="10" t="s">
        <v>1226</v>
      </c>
      <c r="L72" s="7" t="s">
        <v>1290</v>
      </c>
      <c r="M72" s="7"/>
      <c r="N72" s="7"/>
      <c r="O72" s="13"/>
      <c r="P72" s="13"/>
      <c r="Q72" s="7"/>
      <c r="R72" s="7"/>
      <c r="S72" s="7" t="s">
        <v>1228</v>
      </c>
      <c r="T72" s="7"/>
      <c r="U72" s="7" t="s">
        <v>1443</v>
      </c>
      <c r="V72" s="7" t="s">
        <v>1227</v>
      </c>
      <c r="W72" s="7" t="s">
        <v>1442</v>
      </c>
      <c r="X72" s="7" t="s">
        <v>54</v>
      </c>
      <c r="Y72" s="7" t="s">
        <v>89</v>
      </c>
      <c r="Z72" s="7" t="s">
        <v>117</v>
      </c>
      <c r="AA72" s="7" t="s">
        <v>60</v>
      </c>
      <c r="AB72" s="7"/>
      <c r="AC72" s="7" t="s">
        <v>234</v>
      </c>
      <c r="AD72" s="7"/>
      <c r="AE72" s="7" t="s">
        <v>88</v>
      </c>
      <c r="AF72" s="7" t="s">
        <v>169</v>
      </c>
      <c r="AG72" s="7" t="s">
        <v>174</v>
      </c>
      <c r="AH72" s="8"/>
      <c r="AI72" s="7"/>
      <c r="AJ72" s="7" t="s">
        <v>107</v>
      </c>
      <c r="AK72" s="7" t="s">
        <v>109</v>
      </c>
      <c r="AL72" s="9" t="s">
        <v>598</v>
      </c>
      <c r="AM72" s="7" t="str">
        <f>VLOOKUP(AL72,Personal!$A$2:$I$300,2,FALSE)</f>
        <v>0000001510</v>
      </c>
      <c r="AN72" s="7" t="str">
        <f>VLOOKUP(AL72,Personal!$A$2:$I$300,3,FALSE)</f>
        <v>CHAVEZ CRUZ MARITZA DINA</v>
      </c>
      <c r="AO72" s="7" t="str">
        <f>VLOOKUP(AL72,Personal!$A$2:$I$300,6,FALSE)</f>
        <v>Ejecutiva de Ventas</v>
      </c>
      <c r="AP72" s="7" t="str">
        <f>VLOOKUP(AL72,Personal!$A$2:$I$300,7,FALSE)</f>
        <v>Ventas</v>
      </c>
      <c r="AQ72" s="7" t="str">
        <f>VLOOKUP(AL72,Personal!$A$2:$I$300,8,FALSE)</f>
        <v>Ventas y Marketing</v>
      </c>
      <c r="AR72" s="89"/>
    </row>
    <row r="73" spans="2:44" x14ac:dyDescent="0.3">
      <c r="B73" s="6">
        <v>68</v>
      </c>
      <c r="C73" s="6"/>
      <c r="D73" s="6"/>
      <c r="E73" s="6"/>
      <c r="F73" s="6"/>
      <c r="G73" s="7" t="s">
        <v>33</v>
      </c>
      <c r="H73" s="7" t="s">
        <v>29</v>
      </c>
      <c r="I73" s="7" t="s">
        <v>46</v>
      </c>
      <c r="J73" s="7" t="s">
        <v>193</v>
      </c>
      <c r="K73" s="10" t="s">
        <v>1229</v>
      </c>
      <c r="L73" s="7" t="s">
        <v>1290</v>
      </c>
      <c r="M73" s="7"/>
      <c r="N73" s="7"/>
      <c r="O73" s="13"/>
      <c r="P73" s="13"/>
      <c r="Q73" s="7"/>
      <c r="R73" s="7"/>
      <c r="S73" s="7" t="s">
        <v>1230</v>
      </c>
      <c r="T73" s="7"/>
      <c r="U73" s="7" t="s">
        <v>1501</v>
      </c>
      <c r="V73" s="7"/>
      <c r="W73" s="7"/>
      <c r="X73" s="7" t="s">
        <v>54</v>
      </c>
      <c r="Y73" s="7" t="s">
        <v>89</v>
      </c>
      <c r="Z73" s="7" t="s">
        <v>117</v>
      </c>
      <c r="AA73" s="7"/>
      <c r="AB73" s="7"/>
      <c r="AC73" s="7"/>
      <c r="AD73" s="7"/>
      <c r="AE73" s="7"/>
      <c r="AF73" s="7"/>
      <c r="AG73" s="7"/>
      <c r="AH73" s="8"/>
      <c r="AI73" s="7"/>
      <c r="AJ73" s="7" t="s">
        <v>107</v>
      </c>
      <c r="AK73" s="7" t="s">
        <v>176</v>
      </c>
      <c r="AL73" s="10" t="s">
        <v>1748</v>
      </c>
      <c r="AM73" s="7">
        <f>VLOOKUP(AL73,Personal!$A$2:$I$300,2,FALSE)</f>
        <v>0</v>
      </c>
      <c r="AN73" s="7" t="str">
        <f>VLOOKUP(AL73,Personal!$A$2:$I$300,3,FALSE)</f>
        <v xml:space="preserve">Tecnologias de Información </v>
      </c>
      <c r="AO73" s="7" t="str">
        <f>VLOOKUP(AL73,Personal!$A$2:$I$300,6,FALSE)</f>
        <v xml:space="preserve">Tecnologias de Información </v>
      </c>
      <c r="AP73" s="7" t="str">
        <f>VLOOKUP(AL73,Personal!$A$2:$I$300,7,FALSE)</f>
        <v xml:space="preserve">Tecnologias de Información </v>
      </c>
      <c r="AQ73" s="7" t="str">
        <f>VLOOKUP(AL73,Personal!$A$2:$I$300,8,FALSE)</f>
        <v xml:space="preserve">Tecnologias de Información </v>
      </c>
      <c r="AR73" s="7"/>
    </row>
    <row r="74" spans="2:44" x14ac:dyDescent="0.3">
      <c r="B74" s="6">
        <v>69</v>
      </c>
      <c r="C74" s="6"/>
      <c r="D74" s="6"/>
      <c r="E74" s="6"/>
      <c r="F74" s="6"/>
      <c r="G74" s="7" t="s">
        <v>33</v>
      </c>
      <c r="H74" s="7" t="s">
        <v>29</v>
      </c>
      <c r="I74" s="7" t="s">
        <v>46</v>
      </c>
      <c r="J74" s="7" t="s">
        <v>193</v>
      </c>
      <c r="K74" s="10" t="s">
        <v>1233</v>
      </c>
      <c r="L74" s="7" t="s">
        <v>1290</v>
      </c>
      <c r="M74" s="7"/>
      <c r="N74" s="7"/>
      <c r="O74" s="13"/>
      <c r="P74" s="13"/>
      <c r="Q74" s="7"/>
      <c r="R74" s="7"/>
      <c r="S74" s="7" t="s">
        <v>1234</v>
      </c>
      <c r="T74" s="7"/>
      <c r="U74" s="7" t="s">
        <v>1449</v>
      </c>
      <c r="V74" s="7" t="s">
        <v>1232</v>
      </c>
      <c r="W74" s="7" t="s">
        <v>1430</v>
      </c>
      <c r="X74" s="7" t="s">
        <v>54</v>
      </c>
      <c r="Y74" s="7" t="s">
        <v>89</v>
      </c>
      <c r="Z74" s="7" t="s">
        <v>117</v>
      </c>
      <c r="AA74" s="7" t="s">
        <v>60</v>
      </c>
      <c r="AB74" s="7"/>
      <c r="AC74" s="7" t="s">
        <v>234</v>
      </c>
      <c r="AD74" s="7"/>
      <c r="AE74" s="7" t="s">
        <v>88</v>
      </c>
      <c r="AF74" s="7" t="s">
        <v>169</v>
      </c>
      <c r="AG74" s="7" t="s">
        <v>174</v>
      </c>
      <c r="AH74" s="8"/>
      <c r="AI74" s="7"/>
      <c r="AJ74" s="7" t="s">
        <v>107</v>
      </c>
      <c r="AK74" s="7" t="s">
        <v>109</v>
      </c>
      <c r="AL74" s="9" t="s">
        <v>614</v>
      </c>
      <c r="AM74" s="7" t="str">
        <f>VLOOKUP(AL74,Personal!$A$2:$I$300,2,FALSE)</f>
        <v>0000001516</v>
      </c>
      <c r="AN74" s="7" t="str">
        <f>VLOOKUP(AL74,Personal!$A$2:$I$300,3,FALSE)</f>
        <v>ROQUE SILVA TANIA MARYORI</v>
      </c>
      <c r="AO74" s="7" t="str">
        <f>VLOOKUP(AL74,Personal!$A$2:$I$300,6,FALSE)</f>
        <v>Agente de Reservas</v>
      </c>
      <c r="AP74" s="7" t="str">
        <f>VLOOKUP(AL74,Personal!$A$2:$I$300,7,FALSE)</f>
        <v>Reservas</v>
      </c>
      <c r="AQ74" s="7" t="str">
        <f>VLOOKUP(AL74,Personal!$A$2:$I$300,8,FALSE)</f>
        <v>Ventas y Marketing</v>
      </c>
      <c r="AR74" s="89"/>
    </row>
    <row r="75" spans="2:44" x14ac:dyDescent="0.3">
      <c r="B75" s="6">
        <v>70</v>
      </c>
      <c r="C75" s="6"/>
      <c r="D75" s="6"/>
      <c r="E75" s="6"/>
      <c r="F75" s="6"/>
      <c r="G75" s="7" t="s">
        <v>33</v>
      </c>
      <c r="H75" s="7" t="s">
        <v>29</v>
      </c>
      <c r="I75" s="7" t="s">
        <v>46</v>
      </c>
      <c r="J75" s="7" t="s">
        <v>193</v>
      </c>
      <c r="K75" s="10" t="s">
        <v>1237</v>
      </c>
      <c r="L75" s="7" t="s">
        <v>1290</v>
      </c>
      <c r="M75" s="7"/>
      <c r="N75" s="7"/>
      <c r="O75" s="13"/>
      <c r="P75" s="13"/>
      <c r="Q75" s="7"/>
      <c r="R75" s="7"/>
      <c r="S75" s="7" t="s">
        <v>1235</v>
      </c>
      <c r="T75" s="7"/>
      <c r="U75" s="7" t="s">
        <v>1450</v>
      </c>
      <c r="V75" s="7" t="s">
        <v>1236</v>
      </c>
      <c r="W75" s="7" t="s">
        <v>1437</v>
      </c>
      <c r="X75" s="7" t="s">
        <v>54</v>
      </c>
      <c r="Y75" s="7" t="s">
        <v>89</v>
      </c>
      <c r="Z75" s="7" t="s">
        <v>117</v>
      </c>
      <c r="AA75" s="7" t="s">
        <v>60</v>
      </c>
      <c r="AB75" s="7"/>
      <c r="AC75" s="7" t="s">
        <v>234</v>
      </c>
      <c r="AD75" s="7"/>
      <c r="AE75" s="7" t="s">
        <v>88</v>
      </c>
      <c r="AF75" s="7" t="s">
        <v>169</v>
      </c>
      <c r="AG75" s="7" t="s">
        <v>174</v>
      </c>
      <c r="AH75" s="8"/>
      <c r="AI75" s="7"/>
      <c r="AJ75" s="7" t="s">
        <v>107</v>
      </c>
      <c r="AK75" s="7" t="s">
        <v>109</v>
      </c>
      <c r="AL75" s="9" t="s">
        <v>685</v>
      </c>
      <c r="AM75" s="7" t="str">
        <f>VLOOKUP(AL75,Personal!$A$2:$I$300,2,FALSE)</f>
        <v>0000001568</v>
      </c>
      <c r="AN75" s="7" t="str">
        <f>VLOOKUP(AL75,Personal!$A$2:$I$300,3,FALSE)</f>
        <v>BAGLIETTO ROJAS PIERO GIOVANI</v>
      </c>
      <c r="AO75" s="7" t="str">
        <f>VLOOKUP(AL75,Personal!$A$2:$I$300,6,FALSE)</f>
        <v>Jefe de Revenue</v>
      </c>
      <c r="AP75" s="7" t="str">
        <f>VLOOKUP(AL75,Personal!$A$2:$I$300,7,FALSE)</f>
        <v>Revenue</v>
      </c>
      <c r="AQ75" s="7" t="str">
        <f>VLOOKUP(AL75,Personal!$A$2:$I$300,8,FALSE)</f>
        <v>Ventas y Marketing</v>
      </c>
      <c r="AR75" s="7"/>
    </row>
    <row r="76" spans="2:44" x14ac:dyDescent="0.3">
      <c r="B76" s="6">
        <v>71</v>
      </c>
      <c r="C76" s="6"/>
      <c r="D76" s="6"/>
      <c r="E76" s="6"/>
      <c r="F76" s="6"/>
      <c r="G76" s="7" t="s">
        <v>33</v>
      </c>
      <c r="H76" s="7" t="s">
        <v>29</v>
      </c>
      <c r="I76" s="7" t="s">
        <v>46</v>
      </c>
      <c r="J76" s="7" t="s">
        <v>193</v>
      </c>
      <c r="K76" s="10" t="s">
        <v>1238</v>
      </c>
      <c r="L76" s="7" t="s">
        <v>1290</v>
      </c>
      <c r="M76" s="7"/>
      <c r="N76" s="7"/>
      <c r="O76" s="13"/>
      <c r="P76" s="13"/>
      <c r="Q76" s="7"/>
      <c r="R76" s="7"/>
      <c r="S76" s="7" t="s">
        <v>1239</v>
      </c>
      <c r="T76" s="7"/>
      <c r="U76" s="7" t="s">
        <v>1452</v>
      </c>
      <c r="V76" s="7" t="s">
        <v>1240</v>
      </c>
      <c r="W76" s="7" t="s">
        <v>1441</v>
      </c>
      <c r="X76" s="7" t="s">
        <v>54</v>
      </c>
      <c r="Y76" s="7" t="s">
        <v>89</v>
      </c>
      <c r="Z76" s="7" t="s">
        <v>117</v>
      </c>
      <c r="AA76" s="7" t="s">
        <v>60</v>
      </c>
      <c r="AB76" s="7"/>
      <c r="AC76" s="7" t="s">
        <v>234</v>
      </c>
      <c r="AD76" s="7"/>
      <c r="AE76" s="7" t="s">
        <v>88</v>
      </c>
      <c r="AF76" s="7" t="s">
        <v>169</v>
      </c>
      <c r="AG76" s="7" t="s">
        <v>175</v>
      </c>
      <c r="AH76" s="8"/>
      <c r="AI76" s="7"/>
      <c r="AJ76" s="7" t="s">
        <v>107</v>
      </c>
      <c r="AK76" s="7" t="s">
        <v>109</v>
      </c>
      <c r="AL76" s="9" t="s">
        <v>420</v>
      </c>
      <c r="AM76" s="7" t="str">
        <f>VLOOKUP(AL76,Personal!$A$2:$I$300,2,FALSE)</f>
        <v>0000001121</v>
      </c>
      <c r="AN76" s="7" t="str">
        <f>VLOOKUP(AL76,Personal!$A$2:$I$300,3,FALSE)</f>
        <v>VASQUEZ MORALES MARIELA IRAIS</v>
      </c>
      <c r="AO76" s="7" t="str">
        <f>VLOOKUP(AL76,Personal!$A$2:$I$300,6,FALSE)</f>
        <v>Gerente de Ventas Corporativas</v>
      </c>
      <c r="AP76" s="7" t="str">
        <f>VLOOKUP(AL76,Personal!$A$2:$I$300,7,FALSE)</f>
        <v>Ventas</v>
      </c>
      <c r="AQ76" s="7" t="str">
        <f>VLOOKUP(AL76,Personal!$A$2:$I$300,8,FALSE)</f>
        <v>Ventas y Marketing</v>
      </c>
      <c r="AR76" s="89"/>
    </row>
    <row r="77" spans="2:44" x14ac:dyDescent="0.3">
      <c r="B77" s="6">
        <v>72</v>
      </c>
      <c r="C77" s="6"/>
      <c r="D77" s="6"/>
      <c r="E77" s="6"/>
      <c r="F77" s="6"/>
      <c r="G77" s="7" t="s">
        <v>33</v>
      </c>
      <c r="H77" s="7" t="s">
        <v>38</v>
      </c>
      <c r="I77" s="7" t="s">
        <v>46</v>
      </c>
      <c r="J77" s="7" t="s">
        <v>193</v>
      </c>
      <c r="K77" s="10" t="s">
        <v>1241</v>
      </c>
      <c r="L77" s="7" t="s">
        <v>1290</v>
      </c>
      <c r="M77" s="7"/>
      <c r="N77" s="7"/>
      <c r="O77" s="13"/>
      <c r="P77" s="13"/>
      <c r="Q77" s="7"/>
      <c r="R77" s="7"/>
      <c r="S77" s="7" t="s">
        <v>1242</v>
      </c>
      <c r="T77" s="7"/>
      <c r="U77" s="7" t="s">
        <v>2071</v>
      </c>
      <c r="V77" s="7" t="s">
        <v>1243</v>
      </c>
      <c r="W77" s="7" t="s">
        <v>1243</v>
      </c>
      <c r="X77" s="7" t="s">
        <v>54</v>
      </c>
      <c r="Y77" s="7" t="s">
        <v>89</v>
      </c>
      <c r="Z77" s="7" t="s">
        <v>117</v>
      </c>
      <c r="AA77" s="7" t="s">
        <v>58</v>
      </c>
      <c r="AB77" s="7"/>
      <c r="AC77" s="7" t="s">
        <v>75</v>
      </c>
      <c r="AD77" s="7"/>
      <c r="AE77" s="54" t="s">
        <v>1210</v>
      </c>
      <c r="AF77" s="7" t="s">
        <v>169</v>
      </c>
      <c r="AG77" s="7" t="s">
        <v>174</v>
      </c>
      <c r="AH77" s="8"/>
      <c r="AI77" s="7"/>
      <c r="AJ77" s="7" t="s">
        <v>107</v>
      </c>
      <c r="AK77" s="54" t="s">
        <v>109</v>
      </c>
      <c r="AL77" s="10" t="s">
        <v>1748</v>
      </c>
      <c r="AM77" s="7">
        <f>VLOOKUP(AL77,Personal!$A$2:$I$300,2,FALSE)</f>
        <v>0</v>
      </c>
      <c r="AN77" s="7" t="str">
        <f>VLOOKUP(AL77,Personal!$A$2:$I$300,3,FALSE)</f>
        <v xml:space="preserve">Tecnologias de Información </v>
      </c>
      <c r="AO77" s="7" t="str">
        <f>VLOOKUP(AL77,Personal!$A$2:$I$300,6,FALSE)</f>
        <v xml:space="preserve">Tecnologias de Información </v>
      </c>
      <c r="AP77" s="7" t="str">
        <f>VLOOKUP(AL77,Personal!$A$2:$I$300,7,FALSE)</f>
        <v xml:space="preserve">Tecnologias de Información </v>
      </c>
      <c r="AQ77" s="7" t="str">
        <f>VLOOKUP(AL77,Personal!$A$2:$I$300,8,FALSE)</f>
        <v xml:space="preserve">Tecnologias de Información </v>
      </c>
      <c r="AR77" s="89" t="s">
        <v>2079</v>
      </c>
    </row>
    <row r="78" spans="2:44" x14ac:dyDescent="0.3">
      <c r="B78" s="6">
        <v>73</v>
      </c>
      <c r="C78" s="6"/>
      <c r="D78" s="6"/>
      <c r="E78" s="6"/>
      <c r="F78" s="6"/>
      <c r="G78" s="7" t="s">
        <v>33</v>
      </c>
      <c r="H78" s="7" t="s">
        <v>29</v>
      </c>
      <c r="I78" s="7" t="s">
        <v>47</v>
      </c>
      <c r="J78" s="7" t="s">
        <v>187</v>
      </c>
      <c r="K78" s="10" t="s">
        <v>219</v>
      </c>
      <c r="L78" s="7" t="s">
        <v>189</v>
      </c>
      <c r="M78" s="7"/>
      <c r="N78" s="7"/>
      <c r="O78" s="13"/>
      <c r="P78" s="13"/>
      <c r="Q78" s="7"/>
      <c r="R78" s="7"/>
      <c r="S78" s="7" t="s">
        <v>1795</v>
      </c>
      <c r="T78" s="7"/>
      <c r="U78" s="7" t="s">
        <v>1793</v>
      </c>
      <c r="V78" s="7" t="s">
        <v>1245</v>
      </c>
      <c r="W78" s="7" t="s">
        <v>1794</v>
      </c>
      <c r="X78" s="7" t="s">
        <v>55</v>
      </c>
      <c r="Y78" s="7" t="s">
        <v>101</v>
      </c>
      <c r="Z78" s="7" t="s">
        <v>117</v>
      </c>
      <c r="AA78" s="7" t="s">
        <v>73</v>
      </c>
      <c r="AB78" s="7"/>
      <c r="AC78" s="7" t="s">
        <v>79</v>
      </c>
      <c r="AD78" s="7"/>
      <c r="AE78" s="7" t="s">
        <v>88</v>
      </c>
      <c r="AF78" s="7" t="s">
        <v>169</v>
      </c>
      <c r="AG78" s="7" t="s">
        <v>174</v>
      </c>
      <c r="AH78" s="8"/>
      <c r="AI78" s="7"/>
      <c r="AJ78" s="7" t="s">
        <v>107</v>
      </c>
      <c r="AK78" s="7" t="s">
        <v>109</v>
      </c>
      <c r="AL78" s="9" t="s">
        <v>1650</v>
      </c>
      <c r="AM78" s="7" t="str">
        <f>VLOOKUP(AL78,Personal!$A$2:$I$300,2,FALSE)</f>
        <v>Front Desk</v>
      </c>
      <c r="AN78" s="7" t="str">
        <f>VLOOKUP(AL78,Personal!$A$2:$I$300,3,FALSE)</f>
        <v>Front Desk 4</v>
      </c>
      <c r="AO78" s="7" t="str">
        <f>VLOOKUP(AL78,Personal!$A$2:$I$300,6,FALSE)</f>
        <v>Recepcionista</v>
      </c>
      <c r="AP78" s="7" t="str">
        <f>VLOOKUP(AL78,Personal!$A$2:$I$300,7,FALSE)</f>
        <v>Recepción</v>
      </c>
      <c r="AQ78" s="7" t="str">
        <f>VLOOKUP(AL78,Personal!$A$2:$I$300,8,FALSE)</f>
        <v>División de Habitaciones (Operaciones)</v>
      </c>
      <c r="AR78" s="89" t="s">
        <v>224</v>
      </c>
    </row>
    <row r="79" spans="2:44" x14ac:dyDescent="0.3">
      <c r="B79" s="6">
        <v>74</v>
      </c>
      <c r="C79" s="6"/>
      <c r="D79" s="6"/>
      <c r="E79" s="6"/>
      <c r="F79" s="6"/>
      <c r="G79" s="7" t="s">
        <v>33</v>
      </c>
      <c r="H79" s="7" t="s">
        <v>29</v>
      </c>
      <c r="I79" s="7" t="s">
        <v>46</v>
      </c>
      <c r="J79" s="7" t="s">
        <v>193</v>
      </c>
      <c r="K79" s="10" t="s">
        <v>1247</v>
      </c>
      <c r="L79" s="7" t="s">
        <v>1290</v>
      </c>
      <c r="M79" s="7"/>
      <c r="N79" s="7"/>
      <c r="O79" s="13"/>
      <c r="P79" s="13"/>
      <c r="Q79" s="7"/>
      <c r="R79" s="7"/>
      <c r="S79" s="7" t="s">
        <v>1248</v>
      </c>
      <c r="T79" s="7"/>
      <c r="U79" s="7"/>
      <c r="V79" s="7" t="s">
        <v>1246</v>
      </c>
      <c r="W79" s="7"/>
      <c r="X79" s="7" t="s">
        <v>54</v>
      </c>
      <c r="Y79" s="7" t="s">
        <v>89</v>
      </c>
      <c r="Z79" s="7" t="s">
        <v>117</v>
      </c>
      <c r="AA79" s="7" t="s">
        <v>58</v>
      </c>
      <c r="AB79" s="7"/>
      <c r="AC79" s="7" t="s">
        <v>75</v>
      </c>
      <c r="AD79" s="7"/>
      <c r="AE79" s="54" t="s">
        <v>1210</v>
      </c>
      <c r="AF79" s="7"/>
      <c r="AG79" s="7" t="s">
        <v>174</v>
      </c>
      <c r="AH79" s="8"/>
      <c r="AI79" s="7"/>
      <c r="AJ79" s="7" t="s">
        <v>107</v>
      </c>
      <c r="AK79" s="7" t="s">
        <v>176</v>
      </c>
      <c r="AL79" s="10" t="s">
        <v>1748</v>
      </c>
      <c r="AM79" s="7">
        <f>VLOOKUP(AL79,Personal!$A$2:$I$300,2,FALSE)</f>
        <v>0</v>
      </c>
      <c r="AN79" s="7" t="str">
        <f>VLOOKUP(AL79,Personal!$A$2:$I$300,3,FALSE)</f>
        <v xml:space="preserve">Tecnologias de Información </v>
      </c>
      <c r="AO79" s="7" t="str">
        <f>VLOOKUP(AL79,Personal!$A$2:$I$300,6,FALSE)</f>
        <v xml:space="preserve">Tecnologias de Información </v>
      </c>
      <c r="AP79" s="7" t="str">
        <f>VLOOKUP(AL79,Personal!$A$2:$I$300,7,FALSE)</f>
        <v xml:space="preserve">Tecnologias de Información </v>
      </c>
      <c r="AQ79" s="7" t="str">
        <f>VLOOKUP(AL79,Personal!$A$2:$I$300,8,FALSE)</f>
        <v xml:space="preserve">Tecnologias de Información </v>
      </c>
      <c r="AR79" s="7" t="s">
        <v>1429</v>
      </c>
    </row>
    <row r="80" spans="2:44" x14ac:dyDescent="0.3">
      <c r="B80" s="6">
        <v>75</v>
      </c>
      <c r="C80" s="6"/>
      <c r="D80" s="6"/>
      <c r="E80" s="6"/>
      <c r="F80" s="6"/>
      <c r="G80" s="7" t="s">
        <v>33</v>
      </c>
      <c r="H80" s="7" t="s">
        <v>29</v>
      </c>
      <c r="I80" s="7" t="s">
        <v>46</v>
      </c>
      <c r="J80" s="7" t="s">
        <v>193</v>
      </c>
      <c r="K80" s="10" t="s">
        <v>1249</v>
      </c>
      <c r="L80" s="7" t="s">
        <v>1290</v>
      </c>
      <c r="M80" s="7"/>
      <c r="N80" s="7"/>
      <c r="O80" s="13"/>
      <c r="P80" s="13"/>
      <c r="Q80" s="7"/>
      <c r="R80" s="7"/>
      <c r="S80" s="7" t="s">
        <v>1250</v>
      </c>
      <c r="T80" s="7"/>
      <c r="U80" s="7" t="s">
        <v>1490</v>
      </c>
      <c r="V80" s="7" t="s">
        <v>1251</v>
      </c>
      <c r="W80" s="7" t="s">
        <v>1407</v>
      </c>
      <c r="X80" s="7" t="s">
        <v>54</v>
      </c>
      <c r="Y80" s="7" t="s">
        <v>89</v>
      </c>
      <c r="Z80" s="7" t="s">
        <v>117</v>
      </c>
      <c r="AA80" s="7" t="s">
        <v>60</v>
      </c>
      <c r="AB80" s="7"/>
      <c r="AC80" s="7" t="s">
        <v>234</v>
      </c>
      <c r="AD80" s="7"/>
      <c r="AE80" s="7" t="s">
        <v>88</v>
      </c>
      <c r="AF80" s="7" t="s">
        <v>169</v>
      </c>
      <c r="AG80" s="7" t="s">
        <v>174</v>
      </c>
      <c r="AH80" s="8"/>
      <c r="AI80" s="7"/>
      <c r="AJ80" s="7" t="s">
        <v>107</v>
      </c>
      <c r="AK80" s="7" t="s">
        <v>109</v>
      </c>
      <c r="AL80" s="9" t="s">
        <v>724</v>
      </c>
      <c r="AM80" s="7" t="str">
        <f>VLOOKUP(AL80,Personal!$A$2:$I$300,2,FALSE)</f>
        <v>0000P00661</v>
      </c>
      <c r="AN80" s="7" t="str">
        <f>VLOOKUP(AL80,Personal!$A$2:$I$300,3,FALSE)</f>
        <v>ORELLANA CHIPANA MARTIN SANTIAGO</v>
      </c>
      <c r="AO80" s="7" t="str">
        <f>VLOOKUP(AL80,Personal!$A$2:$I$300,6,FALSE)</f>
        <v>Practicante de Contabilidad</v>
      </c>
      <c r="AP80" s="7" t="str">
        <f>VLOOKUP(AL80,Personal!$A$2:$I$300,7,FALSE)</f>
        <v>Contabilidad</v>
      </c>
      <c r="AQ80" s="7" t="str">
        <f>VLOOKUP(AL80,Personal!$A$2:$I$300,8,FALSE)</f>
        <v>Contraloría</v>
      </c>
      <c r="AR80" s="89"/>
    </row>
    <row r="81" spans="2:44" x14ac:dyDescent="0.3">
      <c r="B81" s="6">
        <v>76</v>
      </c>
      <c r="C81" s="6"/>
      <c r="D81" s="6"/>
      <c r="E81" s="6"/>
      <c r="F81" s="6"/>
      <c r="G81" s="7" t="s">
        <v>33</v>
      </c>
      <c r="H81" s="7" t="s">
        <v>29</v>
      </c>
      <c r="I81" s="7" t="s">
        <v>46</v>
      </c>
      <c r="J81" s="7" t="s">
        <v>193</v>
      </c>
      <c r="K81" s="10" t="s">
        <v>1252</v>
      </c>
      <c r="L81" s="7" t="s">
        <v>1290</v>
      </c>
      <c r="M81" s="7"/>
      <c r="N81" s="7"/>
      <c r="O81" s="13"/>
      <c r="P81" s="13"/>
      <c r="Q81" s="7"/>
      <c r="R81" s="7"/>
      <c r="S81" s="7" t="s">
        <v>1256</v>
      </c>
      <c r="T81" s="7"/>
      <c r="U81" s="7" t="s">
        <v>1621</v>
      </c>
      <c r="V81" s="7" t="s">
        <v>1253</v>
      </c>
      <c r="W81" s="7" t="s">
        <v>1399</v>
      </c>
      <c r="X81" s="7" t="s">
        <v>54</v>
      </c>
      <c r="Y81" s="7" t="s">
        <v>89</v>
      </c>
      <c r="Z81" s="7" t="s">
        <v>117</v>
      </c>
      <c r="AA81" s="7" t="s">
        <v>60</v>
      </c>
      <c r="AB81" s="7"/>
      <c r="AC81" s="7" t="s">
        <v>234</v>
      </c>
      <c r="AD81" s="7"/>
      <c r="AE81" s="7" t="s">
        <v>88</v>
      </c>
      <c r="AF81" s="7" t="s">
        <v>169</v>
      </c>
      <c r="AG81" s="7" t="s">
        <v>174</v>
      </c>
      <c r="AH81" s="8"/>
      <c r="AI81" s="7"/>
      <c r="AJ81" s="7" t="s">
        <v>107</v>
      </c>
      <c r="AK81" s="7" t="s">
        <v>109</v>
      </c>
      <c r="AL81" s="9" t="s">
        <v>269</v>
      </c>
      <c r="AM81" s="7" t="str">
        <f>VLOOKUP(AL81,Personal!$A$2:$I$300,2,FALSE)</f>
        <v>0000000086</v>
      </c>
      <c r="AN81" s="7" t="str">
        <f>VLOOKUP(AL81,Personal!$A$2:$I$300,3,FALSE)</f>
        <v>MOTA CASTRO JIM EDUARDO</v>
      </c>
      <c r="AO81" s="7" t="str">
        <f>VLOOKUP(AL81,Personal!$A$2:$I$300,6,FALSE)</f>
        <v>Auditor de Ingresos</v>
      </c>
      <c r="AP81" s="7" t="str">
        <f>VLOOKUP(AL81,Personal!$A$2:$I$300,7,FALSE)</f>
        <v>Auditoría de Ingresos</v>
      </c>
      <c r="AQ81" s="7" t="str">
        <f>VLOOKUP(AL81,Personal!$A$2:$I$300,8,FALSE)</f>
        <v>Contraloría</v>
      </c>
      <c r="AR81" s="89"/>
    </row>
    <row r="82" spans="2:44" x14ac:dyDescent="0.3">
      <c r="B82" s="6">
        <v>77</v>
      </c>
      <c r="C82" s="6"/>
      <c r="D82" s="6"/>
      <c r="E82" s="6"/>
      <c r="F82" s="6"/>
      <c r="G82" s="7" t="s">
        <v>33</v>
      </c>
      <c r="H82" s="7" t="s">
        <v>29</v>
      </c>
      <c r="I82" s="7" t="s">
        <v>46</v>
      </c>
      <c r="J82" s="7" t="s">
        <v>193</v>
      </c>
      <c r="K82" s="10" t="s">
        <v>1254</v>
      </c>
      <c r="L82" s="7" t="s">
        <v>1290</v>
      </c>
      <c r="M82" s="7"/>
      <c r="N82" s="7"/>
      <c r="O82" s="13"/>
      <c r="P82" s="13"/>
      <c r="Q82" s="7"/>
      <c r="R82" s="7"/>
      <c r="S82" s="7" t="s">
        <v>1255</v>
      </c>
      <c r="T82" s="7"/>
      <c r="U82" s="7" t="s">
        <v>1451</v>
      </c>
      <c r="V82" s="7" t="s">
        <v>1257</v>
      </c>
      <c r="W82" s="7" t="s">
        <v>1431</v>
      </c>
      <c r="X82" s="7" t="s">
        <v>54</v>
      </c>
      <c r="Y82" s="7" t="s">
        <v>89</v>
      </c>
      <c r="Z82" s="7" t="s">
        <v>117</v>
      </c>
      <c r="AA82" s="7" t="s">
        <v>60</v>
      </c>
      <c r="AB82" s="7"/>
      <c r="AC82" s="7" t="s">
        <v>234</v>
      </c>
      <c r="AD82" s="7"/>
      <c r="AE82" s="7" t="s">
        <v>88</v>
      </c>
      <c r="AF82" s="54" t="s">
        <v>169</v>
      </c>
      <c r="AG82" s="7" t="s">
        <v>174</v>
      </c>
      <c r="AH82" s="8"/>
      <c r="AI82" s="7"/>
      <c r="AJ82" s="7" t="s">
        <v>107</v>
      </c>
      <c r="AK82" s="7" t="s">
        <v>109</v>
      </c>
      <c r="AL82" s="9" t="s">
        <v>384</v>
      </c>
      <c r="AM82" s="7" t="str">
        <f>VLOOKUP(AL82,Personal!$A$2:$I$300,2,FALSE)</f>
        <v>0000000874</v>
      </c>
      <c r="AN82" s="7" t="str">
        <f>VLOOKUP(AL82,Personal!$A$2:$I$300,3,FALSE)</f>
        <v>FALCON PAZ JULIAN MIGUEL ANGEL</v>
      </c>
      <c r="AO82" s="7" t="str">
        <f>VLOOKUP(AL82,Personal!$A$2:$I$300,6,FALSE)</f>
        <v>Supervisor Senior de A&amp;B</v>
      </c>
      <c r="AP82" s="7" t="str">
        <f>VLOOKUP(AL82,Personal!$A$2:$I$300,7,FALSE)</f>
        <v>Banquetes</v>
      </c>
      <c r="AQ82" s="7" t="str">
        <f>VLOOKUP(AL82,Personal!$A$2:$I$300,8,FALSE)</f>
        <v>Alimentos y Bebidas</v>
      </c>
      <c r="AR82" s="89"/>
    </row>
    <row r="83" spans="2:44" x14ac:dyDescent="0.3">
      <c r="B83" s="6">
        <v>78</v>
      </c>
      <c r="C83" s="6"/>
      <c r="D83" s="6"/>
      <c r="E83" s="6"/>
      <c r="F83" s="6"/>
      <c r="G83" s="7" t="s">
        <v>33</v>
      </c>
      <c r="H83" s="7" t="s">
        <v>29</v>
      </c>
      <c r="I83" s="7" t="s">
        <v>46</v>
      </c>
      <c r="J83" s="7" t="s">
        <v>193</v>
      </c>
      <c r="K83" s="10" t="s">
        <v>1258</v>
      </c>
      <c r="L83" s="7" t="s">
        <v>1290</v>
      </c>
      <c r="M83" s="7"/>
      <c r="N83" s="7"/>
      <c r="O83" s="13"/>
      <c r="P83" s="13"/>
      <c r="Q83" s="7"/>
      <c r="R83" s="7"/>
      <c r="S83" s="7" t="s">
        <v>1259</v>
      </c>
      <c r="T83" s="7"/>
      <c r="U83" s="7" t="s">
        <v>1463</v>
      </c>
      <c r="V83" s="7" t="s">
        <v>1260</v>
      </c>
      <c r="W83" s="7" t="s">
        <v>1464</v>
      </c>
      <c r="X83" s="7" t="s">
        <v>54</v>
      </c>
      <c r="Y83" s="7" t="s">
        <v>89</v>
      </c>
      <c r="Z83" s="7" t="s">
        <v>117</v>
      </c>
      <c r="AA83" s="7" t="s">
        <v>60</v>
      </c>
      <c r="AB83" s="7"/>
      <c r="AC83" s="7" t="s">
        <v>234</v>
      </c>
      <c r="AD83" s="7"/>
      <c r="AE83" s="7" t="s">
        <v>88</v>
      </c>
      <c r="AF83" s="7" t="s">
        <v>169</v>
      </c>
      <c r="AG83" s="7" t="s">
        <v>174</v>
      </c>
      <c r="AH83" s="8"/>
      <c r="AI83" s="7"/>
      <c r="AJ83" s="7" t="s">
        <v>107</v>
      </c>
      <c r="AK83" s="7" t="s">
        <v>109</v>
      </c>
      <c r="AL83" s="9" t="s">
        <v>333</v>
      </c>
      <c r="AM83" s="7" t="str">
        <f>VLOOKUP(AL83,Personal!$A$2:$I$300,2,FALSE)</f>
        <v>0000000423</v>
      </c>
      <c r="AN83" s="7" t="str">
        <f>VLOOKUP(AL83,Personal!$A$2:$I$300,3,FALSE)</f>
        <v>UGAZ OLIVARES PALOMA</v>
      </c>
      <c r="AO83" s="7" t="str">
        <f>VLOOKUP(AL83,Personal!$A$2:$I$300,6,FALSE)</f>
        <v>Supervisor Senior de A&amp;B</v>
      </c>
      <c r="AP83" s="7" t="str">
        <f>VLOOKUP(AL83,Personal!$A$2:$I$300,7,FALSE)</f>
        <v>Lobby</v>
      </c>
      <c r="AQ83" s="7" t="str">
        <f>VLOOKUP(AL83,Personal!$A$2:$I$300,8,FALSE)</f>
        <v>Alimentos y Bebidas</v>
      </c>
      <c r="AR83" s="89"/>
    </row>
    <row r="84" spans="2:44" x14ac:dyDescent="0.3">
      <c r="B84" s="6">
        <v>79</v>
      </c>
      <c r="C84" s="6"/>
      <c r="D84" s="6"/>
      <c r="E84" s="6"/>
      <c r="F84" s="6"/>
      <c r="G84" s="7" t="s">
        <v>33</v>
      </c>
      <c r="H84" s="7" t="s">
        <v>29</v>
      </c>
      <c r="I84" s="7" t="s">
        <v>46</v>
      </c>
      <c r="J84" s="7" t="s">
        <v>193</v>
      </c>
      <c r="K84" s="10" t="s">
        <v>1261</v>
      </c>
      <c r="L84" s="7" t="s">
        <v>1290</v>
      </c>
      <c r="M84" s="7"/>
      <c r="N84" s="7"/>
      <c r="O84" s="13"/>
      <c r="P84" s="13"/>
      <c r="Q84" s="7"/>
      <c r="R84" s="7"/>
      <c r="S84" s="7" t="s">
        <v>1262</v>
      </c>
      <c r="T84" s="7"/>
      <c r="U84" s="7"/>
      <c r="V84" s="7" t="s">
        <v>2106</v>
      </c>
      <c r="W84" s="7" t="s">
        <v>2108</v>
      </c>
      <c r="X84" s="7" t="s">
        <v>54</v>
      </c>
      <c r="Y84" s="7" t="s">
        <v>89</v>
      </c>
      <c r="Z84" s="7" t="s">
        <v>117</v>
      </c>
      <c r="AA84" s="7" t="s">
        <v>59</v>
      </c>
      <c r="AB84" s="7"/>
      <c r="AC84" s="7" t="s">
        <v>77</v>
      </c>
      <c r="AD84" s="7"/>
      <c r="AE84" s="54" t="s">
        <v>88</v>
      </c>
      <c r="AF84" s="7" t="s">
        <v>169</v>
      </c>
      <c r="AG84" s="7" t="s">
        <v>174</v>
      </c>
      <c r="AH84" s="8"/>
      <c r="AI84" s="7"/>
      <c r="AJ84" s="7" t="s">
        <v>107</v>
      </c>
      <c r="AK84" s="7" t="s">
        <v>109</v>
      </c>
      <c r="AL84" s="9" t="s">
        <v>2107</v>
      </c>
      <c r="AM84" s="7">
        <f>VLOOKUP(AL84,Personal!$A$2:$I$300,2,FALSE)</f>
        <v>0</v>
      </c>
      <c r="AN84" s="7" t="str">
        <f>VLOOKUP(AL84,Personal!$A$2:$I$300,3,FALSE)</f>
        <v>BOHORQUEZ LEMOR ROSSANA ARMIDA</v>
      </c>
      <c r="AO84" s="7" t="str">
        <f>VLOOKUP(AL84,Personal!$A$2:$I$300,6,FALSE)</f>
        <v xml:space="preserve">Ejecutiva de Eventos </v>
      </c>
      <c r="AP84" s="7" t="str">
        <f>VLOOKUP(AL84,Personal!$A$2:$I$300,7,FALSE)</f>
        <v>Ventas</v>
      </c>
      <c r="AQ84" s="7" t="str">
        <f>VLOOKUP(AL84,Personal!$A$2:$I$300,8,FALSE)</f>
        <v>Ventas y Marketing</v>
      </c>
      <c r="AR84" s="7"/>
    </row>
    <row r="85" spans="2:44" x14ac:dyDescent="0.3">
      <c r="B85" s="6">
        <v>80</v>
      </c>
      <c r="C85" s="6"/>
      <c r="D85" s="6"/>
      <c r="E85" s="6"/>
      <c r="F85" s="6"/>
      <c r="G85" s="7" t="s">
        <v>33</v>
      </c>
      <c r="H85" s="7" t="s">
        <v>29</v>
      </c>
      <c r="I85" s="7" t="s">
        <v>46</v>
      </c>
      <c r="J85" s="7" t="s">
        <v>193</v>
      </c>
      <c r="K85" s="10" t="s">
        <v>1263</v>
      </c>
      <c r="L85" s="7" t="s">
        <v>1290</v>
      </c>
      <c r="M85" s="7"/>
      <c r="N85" s="7"/>
      <c r="O85" s="13"/>
      <c r="P85" s="13"/>
      <c r="Q85" s="7"/>
      <c r="R85" s="7"/>
      <c r="S85" s="7" t="s">
        <v>1265</v>
      </c>
      <c r="T85" s="7"/>
      <c r="U85" s="7" t="s">
        <v>1501</v>
      </c>
      <c r="V85" s="7" t="s">
        <v>1264</v>
      </c>
      <c r="W85" s="7" t="s">
        <v>1404</v>
      </c>
      <c r="X85" s="7" t="s">
        <v>54</v>
      </c>
      <c r="Y85" s="7" t="s">
        <v>89</v>
      </c>
      <c r="Z85" s="7" t="s">
        <v>117</v>
      </c>
      <c r="AA85" s="7" t="s">
        <v>60</v>
      </c>
      <c r="AB85" s="7"/>
      <c r="AC85" s="7" t="s">
        <v>234</v>
      </c>
      <c r="AD85" s="7"/>
      <c r="AE85" s="7" t="s">
        <v>88</v>
      </c>
      <c r="AF85" s="7" t="s">
        <v>169</v>
      </c>
      <c r="AG85" s="7" t="s">
        <v>174</v>
      </c>
      <c r="AH85" s="8"/>
      <c r="AI85" s="7"/>
      <c r="AJ85" s="7" t="s">
        <v>107</v>
      </c>
      <c r="AK85" s="7" t="s">
        <v>109</v>
      </c>
      <c r="AL85" s="9" t="s">
        <v>351</v>
      </c>
      <c r="AM85" s="7" t="str">
        <f>VLOOKUP(AL85,Personal!$A$2:$I$300,2,FALSE)</f>
        <v>0000000772</v>
      </c>
      <c r="AN85" s="7" t="str">
        <f>VLOOKUP(AL85,Personal!$A$2:$I$300,3,FALSE)</f>
        <v>CARHUANCOTA CHAVEZ ANDRES ALBERTO</v>
      </c>
      <c r="AO85" s="7" t="str">
        <f>VLOOKUP(AL85,Personal!$A$2:$I$300,6,FALSE)</f>
        <v>Asistente Senior de Contabilidad</v>
      </c>
      <c r="AP85" s="7" t="str">
        <f>VLOOKUP(AL85,Personal!$A$2:$I$300,7,FALSE)</f>
        <v>Contabilidad</v>
      </c>
      <c r="AQ85" s="7" t="str">
        <f>VLOOKUP(AL85,Personal!$A$2:$I$300,8,FALSE)</f>
        <v>Contraloría</v>
      </c>
      <c r="AR85" s="89" t="s">
        <v>1985</v>
      </c>
    </row>
    <row r="86" spans="2:44" x14ac:dyDescent="0.3">
      <c r="B86" s="6">
        <v>81</v>
      </c>
      <c r="C86" s="6"/>
      <c r="D86" s="6"/>
      <c r="E86" s="6"/>
      <c r="F86" s="6"/>
      <c r="G86" s="7" t="s">
        <v>33</v>
      </c>
      <c r="H86" s="7" t="s">
        <v>29</v>
      </c>
      <c r="I86" s="7" t="s">
        <v>46</v>
      </c>
      <c r="J86" s="7" t="s">
        <v>193</v>
      </c>
      <c r="K86" s="10" t="s">
        <v>1266</v>
      </c>
      <c r="L86" s="7" t="s">
        <v>1290</v>
      </c>
      <c r="M86" s="7"/>
      <c r="N86" s="7"/>
      <c r="O86" s="13"/>
      <c r="P86" s="13"/>
      <c r="Q86" s="7"/>
      <c r="R86" s="7"/>
      <c r="S86" s="7" t="s">
        <v>1267</v>
      </c>
      <c r="T86" s="7"/>
      <c r="U86" s="7" t="s">
        <v>1572</v>
      </c>
      <c r="V86" s="7" t="s">
        <v>1268</v>
      </c>
      <c r="W86" s="7" t="s">
        <v>1571</v>
      </c>
      <c r="X86" s="7" t="s">
        <v>54</v>
      </c>
      <c r="Y86" s="7" t="s">
        <v>89</v>
      </c>
      <c r="Z86" s="7" t="s">
        <v>117</v>
      </c>
      <c r="AA86" s="7" t="s">
        <v>60</v>
      </c>
      <c r="AB86" s="7"/>
      <c r="AC86" s="7" t="s">
        <v>234</v>
      </c>
      <c r="AD86" s="7"/>
      <c r="AE86" s="7" t="s">
        <v>88</v>
      </c>
      <c r="AF86" s="7" t="s">
        <v>169</v>
      </c>
      <c r="AG86" s="7" t="s">
        <v>175</v>
      </c>
      <c r="AH86" s="8"/>
      <c r="AI86" s="7"/>
      <c r="AJ86" s="7" t="s">
        <v>107</v>
      </c>
      <c r="AK86" s="7" t="s">
        <v>109</v>
      </c>
      <c r="AL86" s="9" t="s">
        <v>952</v>
      </c>
      <c r="AM86" s="7" t="str">
        <f>VLOOKUP(AL86,Personal!$A$2:$I$300,2,FALSE)</f>
        <v>0000F00049</v>
      </c>
      <c r="AN86" s="7" t="str">
        <f>VLOOKUP(AL86,Personal!$A$2:$I$300,3,FALSE)</f>
        <v>LOPEZ PEREZ JUAN</v>
      </c>
      <c r="AO86" s="7" t="str">
        <f>VLOOKUP(AL86,Personal!$A$2:$I$300,6,FALSE)</f>
        <v>Chef Ejecutivo</v>
      </c>
      <c r="AP86" s="7" t="str">
        <f>VLOOKUP(AL86,Personal!$A$2:$I$300,7,FALSE)</f>
        <v>Cocina</v>
      </c>
      <c r="AQ86" s="7" t="str">
        <f>VLOOKUP(AL86,Personal!$A$2:$I$300,8,FALSE)</f>
        <v>Cocina</v>
      </c>
      <c r="AR86" s="89"/>
    </row>
    <row r="87" spans="2:44" x14ac:dyDescent="0.3">
      <c r="B87" s="6">
        <v>82</v>
      </c>
      <c r="C87" s="6"/>
      <c r="D87" s="6"/>
      <c r="E87" s="6"/>
      <c r="F87" s="6"/>
      <c r="G87" s="7" t="s">
        <v>33</v>
      </c>
      <c r="H87" s="7" t="s">
        <v>29</v>
      </c>
      <c r="I87" s="7" t="s">
        <v>46</v>
      </c>
      <c r="J87" s="7" t="s">
        <v>193</v>
      </c>
      <c r="K87" s="10" t="s">
        <v>1269</v>
      </c>
      <c r="L87" s="7" t="s">
        <v>1290</v>
      </c>
      <c r="M87" s="7"/>
      <c r="N87" s="7"/>
      <c r="O87" s="13"/>
      <c r="P87" s="13"/>
      <c r="Q87" s="7"/>
      <c r="R87" s="7"/>
      <c r="S87" s="7" t="s">
        <v>1270</v>
      </c>
      <c r="T87" s="7"/>
      <c r="U87" s="7" t="s">
        <v>1528</v>
      </c>
      <c r="V87" s="7" t="s">
        <v>1271</v>
      </c>
      <c r="W87" s="7" t="s">
        <v>1527</v>
      </c>
      <c r="X87" s="7" t="s">
        <v>54</v>
      </c>
      <c r="Y87" s="7" t="s">
        <v>89</v>
      </c>
      <c r="Z87" s="7" t="s">
        <v>117</v>
      </c>
      <c r="AA87" s="7" t="s">
        <v>60</v>
      </c>
      <c r="AB87" s="7"/>
      <c r="AC87" s="7" t="s">
        <v>234</v>
      </c>
      <c r="AD87" s="7"/>
      <c r="AE87" s="7" t="s">
        <v>88</v>
      </c>
      <c r="AF87" s="7" t="s">
        <v>169</v>
      </c>
      <c r="AG87" s="7" t="s">
        <v>175</v>
      </c>
      <c r="AH87" s="8"/>
      <c r="AI87" s="7"/>
      <c r="AJ87" s="7" t="s">
        <v>107</v>
      </c>
      <c r="AK87" s="7" t="s">
        <v>109</v>
      </c>
      <c r="AL87" s="9" t="s">
        <v>1932</v>
      </c>
      <c r="AM87" s="7" t="str">
        <f>VLOOKUP(AL87,Personal!$A$2:$I$300,2,FALSE)</f>
        <v>0000001776</v>
      </c>
      <c r="AN87" s="7" t="str">
        <f>VLOOKUP(AL87,Personal!$A$2:$I$300,3,FALSE)</f>
        <v>MOGROVEJO BRACESCO ANDREA CAROLINA</v>
      </c>
      <c r="AO87" s="7" t="str">
        <f>VLOOKUP(AL87,Personal!$A$2:$I$300,6,FALSE)</f>
        <v>Supervisor de Gimnasio</v>
      </c>
      <c r="AP87" s="7" t="str">
        <f>VLOOKUP(AL87,Personal!$A$2:$I$300,7,FALSE)</f>
        <v>Gym &amp; Spa</v>
      </c>
      <c r="AQ87" s="7" t="str">
        <f>VLOOKUP(AL87,Personal!$A$2:$I$300,8,FALSE)</f>
        <v>División de Habitaciones (Operaciones)</v>
      </c>
      <c r="AR87" s="89"/>
    </row>
    <row r="88" spans="2:44" x14ac:dyDescent="0.3">
      <c r="B88" s="6">
        <v>83</v>
      </c>
      <c r="C88" s="6"/>
      <c r="D88" s="6"/>
      <c r="E88" s="6"/>
      <c r="F88" s="6"/>
      <c r="G88" s="7" t="s">
        <v>33</v>
      </c>
      <c r="H88" s="7" t="s">
        <v>29</v>
      </c>
      <c r="I88" s="7" t="s">
        <v>46</v>
      </c>
      <c r="J88" s="7" t="s">
        <v>193</v>
      </c>
      <c r="K88" s="10" t="s">
        <v>1272</v>
      </c>
      <c r="L88" s="7" t="s">
        <v>1290</v>
      </c>
      <c r="M88" s="7"/>
      <c r="N88" s="7"/>
      <c r="O88" s="13"/>
      <c r="P88" s="13"/>
      <c r="Q88" s="7"/>
      <c r="R88" s="7"/>
      <c r="S88" s="7" t="s">
        <v>1273</v>
      </c>
      <c r="T88" s="7"/>
      <c r="U88" s="7" t="s">
        <v>1591</v>
      </c>
      <c r="V88" s="7" t="s">
        <v>1274</v>
      </c>
      <c r="W88" s="7" t="s">
        <v>1590</v>
      </c>
      <c r="X88" s="7" t="s">
        <v>54</v>
      </c>
      <c r="Y88" s="7" t="s">
        <v>89</v>
      </c>
      <c r="Z88" s="7" t="s">
        <v>117</v>
      </c>
      <c r="AA88" s="7" t="s">
        <v>60</v>
      </c>
      <c r="AB88" s="7"/>
      <c r="AC88" s="7" t="s">
        <v>234</v>
      </c>
      <c r="AD88" s="7"/>
      <c r="AE88" s="7" t="s">
        <v>88</v>
      </c>
      <c r="AF88" s="7" t="s">
        <v>169</v>
      </c>
      <c r="AG88" s="7" t="s">
        <v>174</v>
      </c>
      <c r="AH88" s="8"/>
      <c r="AI88" s="7"/>
      <c r="AJ88" s="7" t="s">
        <v>107</v>
      </c>
      <c r="AK88" s="7" t="s">
        <v>109</v>
      </c>
      <c r="AL88" s="9" t="s">
        <v>553</v>
      </c>
      <c r="AM88" s="7" t="str">
        <f>VLOOKUP(AL88,Personal!$A$2:$I$300,2,FALSE)</f>
        <v>0000001462</v>
      </c>
      <c r="AN88" s="7" t="str">
        <f>VLOOKUP(AL88,Personal!$A$2:$I$300,3,FALSE)</f>
        <v>HUAPAYA PEREZ LUIS ANGEL</v>
      </c>
      <c r="AO88" s="7" t="str">
        <f>VLOOKUP(AL88,Personal!$A$2:$I$300,6,FALSE)</f>
        <v>Supervisor de A&amp;B</v>
      </c>
      <c r="AP88" s="7" t="str">
        <f>VLOOKUP(AL88,Personal!$A$2:$I$300,7,FALSE)</f>
        <v>Room Service</v>
      </c>
      <c r="AQ88" s="7" t="str">
        <f>VLOOKUP(AL88,Personal!$A$2:$I$300,8,FALSE)</f>
        <v>Alimentos y Bebidas</v>
      </c>
      <c r="AR88" s="7"/>
    </row>
    <row r="89" spans="2:44" x14ac:dyDescent="0.3">
      <c r="B89" s="6">
        <v>84</v>
      </c>
      <c r="C89" s="6"/>
      <c r="D89" s="6"/>
      <c r="E89" s="6"/>
      <c r="F89" s="6"/>
      <c r="G89" s="7" t="s">
        <v>33</v>
      </c>
      <c r="H89" s="7" t="s">
        <v>29</v>
      </c>
      <c r="I89" s="7" t="s">
        <v>46</v>
      </c>
      <c r="J89" s="7" t="s">
        <v>193</v>
      </c>
      <c r="K89" s="10" t="s">
        <v>1275</v>
      </c>
      <c r="L89" s="7" t="s">
        <v>1290</v>
      </c>
      <c r="M89" s="7"/>
      <c r="N89" s="7"/>
      <c r="O89" s="13"/>
      <c r="P89" s="13"/>
      <c r="Q89" s="7"/>
      <c r="R89" s="7"/>
      <c r="S89" s="7" t="s">
        <v>1276</v>
      </c>
      <c r="T89" s="7"/>
      <c r="U89" s="7" t="s">
        <v>1489</v>
      </c>
      <c r="V89" s="7" t="s">
        <v>1277</v>
      </c>
      <c r="W89" s="7" t="s">
        <v>1484</v>
      </c>
      <c r="X89" s="7" t="s">
        <v>54</v>
      </c>
      <c r="Y89" s="7" t="s">
        <v>89</v>
      </c>
      <c r="Z89" s="7" t="s">
        <v>117</v>
      </c>
      <c r="AA89" s="7" t="s">
        <v>60</v>
      </c>
      <c r="AB89" s="7"/>
      <c r="AC89" s="7" t="s">
        <v>234</v>
      </c>
      <c r="AD89" s="7"/>
      <c r="AE89" s="7" t="s">
        <v>88</v>
      </c>
      <c r="AF89" s="7" t="s">
        <v>169</v>
      </c>
      <c r="AG89" s="7" t="s">
        <v>174</v>
      </c>
      <c r="AH89" s="8"/>
      <c r="AI89" s="7"/>
      <c r="AJ89" s="7" t="s">
        <v>107</v>
      </c>
      <c r="AK89" s="7" t="s">
        <v>109</v>
      </c>
      <c r="AL89" s="9" t="s">
        <v>693</v>
      </c>
      <c r="AM89" s="7" t="str">
        <f>VLOOKUP(AL89,Personal!$A$2:$I$300,2,FALSE)</f>
        <v>0000001575</v>
      </c>
      <c r="AN89" s="7" t="str">
        <f>VLOOKUP(AL89,Personal!$A$2:$I$300,3,FALSE)</f>
        <v>ABANTO CARRANZA ANDREA SOFIA</v>
      </c>
      <c r="AO89" s="7" t="str">
        <f>VLOOKUP(AL89,Personal!$A$2:$I$300,6,FALSE)</f>
        <v xml:space="preserve">Consejero Gastronómico </v>
      </c>
      <c r="AP89" s="7" t="str">
        <f>VLOOKUP(AL89,Personal!$A$2:$I$300,7,FALSE)</f>
        <v xml:space="preserve">Le Café </v>
      </c>
      <c r="AQ89" s="7" t="str">
        <f>VLOOKUP(AL89,Personal!$A$2:$I$300,8,FALSE)</f>
        <v>Alimentos y Bebidas</v>
      </c>
      <c r="AR89" s="89"/>
    </row>
    <row r="90" spans="2:44" x14ac:dyDescent="0.3">
      <c r="B90" s="6">
        <v>85</v>
      </c>
      <c r="C90" s="6"/>
      <c r="D90" s="6"/>
      <c r="E90" s="6"/>
      <c r="F90" s="6"/>
      <c r="G90" s="7" t="s">
        <v>33</v>
      </c>
      <c r="H90" s="7" t="s">
        <v>29</v>
      </c>
      <c r="I90" s="7" t="s">
        <v>46</v>
      </c>
      <c r="J90" s="7" t="s">
        <v>193</v>
      </c>
      <c r="K90" s="10" t="s">
        <v>1279</v>
      </c>
      <c r="L90" s="7" t="s">
        <v>1290</v>
      </c>
      <c r="M90" s="7"/>
      <c r="N90" s="7"/>
      <c r="O90" s="13"/>
      <c r="P90" s="13"/>
      <c r="Q90" s="7"/>
      <c r="R90" s="7"/>
      <c r="S90" s="7" t="s">
        <v>1278</v>
      </c>
      <c r="T90" s="7"/>
      <c r="U90" s="7" t="s">
        <v>1494</v>
      </c>
      <c r="V90" s="7" t="s">
        <v>1280</v>
      </c>
      <c r="W90" s="7" t="s">
        <v>1495</v>
      </c>
      <c r="X90" s="7" t="s">
        <v>54</v>
      </c>
      <c r="Y90" s="7" t="s">
        <v>89</v>
      </c>
      <c r="Z90" s="7" t="s">
        <v>117</v>
      </c>
      <c r="AA90" s="7" t="s">
        <v>60</v>
      </c>
      <c r="AB90" s="7"/>
      <c r="AC90" s="7" t="s">
        <v>234</v>
      </c>
      <c r="AD90" s="7"/>
      <c r="AE90" s="7" t="s">
        <v>88</v>
      </c>
      <c r="AF90" s="7" t="s">
        <v>169</v>
      </c>
      <c r="AG90" s="7" t="s">
        <v>174</v>
      </c>
      <c r="AH90" s="8"/>
      <c r="AI90" s="7"/>
      <c r="AJ90" s="7" t="s">
        <v>107</v>
      </c>
      <c r="AK90" s="7" t="s">
        <v>109</v>
      </c>
      <c r="AL90" s="9" t="s">
        <v>497</v>
      </c>
      <c r="AM90" s="7" t="str">
        <f>VLOOKUP(AL90,Personal!$A$2:$I$300,2,FALSE)</f>
        <v>0000001335</v>
      </c>
      <c r="AN90" s="7" t="str">
        <f>VLOOKUP(AL90,Personal!$A$2:$I$300,3,FALSE)</f>
        <v>CARBAJAL BRAVO ROMMEL MARTIN</v>
      </c>
      <c r="AO90" s="7" t="str">
        <f>VLOOKUP(AL90,Personal!$A$2:$I$300,6,FALSE)</f>
        <v>Gerente de Turno</v>
      </c>
      <c r="AP90" s="7" t="str">
        <f>VLOOKUP(AL90,Personal!$A$2:$I$300,7,FALSE)</f>
        <v>Recepción</v>
      </c>
      <c r="AQ90" s="7" t="str">
        <f>VLOOKUP(AL90,Personal!$A$2:$I$300,8,FALSE)</f>
        <v>División de Habitaciones (Operaciones)</v>
      </c>
      <c r="AR90" s="89"/>
    </row>
    <row r="91" spans="2:44" x14ac:dyDescent="0.3">
      <c r="B91" s="6">
        <v>86</v>
      </c>
      <c r="C91" s="6"/>
      <c r="D91" s="6"/>
      <c r="E91" s="6"/>
      <c r="F91" s="6"/>
      <c r="G91" s="7" t="s">
        <v>33</v>
      </c>
      <c r="H91" s="7" t="s">
        <v>29</v>
      </c>
      <c r="I91" s="7" t="s">
        <v>46</v>
      </c>
      <c r="J91" s="7" t="s">
        <v>193</v>
      </c>
      <c r="K91" s="10" t="s">
        <v>1281</v>
      </c>
      <c r="L91" s="7" t="s">
        <v>1290</v>
      </c>
      <c r="M91" s="7"/>
      <c r="N91" s="7"/>
      <c r="O91" s="13"/>
      <c r="P91" s="13"/>
      <c r="Q91" s="7"/>
      <c r="R91" s="7"/>
      <c r="S91" s="7" t="s">
        <v>1282</v>
      </c>
      <c r="T91" s="7"/>
      <c r="U91" s="7" t="s">
        <v>1453</v>
      </c>
      <c r="V91" s="7" t="s">
        <v>1283</v>
      </c>
      <c r="W91" s="7" t="s">
        <v>1440</v>
      </c>
      <c r="X91" s="7" t="s">
        <v>54</v>
      </c>
      <c r="Y91" s="7" t="s">
        <v>89</v>
      </c>
      <c r="Z91" s="7" t="s">
        <v>117</v>
      </c>
      <c r="AA91" s="7" t="s">
        <v>60</v>
      </c>
      <c r="AB91" s="7"/>
      <c r="AC91" s="7" t="s">
        <v>234</v>
      </c>
      <c r="AD91" s="7"/>
      <c r="AE91" s="7" t="s">
        <v>88</v>
      </c>
      <c r="AF91" s="7" t="s">
        <v>169</v>
      </c>
      <c r="AG91" s="7" t="s">
        <v>174</v>
      </c>
      <c r="AH91" s="8"/>
      <c r="AI91" s="7"/>
      <c r="AJ91" s="7" t="s">
        <v>107</v>
      </c>
      <c r="AK91" s="7" t="s">
        <v>109</v>
      </c>
      <c r="AL91" s="9" t="s">
        <v>632</v>
      </c>
      <c r="AM91" s="7" t="str">
        <f>VLOOKUP(AL91,Personal!$A$2:$I$300,2,FALSE)</f>
        <v>0000001539</v>
      </c>
      <c r="AN91" s="7" t="str">
        <f>VLOOKUP(AL91,Personal!$A$2:$I$300,3,FALSE)</f>
        <v>HERRERA SOLIS CLAUDIA DANIELA FELICITA</v>
      </c>
      <c r="AO91" s="7" t="str">
        <f>VLOOKUP(AL91,Personal!$A$2:$I$300,6,FALSE)</f>
        <v>Restaurant Manager</v>
      </c>
      <c r="AP91" s="7" t="str">
        <f>VLOOKUP(AL91,Personal!$A$2:$I$300,7,FALSE)</f>
        <v xml:space="preserve">La Locanda </v>
      </c>
      <c r="AQ91" s="7" t="str">
        <f>VLOOKUP(AL91,Personal!$A$2:$I$300,8,FALSE)</f>
        <v>Alimentos y Bebidas</v>
      </c>
      <c r="AR91" s="89"/>
    </row>
    <row r="92" spans="2:44" x14ac:dyDescent="0.3">
      <c r="B92" s="6">
        <v>87</v>
      </c>
      <c r="C92" s="6"/>
      <c r="D92" s="6"/>
      <c r="E92" s="6"/>
      <c r="F92" s="6"/>
      <c r="G92" s="7" t="s">
        <v>33</v>
      </c>
      <c r="H92" s="7" t="s">
        <v>29</v>
      </c>
      <c r="I92" s="7" t="s">
        <v>46</v>
      </c>
      <c r="J92" s="7" t="s">
        <v>193</v>
      </c>
      <c r="K92" s="10" t="s">
        <v>1284</v>
      </c>
      <c r="L92" s="7" t="s">
        <v>1290</v>
      </c>
      <c r="M92" s="7"/>
      <c r="N92" s="7"/>
      <c r="O92" s="13"/>
      <c r="P92" s="13"/>
      <c r="Q92" s="7"/>
      <c r="R92" s="7"/>
      <c r="S92" s="7" t="s">
        <v>1286</v>
      </c>
      <c r="T92" s="7"/>
      <c r="U92" s="7" t="s">
        <v>1568</v>
      </c>
      <c r="V92" s="7" t="s">
        <v>1285</v>
      </c>
      <c r="W92" s="7" t="s">
        <v>1594</v>
      </c>
      <c r="X92" s="7" t="s">
        <v>54</v>
      </c>
      <c r="Y92" s="7" t="s">
        <v>89</v>
      </c>
      <c r="Z92" s="7" t="s">
        <v>117</v>
      </c>
      <c r="AA92" s="7" t="s">
        <v>60</v>
      </c>
      <c r="AB92" s="7"/>
      <c r="AC92" s="7" t="s">
        <v>234</v>
      </c>
      <c r="AD92" s="7"/>
      <c r="AE92" s="7" t="s">
        <v>88</v>
      </c>
      <c r="AF92" s="7" t="s">
        <v>169</v>
      </c>
      <c r="AG92" s="7" t="s">
        <v>174</v>
      </c>
      <c r="AH92" s="8"/>
      <c r="AI92" s="7"/>
      <c r="AJ92" s="7" t="s">
        <v>107</v>
      </c>
      <c r="AK92" s="7" t="s">
        <v>109</v>
      </c>
      <c r="AL92" s="9" t="s">
        <v>502</v>
      </c>
      <c r="AM92" s="7" t="str">
        <f>VLOOKUP(AL92,Personal!$A$2:$I$300,2,FALSE)</f>
        <v>0000001417</v>
      </c>
      <c r="AN92" s="7" t="str">
        <f>VLOOKUP(AL92,Personal!$A$2:$I$300,3,FALSE)</f>
        <v>CARDENAS ALCAZABA PAOLA RAQUEL</v>
      </c>
      <c r="AO92" s="7" t="str">
        <f>VLOOKUP(AL92,Personal!$A$2:$I$300,6,FALSE)</f>
        <v>Supervisor Jr. De Housekeeping</v>
      </c>
      <c r="AP92" s="7" t="str">
        <f>VLOOKUP(AL92,Personal!$A$2:$I$300,7,FALSE)</f>
        <v xml:space="preserve">Housekeeping </v>
      </c>
      <c r="AQ92" s="7" t="str">
        <f>VLOOKUP(AL92,Personal!$A$2:$I$300,8,FALSE)</f>
        <v>División de Habitaciones (Operaciones)</v>
      </c>
      <c r="AR92" s="89"/>
    </row>
    <row r="93" spans="2:44" x14ac:dyDescent="0.3">
      <c r="B93" s="6">
        <v>88</v>
      </c>
      <c r="C93" s="6"/>
      <c r="D93" s="6"/>
      <c r="E93" s="6"/>
      <c r="F93" s="6"/>
      <c r="G93" s="7" t="s">
        <v>33</v>
      </c>
      <c r="H93" s="7" t="s">
        <v>29</v>
      </c>
      <c r="I93" s="7" t="s">
        <v>46</v>
      </c>
      <c r="J93" s="7" t="s">
        <v>193</v>
      </c>
      <c r="K93" s="10" t="s">
        <v>1287</v>
      </c>
      <c r="L93" s="7" t="s">
        <v>1290</v>
      </c>
      <c r="M93" s="7"/>
      <c r="N93" s="7"/>
      <c r="O93" s="13"/>
      <c r="P93" s="13"/>
      <c r="Q93" s="7"/>
      <c r="R93" s="7"/>
      <c r="S93" s="7" t="s">
        <v>1288</v>
      </c>
      <c r="T93" s="7"/>
      <c r="U93" s="7" t="s">
        <v>1454</v>
      </c>
      <c r="V93" s="7" t="s">
        <v>1289</v>
      </c>
      <c r="W93" s="7" t="s">
        <v>1692</v>
      </c>
      <c r="X93" s="7" t="s">
        <v>54</v>
      </c>
      <c r="Y93" s="7" t="s">
        <v>89</v>
      </c>
      <c r="Z93" s="7" t="s">
        <v>117</v>
      </c>
      <c r="AA93" s="7" t="s">
        <v>60</v>
      </c>
      <c r="AB93" s="7"/>
      <c r="AC93" s="7" t="s">
        <v>234</v>
      </c>
      <c r="AD93" s="7"/>
      <c r="AE93" s="7" t="s">
        <v>88</v>
      </c>
      <c r="AF93" s="7" t="s">
        <v>169</v>
      </c>
      <c r="AG93" s="7" t="s">
        <v>174</v>
      </c>
      <c r="AH93" s="8"/>
      <c r="AI93" s="7"/>
      <c r="AJ93" s="7" t="s">
        <v>107</v>
      </c>
      <c r="AK93" s="7" t="s">
        <v>109</v>
      </c>
      <c r="AL93" s="9" t="s">
        <v>311</v>
      </c>
      <c r="AM93" s="7" t="str">
        <f>VLOOKUP(AL93,Personal!$A$2:$I$300,2,FALSE)</f>
        <v>0000000345</v>
      </c>
      <c r="AN93" s="7" t="str">
        <f>VLOOKUP(AL93,Personal!$A$2:$I$300,3,FALSE)</f>
        <v>MARTINEZ SOTELO LUIS ENRIQUE</v>
      </c>
      <c r="AO93" s="7" t="str">
        <f>VLOOKUP(AL93,Personal!$A$2:$I$300,6,FALSE)</f>
        <v>Supervisor Senior de Limpieza</v>
      </c>
      <c r="AP93" s="7" t="str">
        <f>VLOOKUP(AL93,Personal!$A$2:$I$300,7,FALSE)</f>
        <v>Limpieza</v>
      </c>
      <c r="AQ93" s="7" t="str">
        <f>VLOOKUP(AL93,Personal!$A$2:$I$300,8,FALSE)</f>
        <v>División de Habitaciones (Operaciones)</v>
      </c>
      <c r="AR93" s="89" t="s">
        <v>1864</v>
      </c>
    </row>
    <row r="94" spans="2:44" x14ac:dyDescent="0.3">
      <c r="B94" s="6">
        <v>89</v>
      </c>
      <c r="C94" s="6"/>
      <c r="D94" s="6"/>
      <c r="E94" s="6"/>
      <c r="F94" s="6"/>
      <c r="G94" s="7" t="s">
        <v>33</v>
      </c>
      <c r="H94" s="7" t="s">
        <v>29</v>
      </c>
      <c r="I94" s="7" t="s">
        <v>46</v>
      </c>
      <c r="J94" s="7" t="s">
        <v>193</v>
      </c>
      <c r="K94" s="7" t="s">
        <v>1291</v>
      </c>
      <c r="L94" s="7" t="s">
        <v>1290</v>
      </c>
      <c r="M94" s="7"/>
      <c r="N94" s="7"/>
      <c r="O94" s="13"/>
      <c r="P94" s="13"/>
      <c r="Q94" s="7"/>
      <c r="R94" s="7"/>
      <c r="S94" s="7" t="s">
        <v>1292</v>
      </c>
      <c r="T94" s="7"/>
      <c r="U94" s="7"/>
      <c r="V94" s="7" t="s">
        <v>1293</v>
      </c>
      <c r="W94" s="7"/>
      <c r="X94" s="7" t="s">
        <v>54</v>
      </c>
      <c r="Y94" s="7" t="s">
        <v>89</v>
      </c>
      <c r="Z94" s="7" t="s">
        <v>117</v>
      </c>
      <c r="AA94" s="7" t="s">
        <v>58</v>
      </c>
      <c r="AB94" s="7"/>
      <c r="AC94" s="7" t="s">
        <v>75</v>
      </c>
      <c r="AD94" s="7"/>
      <c r="AE94" s="54" t="s">
        <v>1210</v>
      </c>
      <c r="AF94" s="7"/>
      <c r="AG94" s="7" t="s">
        <v>174</v>
      </c>
      <c r="AH94" s="8"/>
      <c r="AI94" s="7"/>
      <c r="AJ94" s="7" t="s">
        <v>107</v>
      </c>
      <c r="AK94" s="7" t="s">
        <v>178</v>
      </c>
      <c r="AL94" s="9" t="s">
        <v>254</v>
      </c>
      <c r="AM94" s="7" t="str">
        <f>VLOOKUP(AL94,Personal!$A$2:$I$300,2,FALSE)</f>
        <v>0000000031</v>
      </c>
      <c r="AN94" s="7" t="str">
        <f>VLOOKUP(AL94,Personal!$A$2:$I$300,3,FALSE)</f>
        <v>MEDINA CASTILLO ALVARO GERARDO</v>
      </c>
      <c r="AO94" s="7" t="str">
        <f>VLOOKUP(AL94,Personal!$A$2:$I$300,6,FALSE)</f>
        <v xml:space="preserve">Sub Gerente de A&amp;B </v>
      </c>
      <c r="AP94" s="7" t="str">
        <f>VLOOKUP(AL94,Personal!$A$2:$I$300,7,FALSE)</f>
        <v>Gerencia A&amp;B</v>
      </c>
      <c r="AQ94" s="7" t="str">
        <f>VLOOKUP(AL94,Personal!$A$2:$I$300,8,FALSE)</f>
        <v>Alimentos y Bebidas</v>
      </c>
      <c r="AR94" s="7" t="s">
        <v>1530</v>
      </c>
    </row>
    <row r="95" spans="2:44" x14ac:dyDescent="0.3">
      <c r="B95" s="6">
        <v>90</v>
      </c>
      <c r="C95" s="6"/>
      <c r="D95" s="6"/>
      <c r="E95" s="6"/>
      <c r="F95" s="6"/>
      <c r="G95" s="7" t="s">
        <v>33</v>
      </c>
      <c r="H95" s="7" t="s">
        <v>29</v>
      </c>
      <c r="I95" s="7" t="s">
        <v>46</v>
      </c>
      <c r="J95" s="7" t="s">
        <v>193</v>
      </c>
      <c r="K95" s="10" t="s">
        <v>1296</v>
      </c>
      <c r="L95" s="7" t="s">
        <v>1290</v>
      </c>
      <c r="M95" s="7"/>
      <c r="N95" s="7"/>
      <c r="O95" s="13"/>
      <c r="P95" s="13"/>
      <c r="Q95" s="7"/>
      <c r="R95" s="7"/>
      <c r="S95" s="7" t="s">
        <v>1295</v>
      </c>
      <c r="T95" s="7"/>
      <c r="U95" s="7" t="s">
        <v>1467</v>
      </c>
      <c r="V95" s="7" t="s">
        <v>1294</v>
      </c>
      <c r="W95" s="7" t="s">
        <v>1386</v>
      </c>
      <c r="X95" s="7" t="s">
        <v>54</v>
      </c>
      <c r="Y95" s="7" t="s">
        <v>89</v>
      </c>
      <c r="Z95" s="7" t="s">
        <v>117</v>
      </c>
      <c r="AA95" s="7" t="s">
        <v>60</v>
      </c>
      <c r="AB95" s="7"/>
      <c r="AC95" s="7" t="s">
        <v>234</v>
      </c>
      <c r="AD95" s="7"/>
      <c r="AE95" s="7" t="s">
        <v>88</v>
      </c>
      <c r="AF95" s="7" t="s">
        <v>169</v>
      </c>
      <c r="AG95" s="7" t="s">
        <v>175</v>
      </c>
      <c r="AH95" s="8"/>
      <c r="AI95" s="7"/>
      <c r="AJ95" s="7" t="s">
        <v>107</v>
      </c>
      <c r="AK95" s="7" t="s">
        <v>109</v>
      </c>
      <c r="AL95" s="9" t="s">
        <v>526</v>
      </c>
      <c r="AM95" s="7" t="str">
        <f>VLOOKUP(AL95,Personal!$A$2:$I$300,2,FALSE)</f>
        <v>0000000875</v>
      </c>
      <c r="AN95" s="7" t="str">
        <f>VLOOKUP(AL95,Personal!$A$2:$I$300,3,FALSE)</f>
        <v>COBOS GRANDA GLADYS EDITH</v>
      </c>
      <c r="AO95" s="7" t="str">
        <f>VLOOKUP(AL95,Personal!$A$2:$I$300,6,FALSE)</f>
        <v>Gerente de Capacitación y Desarrollo</v>
      </c>
      <c r="AP95" s="7" t="str">
        <f>VLOOKUP(AL95,Personal!$A$2:$I$300,7,FALSE)</f>
        <v>Personas y Cultura</v>
      </c>
      <c r="AQ95" s="7" t="str">
        <f>VLOOKUP(AL95,Personal!$A$2:$I$300,8,FALSE)</f>
        <v>Personas y Cultura</v>
      </c>
      <c r="AR95" s="7" t="s">
        <v>1414</v>
      </c>
    </row>
    <row r="96" spans="2:44" x14ac:dyDescent="0.3">
      <c r="B96" s="6">
        <v>91</v>
      </c>
      <c r="C96" s="6"/>
      <c r="D96" s="6"/>
      <c r="E96" s="6"/>
      <c r="F96" s="6"/>
      <c r="G96" s="7" t="s">
        <v>33</v>
      </c>
      <c r="H96" s="7" t="s">
        <v>29</v>
      </c>
      <c r="I96" s="7" t="s">
        <v>46</v>
      </c>
      <c r="J96" s="7" t="s">
        <v>193</v>
      </c>
      <c r="K96" s="10" t="s">
        <v>1297</v>
      </c>
      <c r="L96" s="7" t="s">
        <v>1290</v>
      </c>
      <c r="M96" s="7"/>
      <c r="N96" s="7"/>
      <c r="O96" s="13"/>
      <c r="P96" s="13"/>
      <c r="Q96" s="7"/>
      <c r="R96" s="7"/>
      <c r="S96" s="7" t="s">
        <v>1299</v>
      </c>
      <c r="T96" s="7"/>
      <c r="U96" s="7" t="s">
        <v>1492</v>
      </c>
      <c r="V96" s="7" t="s">
        <v>1298</v>
      </c>
      <c r="W96" s="7" t="s">
        <v>1491</v>
      </c>
      <c r="X96" s="7" t="s">
        <v>54</v>
      </c>
      <c r="Y96" s="7" t="s">
        <v>89</v>
      </c>
      <c r="Z96" s="7" t="s">
        <v>117</v>
      </c>
      <c r="AA96" s="7" t="s">
        <v>60</v>
      </c>
      <c r="AB96" s="7"/>
      <c r="AC96" s="7" t="s">
        <v>234</v>
      </c>
      <c r="AD96" s="7"/>
      <c r="AE96" s="7" t="s">
        <v>88</v>
      </c>
      <c r="AF96" s="7" t="s">
        <v>169</v>
      </c>
      <c r="AG96" s="7" t="s">
        <v>174</v>
      </c>
      <c r="AH96" s="8"/>
      <c r="AI96" s="7"/>
      <c r="AJ96" s="7" t="s">
        <v>107</v>
      </c>
      <c r="AK96" s="7" t="s">
        <v>109</v>
      </c>
      <c r="AL96" s="9" t="s">
        <v>365</v>
      </c>
      <c r="AM96" s="7" t="str">
        <f>VLOOKUP(AL96,Personal!$A$2:$I$300,2,FALSE)</f>
        <v>0000000809</v>
      </c>
      <c r="AN96" s="7" t="str">
        <f>VLOOKUP(AL96,Personal!$A$2:$I$300,3,FALSE)</f>
        <v>VALDERRAMA ALVAREZ PABLO CESAR</v>
      </c>
      <c r="AO96" s="7" t="str">
        <f>VLOOKUP(AL96,Personal!$A$2:$I$300,6,FALSE)</f>
        <v xml:space="preserve">Supervisor Senior de Lavanderia </v>
      </c>
      <c r="AP96" s="7" t="str">
        <f>VLOOKUP(AL96,Personal!$A$2:$I$300,7,FALSE)</f>
        <v>Lavandería</v>
      </c>
      <c r="AQ96" s="7" t="str">
        <f>VLOOKUP(AL96,Personal!$A$2:$I$300,8,FALSE)</f>
        <v>División de Habitaciones (Operaciones)</v>
      </c>
      <c r="AR96" s="89"/>
    </row>
    <row r="97" spans="2:44" x14ac:dyDescent="0.3">
      <c r="B97" s="6">
        <v>92</v>
      </c>
      <c r="C97" s="6"/>
      <c r="D97" s="6"/>
      <c r="E97" s="6"/>
      <c r="F97" s="6"/>
      <c r="G97" s="7" t="s">
        <v>33</v>
      </c>
      <c r="H97" s="7" t="s">
        <v>29</v>
      </c>
      <c r="I97" s="7" t="s">
        <v>46</v>
      </c>
      <c r="J97" s="7" t="s">
        <v>193</v>
      </c>
      <c r="K97" s="10" t="s">
        <v>1302</v>
      </c>
      <c r="L97" s="7" t="s">
        <v>1290</v>
      </c>
      <c r="M97" s="7"/>
      <c r="N97" s="7"/>
      <c r="O97" s="13"/>
      <c r="P97" s="13"/>
      <c r="Q97" s="7"/>
      <c r="R97" s="7"/>
      <c r="S97" s="7" t="s">
        <v>1301</v>
      </c>
      <c r="T97" s="7"/>
      <c r="U97" s="7" t="s">
        <v>1567</v>
      </c>
      <c r="V97" s="7" t="s">
        <v>1300</v>
      </c>
      <c r="W97" s="7" t="s">
        <v>1593</v>
      </c>
      <c r="X97" s="7" t="s">
        <v>54</v>
      </c>
      <c r="Y97" s="7" t="s">
        <v>89</v>
      </c>
      <c r="Z97" s="7" t="s">
        <v>117</v>
      </c>
      <c r="AA97" s="7" t="s">
        <v>60</v>
      </c>
      <c r="AB97" s="7"/>
      <c r="AC97" s="7" t="s">
        <v>234</v>
      </c>
      <c r="AD97" s="7"/>
      <c r="AE97" s="7" t="s">
        <v>88</v>
      </c>
      <c r="AF97" s="7" t="s">
        <v>169</v>
      </c>
      <c r="AG97" s="7" t="s">
        <v>175</v>
      </c>
      <c r="AH97" s="8"/>
      <c r="AI97" s="7"/>
      <c r="AJ97" s="7" t="s">
        <v>107</v>
      </c>
      <c r="AK97" s="7" t="s">
        <v>109</v>
      </c>
      <c r="AL97" s="9" t="s">
        <v>840</v>
      </c>
      <c r="AM97" s="7" t="str">
        <f>VLOOKUP(AL97,Personal!$A$2:$I$300,2,FALSE)</f>
        <v>0000001663</v>
      </c>
      <c r="AN97" s="7" t="str">
        <f>VLOOKUP(AL97,Personal!$A$2:$I$300,3,FALSE)</f>
        <v>LLACSAHUANGA VALENCIA EDITH</v>
      </c>
      <c r="AO97" s="7" t="str">
        <f>VLOOKUP(AL97,Personal!$A$2:$I$300,6,FALSE)</f>
        <v>Jefe de Housekeeping</v>
      </c>
      <c r="AP97" s="7" t="str">
        <f>VLOOKUP(AL97,Personal!$A$2:$I$300,7,FALSE)</f>
        <v xml:space="preserve">Housekeeping </v>
      </c>
      <c r="AQ97" s="7" t="str">
        <f>VLOOKUP(AL97,Personal!$A$2:$I$300,8,FALSE)</f>
        <v>División de Habitaciones (Operaciones)</v>
      </c>
      <c r="AR97" s="89"/>
    </row>
    <row r="98" spans="2:44" x14ac:dyDescent="0.3">
      <c r="B98" s="6">
        <v>93</v>
      </c>
      <c r="C98" s="6"/>
      <c r="D98" s="6"/>
      <c r="E98" s="6"/>
      <c r="F98" s="6"/>
      <c r="G98" s="7" t="s">
        <v>33</v>
      </c>
      <c r="H98" s="7" t="s">
        <v>29</v>
      </c>
      <c r="I98" s="7" t="s">
        <v>46</v>
      </c>
      <c r="J98" s="7" t="s">
        <v>193</v>
      </c>
      <c r="K98" s="10" t="s">
        <v>1303</v>
      </c>
      <c r="L98" s="7" t="s">
        <v>1290</v>
      </c>
      <c r="M98" s="7"/>
      <c r="N98" s="7"/>
      <c r="O98" s="13"/>
      <c r="P98" s="13"/>
      <c r="Q98" s="7"/>
      <c r="R98" s="7"/>
      <c r="S98" s="7" t="s">
        <v>1304</v>
      </c>
      <c r="T98" s="7"/>
      <c r="U98" s="7" t="s">
        <v>1978</v>
      </c>
      <c r="V98" s="7"/>
      <c r="W98" s="7" t="s">
        <v>1977</v>
      </c>
      <c r="X98" s="7" t="s">
        <v>54</v>
      </c>
      <c r="Y98" s="7" t="s">
        <v>89</v>
      </c>
      <c r="Z98" s="7" t="s">
        <v>117</v>
      </c>
      <c r="AA98" s="7" t="s">
        <v>58</v>
      </c>
      <c r="AB98" s="7"/>
      <c r="AC98" s="7" t="s">
        <v>77</v>
      </c>
      <c r="AD98" s="7"/>
      <c r="AE98" s="54" t="s">
        <v>88</v>
      </c>
      <c r="AF98" s="7" t="s">
        <v>169</v>
      </c>
      <c r="AG98" s="7" t="s">
        <v>174</v>
      </c>
      <c r="AH98" s="8"/>
      <c r="AI98" s="7"/>
      <c r="AJ98" s="7" t="s">
        <v>107</v>
      </c>
      <c r="AK98" s="7" t="s">
        <v>109</v>
      </c>
      <c r="AL98" s="9" t="s">
        <v>1305</v>
      </c>
      <c r="AM98" s="7" t="str">
        <f>VLOOKUP(AL98,Personal!$A$2:$I$300,2,FALSE)</f>
        <v>Puerta 5</v>
      </c>
      <c r="AN98" s="7" t="str">
        <f>VLOOKUP(AL98,Personal!$A$2:$I$300,3,FALSE)</f>
        <v>Puerta 5</v>
      </c>
      <c r="AO98" s="7" t="str">
        <f>VLOOKUP(AL98,Personal!$A$2:$I$300,6,FALSE)</f>
        <v>Empleado Puesto de Control</v>
      </c>
      <c r="AP98" s="7" t="str">
        <f>VLOOKUP(AL98,Personal!$A$2:$I$300,7,FALSE)</f>
        <v>Control y Monitoreo</v>
      </c>
      <c r="AQ98" s="7" t="str">
        <f>VLOOKUP(AL98,Personal!$A$2:$I$300,8,FALSE)</f>
        <v>Control y Monitoreo</v>
      </c>
      <c r="AR98" s="7"/>
    </row>
    <row r="99" spans="2:44" x14ac:dyDescent="0.3">
      <c r="B99" s="6">
        <v>94</v>
      </c>
      <c r="C99" s="6"/>
      <c r="D99" s="6"/>
      <c r="E99" s="6"/>
      <c r="F99" s="6"/>
      <c r="G99" s="7" t="s">
        <v>33</v>
      </c>
      <c r="H99" s="7" t="s">
        <v>29</v>
      </c>
      <c r="I99" s="7" t="s">
        <v>46</v>
      </c>
      <c r="J99" s="7" t="s">
        <v>193</v>
      </c>
      <c r="K99" s="10" t="s">
        <v>1307</v>
      </c>
      <c r="L99" s="7" t="s">
        <v>1290</v>
      </c>
      <c r="M99" s="7"/>
      <c r="N99" s="7"/>
      <c r="O99" s="13"/>
      <c r="P99" s="13"/>
      <c r="Q99" s="7"/>
      <c r="R99" s="7"/>
      <c r="S99" s="7" t="s">
        <v>1306</v>
      </c>
      <c r="T99" s="7"/>
      <c r="U99" s="7" t="s">
        <v>1455</v>
      </c>
      <c r="V99" s="7" t="s">
        <v>1308</v>
      </c>
      <c r="W99" s="7" t="s">
        <v>1427</v>
      </c>
      <c r="X99" s="7" t="s">
        <v>54</v>
      </c>
      <c r="Y99" s="7" t="s">
        <v>89</v>
      </c>
      <c r="Z99" s="7" t="s">
        <v>117</v>
      </c>
      <c r="AA99" s="7" t="s">
        <v>60</v>
      </c>
      <c r="AB99" s="7"/>
      <c r="AC99" s="7" t="s">
        <v>234</v>
      </c>
      <c r="AD99" s="7"/>
      <c r="AE99" s="7" t="s">
        <v>88</v>
      </c>
      <c r="AF99" s="7" t="s">
        <v>169</v>
      </c>
      <c r="AG99" s="7" t="s">
        <v>174</v>
      </c>
      <c r="AH99" s="8"/>
      <c r="AI99" s="7"/>
      <c r="AJ99" s="7" t="s">
        <v>107</v>
      </c>
      <c r="AK99" s="7" t="s">
        <v>109</v>
      </c>
      <c r="AL99" s="9" t="s">
        <v>536</v>
      </c>
      <c r="AM99" s="7" t="str">
        <f>VLOOKUP(AL99,Personal!$A$2:$I$300,2,FALSE)</f>
        <v>0000001439</v>
      </c>
      <c r="AN99" s="7" t="str">
        <f>VLOOKUP(AL99,Personal!$A$2:$I$300,3,FALSE)</f>
        <v>GOMEZ COBEÑA PERCY BOLIVAR</v>
      </c>
      <c r="AO99" s="7" t="str">
        <f>VLOOKUP(AL99,Personal!$A$2:$I$300,6,FALSE)</f>
        <v>Capitán de Banquetes</v>
      </c>
      <c r="AP99" s="7" t="str">
        <f>VLOOKUP(AL99,Personal!$A$2:$I$300,7,FALSE)</f>
        <v>Banquetes</v>
      </c>
      <c r="AQ99" s="7" t="str">
        <f>VLOOKUP(AL99,Personal!$A$2:$I$300,8,FALSE)</f>
        <v>Alimentos y Bebidas</v>
      </c>
      <c r="AR99" s="89"/>
    </row>
    <row r="100" spans="2:44" x14ac:dyDescent="0.3">
      <c r="B100" s="6">
        <v>95</v>
      </c>
      <c r="C100" s="6"/>
      <c r="D100" s="6"/>
      <c r="E100" s="6"/>
      <c r="F100" s="6"/>
      <c r="G100" s="7" t="s">
        <v>33</v>
      </c>
      <c r="H100" s="7" t="s">
        <v>29</v>
      </c>
      <c r="I100" s="7" t="s">
        <v>46</v>
      </c>
      <c r="J100" s="7" t="s">
        <v>193</v>
      </c>
      <c r="K100" s="10" t="s">
        <v>1309</v>
      </c>
      <c r="L100" s="7" t="s">
        <v>1290</v>
      </c>
      <c r="M100" s="7"/>
      <c r="N100" s="7"/>
      <c r="O100" s="13"/>
      <c r="P100" s="13"/>
      <c r="Q100" s="7"/>
      <c r="R100" s="7"/>
      <c r="S100" s="7" t="s">
        <v>1312</v>
      </c>
      <c r="T100" s="7"/>
      <c r="U100" s="7" t="s">
        <v>1310</v>
      </c>
      <c r="V100" s="7" t="s">
        <v>1311</v>
      </c>
      <c r="W100" s="7"/>
      <c r="X100" s="7" t="s">
        <v>54</v>
      </c>
      <c r="Y100" s="7" t="s">
        <v>89</v>
      </c>
      <c r="Z100" s="7" t="s">
        <v>117</v>
      </c>
      <c r="AA100" s="7" t="s">
        <v>58</v>
      </c>
      <c r="AB100" s="7"/>
      <c r="AC100" s="7" t="s">
        <v>234</v>
      </c>
      <c r="AD100" s="7"/>
      <c r="AE100" s="54" t="s">
        <v>1210</v>
      </c>
      <c r="AF100" s="7"/>
      <c r="AG100" s="7" t="s">
        <v>174</v>
      </c>
      <c r="AH100" s="8"/>
      <c r="AI100" s="7"/>
      <c r="AJ100" s="7" t="s">
        <v>107</v>
      </c>
      <c r="AK100" s="7" t="s">
        <v>109</v>
      </c>
      <c r="AL100" s="9" t="s">
        <v>589</v>
      </c>
      <c r="AM100" s="7" t="str">
        <f>VLOOKUP(AL100,Personal!$A$2:$I$300,2,FALSE)</f>
        <v>0000001501</v>
      </c>
      <c r="AN100" s="7" t="str">
        <f>VLOOKUP(AL100,Personal!$A$2:$I$300,3,FALSE)</f>
        <v>YAMUNAQUE CASTILLO HECTOR ARTURO</v>
      </c>
      <c r="AO100" s="7" t="str">
        <f>VLOOKUP(AL100,Personal!$A$2:$I$300,6,FALSE)</f>
        <v>Gerente de Sistemas</v>
      </c>
      <c r="AP100" s="7" t="str">
        <f>VLOOKUP(AL100,Personal!$A$2:$I$300,7,FALSE)</f>
        <v xml:space="preserve">Tecnologias de Información </v>
      </c>
      <c r="AQ100" s="7" t="str">
        <f>VLOOKUP(AL100,Personal!$A$2:$I$300,8,FALSE)</f>
        <v xml:space="preserve">Tecnologias de Información </v>
      </c>
      <c r="AR100" s="89"/>
    </row>
    <row r="101" spans="2:44" x14ac:dyDescent="0.3">
      <c r="B101" s="6">
        <v>96</v>
      </c>
      <c r="C101" s="6"/>
      <c r="D101" s="6"/>
      <c r="E101" s="6"/>
      <c r="F101" s="6"/>
      <c r="G101" s="7" t="s">
        <v>33</v>
      </c>
      <c r="H101" s="7" t="s">
        <v>29</v>
      </c>
      <c r="I101" s="7" t="s">
        <v>46</v>
      </c>
      <c r="J101" s="7" t="s">
        <v>193</v>
      </c>
      <c r="K101" s="10" t="s">
        <v>1315</v>
      </c>
      <c r="L101" s="7" t="s">
        <v>1290</v>
      </c>
      <c r="M101" s="7"/>
      <c r="N101" s="7"/>
      <c r="O101" s="13"/>
      <c r="P101" s="13"/>
      <c r="Q101" s="7"/>
      <c r="R101" s="7"/>
      <c r="S101" s="7" t="s">
        <v>1314</v>
      </c>
      <c r="T101" s="7"/>
      <c r="U101" s="7"/>
      <c r="V101" s="7" t="s">
        <v>1313</v>
      </c>
      <c r="W101" s="7"/>
      <c r="X101" s="7" t="s">
        <v>54</v>
      </c>
      <c r="Y101" s="7" t="s">
        <v>89</v>
      </c>
      <c r="Z101" s="7" t="s">
        <v>117</v>
      </c>
      <c r="AA101" s="7" t="s">
        <v>58</v>
      </c>
      <c r="AB101" s="7"/>
      <c r="AC101" s="7" t="s">
        <v>75</v>
      </c>
      <c r="AD101" s="7"/>
      <c r="AE101" s="54" t="s">
        <v>1210</v>
      </c>
      <c r="AF101" s="7"/>
      <c r="AG101" s="7" t="s">
        <v>174</v>
      </c>
      <c r="AH101" s="8"/>
      <c r="AI101" s="7"/>
      <c r="AJ101" s="7" t="s">
        <v>107</v>
      </c>
      <c r="AK101" s="7" t="s">
        <v>177</v>
      </c>
      <c r="AL101" s="9" t="s">
        <v>351</v>
      </c>
      <c r="AM101" s="7" t="str">
        <f>VLOOKUP(AL101,Personal!$A$2:$I$300,2,FALSE)</f>
        <v>0000000772</v>
      </c>
      <c r="AN101" s="7" t="str">
        <f>VLOOKUP(AL101,Personal!$A$2:$I$300,3,FALSE)</f>
        <v>CARHUANCOTA CHAVEZ ANDRES ALBERTO</v>
      </c>
      <c r="AO101" s="7" t="str">
        <f>VLOOKUP(AL101,Personal!$A$2:$I$300,6,FALSE)</f>
        <v>Asistente Senior de Contabilidad</v>
      </c>
      <c r="AP101" s="7" t="str">
        <f>VLOOKUP(AL101,Personal!$A$2:$I$300,7,FALSE)</f>
        <v>Contabilidad</v>
      </c>
      <c r="AQ101" s="7" t="str">
        <f>VLOOKUP(AL101,Personal!$A$2:$I$300,8,FALSE)</f>
        <v>Contraloría</v>
      </c>
      <c r="AR101" s="89" t="s">
        <v>1984</v>
      </c>
    </row>
    <row r="102" spans="2:44" x14ac:dyDescent="0.3">
      <c r="B102" s="6">
        <v>97</v>
      </c>
      <c r="C102" s="6"/>
      <c r="D102" s="6"/>
      <c r="E102" s="6"/>
      <c r="F102" s="6"/>
      <c r="G102" s="7" t="s">
        <v>33</v>
      </c>
      <c r="H102" s="7" t="s">
        <v>29</v>
      </c>
      <c r="I102" s="7" t="s">
        <v>48</v>
      </c>
      <c r="J102" s="7" t="s">
        <v>1113</v>
      </c>
      <c r="K102" s="10" t="s">
        <v>1316</v>
      </c>
      <c r="L102" s="7" t="s">
        <v>1319</v>
      </c>
      <c r="M102" s="7"/>
      <c r="N102" s="7"/>
      <c r="O102" s="13"/>
      <c r="P102" s="13"/>
      <c r="Q102" s="7"/>
      <c r="R102" s="7"/>
      <c r="S102" s="7" t="s">
        <v>1318</v>
      </c>
      <c r="T102" s="7"/>
      <c r="U102" s="7" t="s">
        <v>1502</v>
      </c>
      <c r="V102" s="7" t="s">
        <v>1317</v>
      </c>
      <c r="W102" s="7" t="s">
        <v>1389</v>
      </c>
      <c r="X102" s="7" t="s">
        <v>55</v>
      </c>
      <c r="Y102" s="7" t="s">
        <v>89</v>
      </c>
      <c r="Z102" s="7" t="s">
        <v>117</v>
      </c>
      <c r="AA102" s="7" t="s">
        <v>61</v>
      </c>
      <c r="AB102" s="7"/>
      <c r="AC102" s="7" t="s">
        <v>234</v>
      </c>
      <c r="AD102" s="7"/>
      <c r="AE102" s="7" t="s">
        <v>88</v>
      </c>
      <c r="AF102" s="7"/>
      <c r="AG102" s="7" t="s">
        <v>175</v>
      </c>
      <c r="AH102" s="8"/>
      <c r="AI102" s="7"/>
      <c r="AJ102" s="7" t="s">
        <v>107</v>
      </c>
      <c r="AK102" s="7" t="s">
        <v>109</v>
      </c>
      <c r="AL102" s="9" t="s">
        <v>863</v>
      </c>
      <c r="AM102" s="7" t="str">
        <f>VLOOKUP(AL102,Personal!$A$2:$I$300,2,FALSE)</f>
        <v>0000001670</v>
      </c>
      <c r="AN102" s="7" t="str">
        <f>VLOOKUP(AL102,Personal!$A$2:$I$300,3,FALSE)</f>
        <v>CARRERA PALACIOS ROSALIA RENE</v>
      </c>
      <c r="AO102" s="7" t="str">
        <f>VLOOKUP(AL102,Personal!$A$2:$I$300,6,FALSE)</f>
        <v>Asistente de Personas y Cultura</v>
      </c>
      <c r="AP102" s="7" t="str">
        <f>VLOOKUP(AL102,Personal!$A$2:$I$300,7,FALSE)</f>
        <v>Personas y Cultura</v>
      </c>
      <c r="AQ102" s="7" t="str">
        <f>VLOOKUP(AL102,Personal!$A$2:$I$300,8,FALSE)</f>
        <v>Personas y Cultura</v>
      </c>
      <c r="AR102" s="89"/>
    </row>
    <row r="103" spans="2:44" x14ac:dyDescent="0.3">
      <c r="B103" s="6">
        <v>98</v>
      </c>
      <c r="C103" s="6"/>
      <c r="D103" s="6"/>
      <c r="E103" s="6"/>
      <c r="F103" s="6"/>
      <c r="G103" s="7" t="s">
        <v>33</v>
      </c>
      <c r="H103" s="7" t="s">
        <v>29</v>
      </c>
      <c r="I103" s="7" t="s">
        <v>46</v>
      </c>
      <c r="J103" s="7" t="s">
        <v>193</v>
      </c>
      <c r="K103" s="10" t="s">
        <v>1321</v>
      </c>
      <c r="L103" s="7" t="s">
        <v>1290</v>
      </c>
      <c r="M103" s="7"/>
      <c r="N103" s="7"/>
      <c r="O103" s="13"/>
      <c r="P103" s="13"/>
      <c r="Q103" s="7"/>
      <c r="R103" s="7"/>
      <c r="S103" s="7" t="s">
        <v>1322</v>
      </c>
      <c r="T103" s="7"/>
      <c r="U103" s="7" t="s">
        <v>1456</v>
      </c>
      <c r="V103" s="7" t="s">
        <v>1320</v>
      </c>
      <c r="W103" s="7" t="s">
        <v>1373</v>
      </c>
      <c r="X103" s="7" t="s">
        <v>54</v>
      </c>
      <c r="Y103" s="7" t="s">
        <v>89</v>
      </c>
      <c r="Z103" s="7" t="s">
        <v>117</v>
      </c>
      <c r="AA103" s="7" t="s">
        <v>60</v>
      </c>
      <c r="AB103" s="7"/>
      <c r="AC103" s="7" t="s">
        <v>234</v>
      </c>
      <c r="AD103" s="7"/>
      <c r="AE103" s="7" t="s">
        <v>88</v>
      </c>
      <c r="AF103" s="7" t="s">
        <v>169</v>
      </c>
      <c r="AG103" s="7" t="s">
        <v>174</v>
      </c>
      <c r="AH103" s="8"/>
      <c r="AI103" s="7"/>
      <c r="AJ103" s="7" t="s">
        <v>107</v>
      </c>
      <c r="AK103" s="7" t="s">
        <v>109</v>
      </c>
      <c r="AL103" s="9" t="s">
        <v>397</v>
      </c>
      <c r="AM103" s="7" t="str">
        <f>VLOOKUP(AL103,Personal!$A$2:$I$300,2,FALSE)</f>
        <v>0000000993</v>
      </c>
      <c r="AN103" s="7" t="str">
        <f>VLOOKUP(AL103,Personal!$A$2:$I$300,3,FALSE)</f>
        <v>CARPIO PONCE GARY ANDRES</v>
      </c>
      <c r="AO103" s="7" t="str">
        <f>VLOOKUP(AL103,Personal!$A$2:$I$300,6,FALSE)</f>
        <v>Bodeguero</v>
      </c>
      <c r="AP103" s="7" t="str">
        <f>VLOOKUP(AL103,Personal!$A$2:$I$300,7,FALSE)</f>
        <v>Bodegas</v>
      </c>
      <c r="AQ103" s="7" t="str">
        <f>VLOOKUP(AL103,Personal!$A$2:$I$300,8,FALSE)</f>
        <v>Contraloría</v>
      </c>
      <c r="AR103" s="89"/>
    </row>
    <row r="104" spans="2:44" x14ac:dyDescent="0.3">
      <c r="B104" s="6">
        <v>99</v>
      </c>
      <c r="C104" s="6"/>
      <c r="D104" s="6"/>
      <c r="E104" s="6"/>
      <c r="F104" s="6"/>
      <c r="G104" s="7" t="s">
        <v>33</v>
      </c>
      <c r="H104" s="7" t="s">
        <v>29</v>
      </c>
      <c r="I104" s="7" t="s">
        <v>46</v>
      </c>
      <c r="J104" s="7" t="s">
        <v>1326</v>
      </c>
      <c r="K104" s="10" t="s">
        <v>1325</v>
      </c>
      <c r="L104" s="7" t="s">
        <v>1327</v>
      </c>
      <c r="M104" s="7"/>
      <c r="N104" s="7"/>
      <c r="O104" s="13"/>
      <c r="P104" s="13"/>
      <c r="Q104" s="7"/>
      <c r="R104" s="7"/>
      <c r="S104" s="7" t="s">
        <v>1323</v>
      </c>
      <c r="T104" s="7"/>
      <c r="U104" s="7" t="s">
        <v>1657</v>
      </c>
      <c r="V104" s="7" t="s">
        <v>1324</v>
      </c>
      <c r="W104" s="7"/>
      <c r="X104" s="7" t="s">
        <v>55</v>
      </c>
      <c r="Y104" s="7" t="s">
        <v>97</v>
      </c>
      <c r="Z104" s="7" t="s">
        <v>117</v>
      </c>
      <c r="AA104" s="7" t="s">
        <v>73</v>
      </c>
      <c r="AB104" s="7"/>
      <c r="AC104" s="7" t="s">
        <v>78</v>
      </c>
      <c r="AD104" s="7"/>
      <c r="AE104" s="7" t="s">
        <v>88</v>
      </c>
      <c r="AF104" s="7" t="s">
        <v>169</v>
      </c>
      <c r="AG104" s="7" t="s">
        <v>174</v>
      </c>
      <c r="AH104" s="8"/>
      <c r="AI104" s="7"/>
      <c r="AJ104" s="7" t="s">
        <v>107</v>
      </c>
      <c r="AK104" s="7" t="s">
        <v>109</v>
      </c>
      <c r="AL104" s="10" t="s">
        <v>1649</v>
      </c>
      <c r="AM104" s="7" t="str">
        <f>VLOOKUP(AL104,Personal!$A$2:$I$300,2,FALSE)</f>
        <v>Front Desk</v>
      </c>
      <c r="AN104" s="7" t="str">
        <f>VLOOKUP(AL104,Personal!$A$2:$I$300,3,FALSE)</f>
        <v>Front Desk 3</v>
      </c>
      <c r="AO104" s="7" t="str">
        <f>VLOOKUP(AL104,Personal!$A$2:$I$300,6,FALSE)</f>
        <v>Recepcionista</v>
      </c>
      <c r="AP104" s="7" t="str">
        <f>VLOOKUP(AL104,Personal!$A$2:$I$300,7,FALSE)</f>
        <v>Recepción</v>
      </c>
      <c r="AQ104" s="7" t="str">
        <f>VLOOKUP(AL104,Personal!$A$2:$I$300,8,FALSE)</f>
        <v>División de Habitaciones (Operaciones)</v>
      </c>
      <c r="AR104" s="89" t="s">
        <v>224</v>
      </c>
    </row>
    <row r="105" spans="2:44" x14ac:dyDescent="0.3">
      <c r="B105" s="6">
        <v>100</v>
      </c>
      <c r="C105" s="6"/>
      <c r="D105" s="6"/>
      <c r="E105" s="6"/>
      <c r="F105" s="6"/>
      <c r="G105" s="7" t="s">
        <v>33</v>
      </c>
      <c r="H105" s="7" t="s">
        <v>29</v>
      </c>
      <c r="I105" s="7" t="s">
        <v>48</v>
      </c>
      <c r="J105" s="7" t="s">
        <v>1113</v>
      </c>
      <c r="K105" s="10" t="s">
        <v>1330</v>
      </c>
      <c r="L105" s="7" t="s">
        <v>1319</v>
      </c>
      <c r="M105" s="7"/>
      <c r="N105" s="7"/>
      <c r="O105" s="13"/>
      <c r="P105" s="13"/>
      <c r="Q105" s="7"/>
      <c r="R105" s="7"/>
      <c r="S105" s="7" t="s">
        <v>1328</v>
      </c>
      <c r="T105" s="7"/>
      <c r="U105" s="7" t="s">
        <v>1516</v>
      </c>
      <c r="V105" s="7" t="s">
        <v>1329</v>
      </c>
      <c r="W105" s="7" t="s">
        <v>1329</v>
      </c>
      <c r="X105" s="7" t="s">
        <v>54</v>
      </c>
      <c r="Y105" s="7" t="s">
        <v>89</v>
      </c>
      <c r="Z105" s="7" t="s">
        <v>117</v>
      </c>
      <c r="AA105" s="7" t="s">
        <v>62</v>
      </c>
      <c r="AB105" s="7"/>
      <c r="AC105" s="7" t="s">
        <v>78</v>
      </c>
      <c r="AD105" s="7"/>
      <c r="AE105" s="7" t="s">
        <v>88</v>
      </c>
      <c r="AF105" s="7"/>
      <c r="AG105" s="7" t="s">
        <v>174</v>
      </c>
      <c r="AH105" s="8"/>
      <c r="AI105" s="7"/>
      <c r="AJ105" s="7" t="s">
        <v>107</v>
      </c>
      <c r="AK105" s="7" t="s">
        <v>109</v>
      </c>
      <c r="AL105" s="9" t="s">
        <v>1519</v>
      </c>
      <c r="AM105" s="7" t="str">
        <f>VLOOKUP(AL105,Personal!$A$2:$I$300,2,FALSE)</f>
        <v>0000001491</v>
      </c>
      <c r="AN105" s="7" t="str">
        <f>VLOOKUP(AL105,Personal!$A$2:$I$300,3,FALSE)</f>
        <v>GAMBONI KOIFMAN DE TENORIO SANCHO DAVI C</v>
      </c>
      <c r="AO105" s="7" t="str">
        <f>VLOOKUP(AL105,Personal!$A$2:$I$300,6,FALSE)</f>
        <v>Asistente de Gerencia General</v>
      </c>
      <c r="AP105" s="7" t="str">
        <f>VLOOKUP(AL105,Personal!$A$2:$I$300,7,FALSE)</f>
        <v>Gerencia General</v>
      </c>
      <c r="AQ105" s="7" t="str">
        <f>VLOOKUP(AL105,Personal!$A$2:$I$300,8,FALSE)</f>
        <v>Gerencia General</v>
      </c>
      <c r="AR105" s="7"/>
    </row>
    <row r="106" spans="2:44" x14ac:dyDescent="0.3">
      <c r="B106" s="6">
        <v>101</v>
      </c>
      <c r="C106" s="6"/>
      <c r="D106" s="6"/>
      <c r="E106" s="6"/>
      <c r="F106" s="6"/>
      <c r="G106" s="7" t="s">
        <v>33</v>
      </c>
      <c r="H106" s="7" t="s">
        <v>29</v>
      </c>
      <c r="I106" s="7" t="s">
        <v>46</v>
      </c>
      <c r="J106" s="7" t="s">
        <v>193</v>
      </c>
      <c r="K106" s="10" t="s">
        <v>1332</v>
      </c>
      <c r="L106" s="7" t="s">
        <v>1290</v>
      </c>
      <c r="M106" s="7"/>
      <c r="N106" s="7"/>
      <c r="O106" s="13"/>
      <c r="P106" s="13"/>
      <c r="Q106" s="7"/>
      <c r="R106" s="7"/>
      <c r="S106" s="7" t="s">
        <v>1331</v>
      </c>
      <c r="T106" s="7"/>
      <c r="U106" s="7" t="s">
        <v>1636</v>
      </c>
      <c r="V106" s="7" t="s">
        <v>1333</v>
      </c>
      <c r="W106" s="7" t="s">
        <v>1635</v>
      </c>
      <c r="X106" s="7" t="s">
        <v>54</v>
      </c>
      <c r="Y106" s="7" t="s">
        <v>89</v>
      </c>
      <c r="Z106" s="7" t="s">
        <v>117</v>
      </c>
      <c r="AA106" s="7" t="s">
        <v>60</v>
      </c>
      <c r="AB106" s="7"/>
      <c r="AC106" s="7" t="s">
        <v>234</v>
      </c>
      <c r="AD106" s="7"/>
      <c r="AE106" s="7" t="s">
        <v>88</v>
      </c>
      <c r="AF106" s="7" t="s">
        <v>169</v>
      </c>
      <c r="AG106" s="7" t="s">
        <v>174</v>
      </c>
      <c r="AH106" s="8"/>
      <c r="AI106" s="7"/>
      <c r="AJ106" s="7" t="s">
        <v>107</v>
      </c>
      <c r="AK106" s="7" t="s">
        <v>109</v>
      </c>
      <c r="AL106" s="9" t="s">
        <v>508</v>
      </c>
      <c r="AM106" s="7" t="str">
        <f>VLOOKUP(AL106,Personal!$A$2:$I$300,2,FALSE)</f>
        <v>0000001428</v>
      </c>
      <c r="AN106" s="7" t="str">
        <f>VLOOKUP(AL106,Personal!$A$2:$I$300,3,FALSE)</f>
        <v>CARRILLO SILVA ENRIQUE RAFAEL</v>
      </c>
      <c r="AO106" s="7" t="str">
        <f>VLOOKUP(AL106,Personal!$A$2:$I$300,6,FALSE)</f>
        <v>Botones</v>
      </c>
      <c r="AP106" s="7" t="str">
        <f>VLOOKUP(AL106,Personal!$A$2:$I$300,7,FALSE)</f>
        <v>Recepción</v>
      </c>
      <c r="AQ106" s="7" t="str">
        <f>VLOOKUP(AL106,Personal!$A$2:$I$300,8,FALSE)</f>
        <v>División de Habitaciones (Operaciones)</v>
      </c>
      <c r="AR106" s="89"/>
    </row>
    <row r="107" spans="2:44" x14ac:dyDescent="0.3">
      <c r="B107" s="6">
        <v>102</v>
      </c>
      <c r="C107" s="6"/>
      <c r="D107" s="6"/>
      <c r="E107" s="6"/>
      <c r="F107" s="6"/>
      <c r="G107" s="7" t="s">
        <v>33</v>
      </c>
      <c r="H107" s="7" t="s">
        <v>29</v>
      </c>
      <c r="I107" s="7" t="s">
        <v>46</v>
      </c>
      <c r="J107" s="7" t="s">
        <v>1326</v>
      </c>
      <c r="K107" s="10" t="s">
        <v>1336</v>
      </c>
      <c r="L107" s="7" t="s">
        <v>1327</v>
      </c>
      <c r="M107" s="7"/>
      <c r="N107" s="7"/>
      <c r="O107" s="13"/>
      <c r="P107" s="13"/>
      <c r="Q107" s="7"/>
      <c r="R107" s="7"/>
      <c r="S107" s="7" t="s">
        <v>1334</v>
      </c>
      <c r="T107" s="7"/>
      <c r="U107" s="7" t="s">
        <v>1457</v>
      </c>
      <c r="V107" s="7" t="s">
        <v>1335</v>
      </c>
      <c r="W107" s="7"/>
      <c r="X107" s="7" t="s">
        <v>55</v>
      </c>
      <c r="Y107" s="7" t="s">
        <v>97</v>
      </c>
      <c r="Z107" s="7" t="s">
        <v>117</v>
      </c>
      <c r="AA107" s="7" t="s">
        <v>73</v>
      </c>
      <c r="AB107" s="7"/>
      <c r="AC107" s="7" t="s">
        <v>78</v>
      </c>
      <c r="AD107" s="7"/>
      <c r="AE107" s="7" t="s">
        <v>88</v>
      </c>
      <c r="AF107" s="7"/>
      <c r="AG107" s="7" t="s">
        <v>174</v>
      </c>
      <c r="AH107" s="8"/>
      <c r="AI107" s="7"/>
      <c r="AJ107" s="7" t="s">
        <v>107</v>
      </c>
      <c r="AK107" s="7" t="s">
        <v>109</v>
      </c>
      <c r="AL107" s="9" t="s">
        <v>316</v>
      </c>
      <c r="AM107" s="7" t="str">
        <f>VLOOKUP(AL107,Personal!$A$2:$I$300,2,FALSE)</f>
        <v>0000000438</v>
      </c>
      <c r="AN107" s="7" t="str">
        <f>VLOOKUP(AL107,Personal!$A$2:$I$300,3,FALSE)</f>
        <v>ORELLANA GODOY MELCHORA OLINDA</v>
      </c>
      <c r="AO107" s="7" t="str">
        <f>VLOOKUP(AL107,Personal!$A$2:$I$300,6,FALSE)</f>
        <v>Contador</v>
      </c>
      <c r="AP107" s="7" t="str">
        <f>VLOOKUP(AL107,Personal!$A$2:$I$300,7,FALSE)</f>
        <v>Contabilidad</v>
      </c>
      <c r="AQ107" s="7" t="str">
        <f>VLOOKUP(AL107,Personal!$A$2:$I$300,8,FALSE)</f>
        <v>Contraloría</v>
      </c>
      <c r="AR107" s="7"/>
    </row>
    <row r="108" spans="2:44" x14ac:dyDescent="0.3">
      <c r="B108" s="6">
        <v>103</v>
      </c>
      <c r="C108" s="6"/>
      <c r="D108" s="6"/>
      <c r="E108" s="6"/>
      <c r="F108" s="6"/>
      <c r="G108" s="7" t="s">
        <v>33</v>
      </c>
      <c r="H108" s="7" t="s">
        <v>29</v>
      </c>
      <c r="I108" s="7" t="s">
        <v>46</v>
      </c>
      <c r="J108" s="7" t="s">
        <v>193</v>
      </c>
      <c r="K108" s="10" t="s">
        <v>1337</v>
      </c>
      <c r="L108" s="7" t="s">
        <v>1290</v>
      </c>
      <c r="M108" s="7"/>
      <c r="N108" s="7"/>
      <c r="O108" s="13"/>
      <c r="P108" s="13"/>
      <c r="Q108" s="7"/>
      <c r="R108" s="7"/>
      <c r="S108" s="7" t="s">
        <v>1338</v>
      </c>
      <c r="T108" s="7"/>
      <c r="U108" s="7"/>
      <c r="V108" s="7" t="s">
        <v>1339</v>
      </c>
      <c r="W108" s="7"/>
      <c r="X108" s="7" t="s">
        <v>54</v>
      </c>
      <c r="Y108" s="7" t="s">
        <v>89</v>
      </c>
      <c r="Z108" s="7" t="s">
        <v>117</v>
      </c>
      <c r="AA108" s="7" t="s">
        <v>58</v>
      </c>
      <c r="AB108" s="7"/>
      <c r="AC108" s="7" t="s">
        <v>77</v>
      </c>
      <c r="AD108" s="7"/>
      <c r="AE108" s="54" t="s">
        <v>1210</v>
      </c>
      <c r="AF108" s="7"/>
      <c r="AG108" s="7" t="s">
        <v>174</v>
      </c>
      <c r="AH108" s="8"/>
      <c r="AI108" s="7"/>
      <c r="AJ108" s="7" t="s">
        <v>107</v>
      </c>
      <c r="AK108" s="7" t="s">
        <v>176</v>
      </c>
      <c r="AL108" s="10" t="s">
        <v>1748</v>
      </c>
      <c r="AM108" s="7">
        <f>VLOOKUP(AL108,Personal!$A$2:$I$300,2,FALSE)</f>
        <v>0</v>
      </c>
      <c r="AN108" s="7" t="str">
        <f>VLOOKUP(AL108,Personal!$A$2:$I$300,3,FALSE)</f>
        <v xml:space="preserve">Tecnologias de Información </v>
      </c>
      <c r="AO108" s="7" t="str">
        <f>VLOOKUP(AL108,Personal!$A$2:$I$300,6,FALSE)</f>
        <v xml:space="preserve">Tecnologias de Información </v>
      </c>
      <c r="AP108" s="7" t="str">
        <f>VLOOKUP(AL108,Personal!$A$2:$I$300,7,FALSE)</f>
        <v xml:space="preserve">Tecnologias de Información </v>
      </c>
      <c r="AQ108" s="7" t="str">
        <f>VLOOKUP(AL108,Personal!$A$2:$I$300,8,FALSE)</f>
        <v xml:space="preserve">Tecnologias de Información </v>
      </c>
      <c r="AR108" s="7" t="s">
        <v>1658</v>
      </c>
    </row>
    <row r="109" spans="2:44" x14ac:dyDescent="0.3">
      <c r="B109" s="6">
        <v>104</v>
      </c>
      <c r="C109" s="6"/>
      <c r="D109" s="6"/>
      <c r="E109" s="6"/>
      <c r="F109" s="6"/>
      <c r="G109" s="7" t="s">
        <v>33</v>
      </c>
      <c r="H109" s="7" t="s">
        <v>29</v>
      </c>
      <c r="I109" s="7" t="s">
        <v>46</v>
      </c>
      <c r="J109" s="7" t="s">
        <v>193</v>
      </c>
      <c r="K109" s="10" t="s">
        <v>1340</v>
      </c>
      <c r="L109" s="7" t="s">
        <v>1290</v>
      </c>
      <c r="M109" s="7"/>
      <c r="N109" s="7"/>
      <c r="O109" s="13"/>
      <c r="P109" s="13"/>
      <c r="Q109" s="7"/>
      <c r="R109" s="7"/>
      <c r="S109" s="7" t="s">
        <v>1341</v>
      </c>
      <c r="T109" s="7"/>
      <c r="U109" s="7" t="s">
        <v>1563</v>
      </c>
      <c r="V109" s="7" t="s">
        <v>1342</v>
      </c>
      <c r="W109" s="7" t="s">
        <v>1342</v>
      </c>
      <c r="X109" s="7" t="s">
        <v>54</v>
      </c>
      <c r="Y109" s="7" t="s">
        <v>89</v>
      </c>
      <c r="Z109" s="7" t="s">
        <v>117</v>
      </c>
      <c r="AA109" s="7" t="s">
        <v>60</v>
      </c>
      <c r="AB109" s="7"/>
      <c r="AC109" s="7" t="s">
        <v>77</v>
      </c>
      <c r="AD109" s="7"/>
      <c r="AE109" s="7" t="s">
        <v>88</v>
      </c>
      <c r="AF109" s="7" t="s">
        <v>169</v>
      </c>
      <c r="AG109" s="7" t="s">
        <v>174</v>
      </c>
      <c r="AH109" s="8"/>
      <c r="AI109" s="7"/>
      <c r="AJ109" s="7" t="s">
        <v>107</v>
      </c>
      <c r="AK109" s="7" t="s">
        <v>109</v>
      </c>
      <c r="AL109" s="9" t="s">
        <v>412</v>
      </c>
      <c r="AM109" s="7" t="str">
        <f>VLOOKUP(AL109,Personal!$A$2:$I$300,2,FALSE)</f>
        <v>0000001105</v>
      </c>
      <c r="AN109" s="7" t="str">
        <f>VLOOKUP(AL109,Personal!$A$2:$I$300,3,FALSE)</f>
        <v>CERRON ACUÑA JUAN MIGUEL</v>
      </c>
      <c r="AO109" s="7" t="str">
        <f>VLOOKUP(AL109,Personal!$A$2:$I$300,6,FALSE)</f>
        <v xml:space="preserve">Supervisor Jr. De Lavanderia </v>
      </c>
      <c r="AP109" s="7" t="str">
        <f>VLOOKUP(AL109,Personal!$A$2:$I$300,7,FALSE)</f>
        <v>Lavandería</v>
      </c>
      <c r="AQ109" s="7" t="str">
        <f>VLOOKUP(AL109,Personal!$A$2:$I$300,8,FALSE)</f>
        <v>División de Habitaciones (Operaciones)</v>
      </c>
      <c r="AR109" s="89"/>
    </row>
    <row r="110" spans="2:44" x14ac:dyDescent="0.3">
      <c r="B110" s="6">
        <v>105</v>
      </c>
      <c r="C110" s="6"/>
      <c r="D110" s="6"/>
      <c r="E110" s="6"/>
      <c r="F110" s="6"/>
      <c r="G110" s="7" t="s">
        <v>33</v>
      </c>
      <c r="H110" s="7" t="s">
        <v>29</v>
      </c>
      <c r="I110" s="7" t="s">
        <v>46</v>
      </c>
      <c r="J110" s="7" t="s">
        <v>193</v>
      </c>
      <c r="K110" s="10" t="s">
        <v>1346</v>
      </c>
      <c r="L110" s="7" t="s">
        <v>1290</v>
      </c>
      <c r="M110" s="7"/>
      <c r="N110" s="7"/>
      <c r="O110" s="13"/>
      <c r="P110" s="13"/>
      <c r="Q110" s="7"/>
      <c r="R110" s="7"/>
      <c r="S110" s="7" t="s">
        <v>1347</v>
      </c>
      <c r="T110" s="7"/>
      <c r="U110" s="7"/>
      <c r="V110" s="7" t="s">
        <v>1348</v>
      </c>
      <c r="W110" s="7"/>
      <c r="X110" s="7" t="s">
        <v>54</v>
      </c>
      <c r="Y110" s="7" t="s">
        <v>89</v>
      </c>
      <c r="Z110" s="7" t="s">
        <v>117</v>
      </c>
      <c r="AA110" s="7" t="s">
        <v>60</v>
      </c>
      <c r="AB110" s="7"/>
      <c r="AC110" s="7" t="s">
        <v>234</v>
      </c>
      <c r="AD110" s="7"/>
      <c r="AE110" s="7" t="s">
        <v>88</v>
      </c>
      <c r="AF110" s="7"/>
      <c r="AG110" s="7" t="s">
        <v>174</v>
      </c>
      <c r="AH110" s="8"/>
      <c r="AI110" s="7"/>
      <c r="AJ110" s="7" t="s">
        <v>107</v>
      </c>
      <c r="AK110" s="7" t="s">
        <v>109</v>
      </c>
      <c r="AL110" s="9" t="s">
        <v>372</v>
      </c>
      <c r="AM110" s="7" t="str">
        <f>VLOOKUP(AL110,Personal!$A$2:$I$300,2,FALSE)</f>
        <v>0000000844</v>
      </c>
      <c r="AN110" s="7" t="str">
        <f>VLOOKUP(AL110,Personal!$A$2:$I$300,3,FALSE)</f>
        <v>MENDIETA SOLANO WILLIAM JESUS</v>
      </c>
      <c r="AO110" s="7" t="str">
        <f>VLOOKUP(AL110,Personal!$A$2:$I$300,6,FALSE)</f>
        <v>Gerente de Control y Monitero</v>
      </c>
      <c r="AP110" s="7" t="str">
        <f>VLOOKUP(AL110,Personal!$A$2:$I$300,7,FALSE)</f>
        <v>Control y Monitoreo</v>
      </c>
      <c r="AQ110" s="7" t="str">
        <f>VLOOKUP(AL110,Personal!$A$2:$I$300,8,FALSE)</f>
        <v>Control y Monitoreo</v>
      </c>
      <c r="AR110" s="89"/>
    </row>
    <row r="111" spans="2:44" x14ac:dyDescent="0.3">
      <c r="B111" s="6">
        <v>106</v>
      </c>
      <c r="C111" s="6"/>
      <c r="D111" s="6"/>
      <c r="E111" s="6"/>
      <c r="F111" s="6"/>
      <c r="G111" s="7" t="s">
        <v>33</v>
      </c>
      <c r="H111" s="7" t="s">
        <v>29</v>
      </c>
      <c r="I111" s="7" t="s">
        <v>46</v>
      </c>
      <c r="J111" s="7" t="s">
        <v>193</v>
      </c>
      <c r="K111" s="10" t="s">
        <v>1350</v>
      </c>
      <c r="L111" s="7" t="s">
        <v>1290</v>
      </c>
      <c r="M111" s="7"/>
      <c r="N111" s="7"/>
      <c r="O111" s="13"/>
      <c r="P111" s="13"/>
      <c r="Q111" s="7"/>
      <c r="R111" s="7"/>
      <c r="S111" s="7" t="s">
        <v>1351</v>
      </c>
      <c r="T111" s="7"/>
      <c r="U111" s="7" t="s">
        <v>1664</v>
      </c>
      <c r="V111" s="7" t="s">
        <v>1352</v>
      </c>
      <c r="W111" s="7" t="s">
        <v>1352</v>
      </c>
      <c r="X111" s="7" t="s">
        <v>54</v>
      </c>
      <c r="Y111" s="7" t="s">
        <v>89</v>
      </c>
      <c r="Z111" s="7" t="s">
        <v>117</v>
      </c>
      <c r="AA111" s="7" t="s">
        <v>60</v>
      </c>
      <c r="AB111" s="7"/>
      <c r="AC111" s="7" t="s">
        <v>234</v>
      </c>
      <c r="AD111" s="7"/>
      <c r="AE111" s="7" t="s">
        <v>88</v>
      </c>
      <c r="AF111" s="7" t="s">
        <v>169</v>
      </c>
      <c r="AG111" s="7" t="s">
        <v>174</v>
      </c>
      <c r="AH111" s="8"/>
      <c r="AI111" s="7"/>
      <c r="AJ111" s="7" t="s">
        <v>107</v>
      </c>
      <c r="AK111" s="7" t="s">
        <v>109</v>
      </c>
      <c r="AL111" s="9" t="s">
        <v>518</v>
      </c>
      <c r="AM111" s="7" t="str">
        <f>VLOOKUP(AL111,Personal!$A$2:$I$300,2,FALSE)</f>
        <v>0000001207</v>
      </c>
      <c r="AN111" s="7" t="str">
        <f>VLOOKUP(AL111,Personal!$A$2:$I$300,3,FALSE)</f>
        <v>LOZADA PAREDES LIZBETH</v>
      </c>
      <c r="AO111" s="7" t="str">
        <f>VLOOKUP(AL111,Personal!$A$2:$I$300,6,FALSE)</f>
        <v xml:space="preserve">Ejecutiva de Eventos </v>
      </c>
      <c r="AP111" s="7" t="str">
        <f>VLOOKUP(AL111,Personal!$A$2:$I$300,7,FALSE)</f>
        <v>Ventas</v>
      </c>
      <c r="AQ111" s="7" t="str">
        <f>VLOOKUP(AL111,Personal!$A$2:$I$300,8,FALSE)</f>
        <v>Ventas y Marketing</v>
      </c>
      <c r="AR111" s="89"/>
    </row>
    <row r="112" spans="2:44" x14ac:dyDescent="0.3">
      <c r="B112" s="6">
        <v>107</v>
      </c>
      <c r="C112" s="6"/>
      <c r="D112" s="6"/>
      <c r="E112" s="6"/>
      <c r="F112" s="6"/>
      <c r="G112" s="7" t="s">
        <v>33</v>
      </c>
      <c r="H112" s="7" t="s">
        <v>29</v>
      </c>
      <c r="I112" s="7" t="s">
        <v>46</v>
      </c>
      <c r="J112" s="7" t="s">
        <v>193</v>
      </c>
      <c r="K112" s="10" t="s">
        <v>1353</v>
      </c>
      <c r="L112" s="7" t="s">
        <v>1290</v>
      </c>
      <c r="M112" s="7"/>
      <c r="N112" s="7"/>
      <c r="O112" s="13"/>
      <c r="P112" s="13"/>
      <c r="Q112" s="7"/>
      <c r="R112" s="7"/>
      <c r="S112" s="7" t="s">
        <v>1354</v>
      </c>
      <c r="T112" s="7"/>
      <c r="U112" s="7" t="s">
        <v>1617</v>
      </c>
      <c r="V112" s="7" t="s">
        <v>1355</v>
      </c>
      <c r="W112" s="7" t="s">
        <v>1834</v>
      </c>
      <c r="X112" s="7" t="s">
        <v>54</v>
      </c>
      <c r="Y112" s="7" t="s">
        <v>89</v>
      </c>
      <c r="Z112" s="7" t="s">
        <v>117</v>
      </c>
      <c r="AA112" s="7" t="s">
        <v>60</v>
      </c>
      <c r="AB112" s="7"/>
      <c r="AC112" s="7" t="s">
        <v>234</v>
      </c>
      <c r="AD112" s="7"/>
      <c r="AE112" s="7" t="s">
        <v>88</v>
      </c>
      <c r="AF112" s="7" t="s">
        <v>169</v>
      </c>
      <c r="AG112" s="7" t="s">
        <v>174</v>
      </c>
      <c r="AH112" s="8"/>
      <c r="AI112" s="7"/>
      <c r="AJ112" s="7" t="s">
        <v>107</v>
      </c>
      <c r="AK112" s="7" t="s">
        <v>109</v>
      </c>
      <c r="AL112" s="9" t="s">
        <v>416</v>
      </c>
      <c r="AM112" s="7" t="str">
        <f>VLOOKUP(AL112,Personal!$A$2:$I$300,2,FALSE)</f>
        <v>0000001110</v>
      </c>
      <c r="AN112" s="7" t="str">
        <f>VLOOKUP(AL112,Personal!$A$2:$I$300,3,FALSE)</f>
        <v>RAMIREZ MORALES CARLO MARIO</v>
      </c>
      <c r="AO112" s="7" t="str">
        <f>VLOOKUP(AL112,Personal!$A$2:$I$300,6,FALSE)</f>
        <v>Coordinador de Eventos</v>
      </c>
      <c r="AP112" s="7" t="str">
        <f>VLOOKUP(AL112,Personal!$A$2:$I$300,7,FALSE)</f>
        <v>Ventas</v>
      </c>
      <c r="AQ112" s="7" t="str">
        <f>VLOOKUP(AL112,Personal!$A$2:$I$300,8,FALSE)</f>
        <v>Ventas y Marketing</v>
      </c>
      <c r="AR112" s="89"/>
    </row>
    <row r="113" spans="2:44" x14ac:dyDescent="0.3">
      <c r="B113" s="6">
        <v>108</v>
      </c>
      <c r="C113" s="6"/>
      <c r="D113" s="6"/>
      <c r="E113" s="6"/>
      <c r="F113" s="6"/>
      <c r="G113" s="7" t="s">
        <v>33</v>
      </c>
      <c r="H113" s="7" t="s">
        <v>29</v>
      </c>
      <c r="I113" s="7" t="s">
        <v>46</v>
      </c>
      <c r="J113" s="7" t="s">
        <v>193</v>
      </c>
      <c r="K113" s="10" t="s">
        <v>1356</v>
      </c>
      <c r="L113" s="7" t="s">
        <v>1290</v>
      </c>
      <c r="M113" s="7"/>
      <c r="N113" s="7"/>
      <c r="O113" s="13"/>
      <c r="P113" s="13"/>
      <c r="Q113" s="7"/>
      <c r="R113" s="7"/>
      <c r="S113" s="7" t="s">
        <v>1357</v>
      </c>
      <c r="T113" s="7"/>
      <c r="U113" s="7" t="s">
        <v>1758</v>
      </c>
      <c r="V113" s="7" t="s">
        <v>1358</v>
      </c>
      <c r="W113" s="7" t="s">
        <v>1358</v>
      </c>
      <c r="X113" s="7" t="s">
        <v>54</v>
      </c>
      <c r="Y113" s="7" t="s">
        <v>89</v>
      </c>
      <c r="Z113" s="7" t="s">
        <v>117</v>
      </c>
      <c r="AA113" s="7" t="s">
        <v>60</v>
      </c>
      <c r="AB113" s="7"/>
      <c r="AC113" s="7" t="s">
        <v>234</v>
      </c>
      <c r="AD113" s="7"/>
      <c r="AE113" s="7" t="s">
        <v>88</v>
      </c>
      <c r="AF113" s="7" t="s">
        <v>169</v>
      </c>
      <c r="AG113" s="7" t="s">
        <v>174</v>
      </c>
      <c r="AH113" s="8"/>
      <c r="AI113" s="7"/>
      <c r="AJ113" s="7" t="s">
        <v>107</v>
      </c>
      <c r="AK113" s="7" t="s">
        <v>109</v>
      </c>
      <c r="AL113" s="9" t="s">
        <v>947</v>
      </c>
      <c r="AM113" s="7" t="str">
        <f>VLOOKUP(AL113,Personal!$A$2:$I$300,2,FALSE)</f>
        <v>0000001708</v>
      </c>
      <c r="AN113" s="7" t="str">
        <f>VLOOKUP(AL113,Personal!$A$2:$I$300,3,FALSE)</f>
        <v>PALACIOS CULQUI THALIA YARIM</v>
      </c>
      <c r="AO113" s="7" t="str">
        <f>VLOOKUP(AL113,Personal!$A$2:$I$300,6,FALSE)</f>
        <v>Jefe de Marketing</v>
      </c>
      <c r="AP113" s="7" t="str">
        <f>VLOOKUP(AL113,Personal!$A$2:$I$300,7,FALSE)</f>
        <v>Marketing</v>
      </c>
      <c r="AQ113" s="7" t="str">
        <f>VLOOKUP(AL113,Personal!$A$2:$I$300,8,FALSE)</f>
        <v>Ventas y Marketing</v>
      </c>
      <c r="AR113" s="89"/>
    </row>
    <row r="114" spans="2:44" x14ac:dyDescent="0.3">
      <c r="B114" s="6">
        <v>109</v>
      </c>
      <c r="C114" s="6"/>
      <c r="D114" s="6"/>
      <c r="E114" s="6"/>
      <c r="F114" s="6"/>
      <c r="G114" s="7" t="s">
        <v>33</v>
      </c>
      <c r="H114" s="7" t="s">
        <v>29</v>
      </c>
      <c r="I114" s="7" t="s">
        <v>46</v>
      </c>
      <c r="J114" s="7" t="s">
        <v>1326</v>
      </c>
      <c r="K114" s="10" t="s">
        <v>1361</v>
      </c>
      <c r="L114" s="7" t="s">
        <v>1327</v>
      </c>
      <c r="M114" s="7"/>
      <c r="N114" s="7"/>
      <c r="O114" s="13"/>
      <c r="P114" s="13"/>
      <c r="Q114" s="7"/>
      <c r="R114" s="7"/>
      <c r="S114" s="7" t="s">
        <v>1362</v>
      </c>
      <c r="T114" s="7"/>
      <c r="U114" s="7" t="s">
        <v>1759</v>
      </c>
      <c r="V114" s="7" t="s">
        <v>1363</v>
      </c>
      <c r="W114" s="7" t="s">
        <v>1363</v>
      </c>
      <c r="X114" s="7" t="s">
        <v>55</v>
      </c>
      <c r="Y114" s="7" t="s">
        <v>97</v>
      </c>
      <c r="Z114" s="7" t="s">
        <v>117</v>
      </c>
      <c r="AA114" s="7" t="s">
        <v>73</v>
      </c>
      <c r="AB114" s="7"/>
      <c r="AC114" s="7" t="s">
        <v>1364</v>
      </c>
      <c r="AD114" s="7"/>
      <c r="AE114" s="7" t="s">
        <v>88</v>
      </c>
      <c r="AF114" s="7"/>
      <c r="AG114" s="7" t="s">
        <v>175</v>
      </c>
      <c r="AH114" s="8"/>
      <c r="AI114" s="7"/>
      <c r="AJ114" s="7" t="s">
        <v>107</v>
      </c>
      <c r="AK114" s="7" t="s">
        <v>109</v>
      </c>
      <c r="AL114" s="9" t="s">
        <v>826</v>
      </c>
      <c r="AM114" s="7" t="str">
        <f>VLOOKUP(AL114,Personal!$A$2:$I$300,2,FALSE)</f>
        <v>0000F00047</v>
      </c>
      <c r="AN114" s="7" t="str">
        <f>VLOOKUP(AL114,Personal!$A$2:$I$300,3,FALSE)</f>
        <v>TEJADA RIVEROS DIEGO JOEL</v>
      </c>
      <c r="AO114" s="7" t="str">
        <f>VLOOKUP(AL114,Personal!$A$2:$I$300,6,FALSE)</f>
        <v>Gerente de Personas y Cultura</v>
      </c>
      <c r="AP114" s="7" t="str">
        <f>VLOOKUP(AL114,Personal!$A$2:$I$300,7,FALSE)</f>
        <v>Personas y Cultura</v>
      </c>
      <c r="AQ114" s="7" t="str">
        <f>VLOOKUP(AL114,Personal!$A$2:$I$300,8,FALSE)</f>
        <v>Personas y Cultura</v>
      </c>
      <c r="AR114" s="7"/>
    </row>
    <row r="115" spans="2:44" x14ac:dyDescent="0.3">
      <c r="B115" s="6">
        <v>110</v>
      </c>
      <c r="C115" s="6"/>
      <c r="D115" s="6"/>
      <c r="E115" s="6"/>
      <c r="F115" s="6"/>
      <c r="G115" s="7" t="s">
        <v>33</v>
      </c>
      <c r="H115" s="7" t="s">
        <v>38</v>
      </c>
      <c r="I115" s="7" t="s">
        <v>46</v>
      </c>
      <c r="J115" s="7" t="s">
        <v>193</v>
      </c>
      <c r="K115" s="10" t="s">
        <v>1370</v>
      </c>
      <c r="L115" s="7" t="s">
        <v>1290</v>
      </c>
      <c r="M115" s="7"/>
      <c r="N115" s="7"/>
      <c r="O115" s="13"/>
      <c r="P115" s="13"/>
      <c r="Q115" s="7"/>
      <c r="R115" s="7"/>
      <c r="S115" s="7" t="s">
        <v>1371</v>
      </c>
      <c r="T115" s="7"/>
      <c r="U115" s="7" t="s">
        <v>1175</v>
      </c>
      <c r="V115" s="7" t="s">
        <v>1372</v>
      </c>
      <c r="W115" s="7" t="s">
        <v>1372</v>
      </c>
      <c r="X115" s="7" t="s">
        <v>54</v>
      </c>
      <c r="Y115" s="7" t="s">
        <v>89</v>
      </c>
      <c r="Z115" s="7" t="s">
        <v>117</v>
      </c>
      <c r="AA115" s="7" t="s">
        <v>58</v>
      </c>
      <c r="AB115" s="7"/>
      <c r="AC115" s="7" t="s">
        <v>75</v>
      </c>
      <c r="AD115" s="7"/>
      <c r="AE115" s="7" t="s">
        <v>1210</v>
      </c>
      <c r="AF115" s="7" t="s">
        <v>170</v>
      </c>
      <c r="AG115" s="7" t="s">
        <v>174</v>
      </c>
      <c r="AH115" s="8"/>
      <c r="AI115" s="7"/>
      <c r="AJ115" s="7" t="s">
        <v>107</v>
      </c>
      <c r="AK115" s="7" t="s">
        <v>109</v>
      </c>
      <c r="AL115" s="9" t="s">
        <v>1748</v>
      </c>
      <c r="AM115" s="7">
        <f>VLOOKUP(AL115,Personal!$A$2:$I$300,2,FALSE)</f>
        <v>0</v>
      </c>
      <c r="AN115" s="7" t="str">
        <f>VLOOKUP(AL115,Personal!$A$2:$I$300,3,FALSE)</f>
        <v xml:space="preserve">Tecnologias de Información </v>
      </c>
      <c r="AO115" s="7" t="str">
        <f>VLOOKUP(AL115,Personal!$A$2:$I$300,6,FALSE)</f>
        <v xml:space="preserve">Tecnologias de Información </v>
      </c>
      <c r="AP115" s="7" t="str">
        <f>VLOOKUP(AL115,Personal!$A$2:$I$300,7,FALSE)</f>
        <v xml:space="preserve">Tecnologias de Información </v>
      </c>
      <c r="AQ115" s="7" t="str">
        <f>VLOOKUP(AL115,Personal!$A$2:$I$300,8,FALSE)</f>
        <v xml:space="preserve">Tecnologias de Información </v>
      </c>
      <c r="AR115" s="122" t="s">
        <v>1995</v>
      </c>
    </row>
    <row r="116" spans="2:44" x14ac:dyDescent="0.3">
      <c r="B116" s="6">
        <v>111</v>
      </c>
      <c r="C116" s="6"/>
      <c r="D116" s="6"/>
      <c r="E116" s="6"/>
      <c r="F116" s="6"/>
      <c r="G116" s="7" t="s">
        <v>35</v>
      </c>
      <c r="H116" s="7" t="s">
        <v>29</v>
      </c>
      <c r="I116" s="7" t="s">
        <v>46</v>
      </c>
      <c r="J116" s="7" t="s">
        <v>226</v>
      </c>
      <c r="K116" s="10" t="s">
        <v>1375</v>
      </c>
      <c r="L116" s="7"/>
      <c r="M116" s="7"/>
      <c r="N116" s="7"/>
      <c r="O116" s="13"/>
      <c r="P116" s="13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 t="s">
        <v>230</v>
      </c>
      <c r="AE116" s="7"/>
      <c r="AF116" s="7"/>
      <c r="AG116" s="7"/>
      <c r="AH116" s="8"/>
      <c r="AI116" s="7"/>
      <c r="AJ116" s="7" t="s">
        <v>107</v>
      </c>
      <c r="AK116" s="7" t="s">
        <v>109</v>
      </c>
      <c r="AL116" s="9" t="s">
        <v>397</v>
      </c>
      <c r="AM116" s="7" t="str">
        <f>VLOOKUP(AL116,Personal!$A$2:$I$300,2,FALSE)</f>
        <v>0000000993</v>
      </c>
      <c r="AN116" s="7" t="str">
        <f>VLOOKUP(AL116,Personal!$A$2:$I$300,3,FALSE)</f>
        <v>CARPIO PONCE GARY ANDRES</v>
      </c>
      <c r="AO116" s="7" t="str">
        <f>VLOOKUP(AL116,Personal!$A$2:$I$300,6,FALSE)</f>
        <v>Bodeguero</v>
      </c>
      <c r="AP116" s="7" t="str">
        <f>VLOOKUP(AL116,Personal!$A$2:$I$300,7,FALSE)</f>
        <v>Bodegas</v>
      </c>
      <c r="AQ116" s="7" t="str">
        <f>VLOOKUP(AL116,Personal!$A$2:$I$300,8,FALSE)</f>
        <v>Contraloría</v>
      </c>
      <c r="AR116" s="7"/>
    </row>
    <row r="117" spans="2:44" x14ac:dyDescent="0.3">
      <c r="B117" s="6">
        <v>112</v>
      </c>
      <c r="C117" s="6"/>
      <c r="D117" s="6"/>
      <c r="E117" s="6"/>
      <c r="F117" s="6"/>
      <c r="G117" s="7" t="s">
        <v>35</v>
      </c>
      <c r="H117" s="7" t="s">
        <v>29</v>
      </c>
      <c r="I117" s="7" t="s">
        <v>46</v>
      </c>
      <c r="J117" s="7" t="s">
        <v>226</v>
      </c>
      <c r="K117" s="10" t="s">
        <v>1413</v>
      </c>
      <c r="L117" s="7"/>
      <c r="M117" s="7"/>
      <c r="N117" s="7"/>
      <c r="O117" s="13"/>
      <c r="P117" s="13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 t="s">
        <v>230</v>
      </c>
      <c r="AE117" s="7"/>
      <c r="AF117" s="7"/>
      <c r="AG117" s="7"/>
      <c r="AH117" s="8"/>
      <c r="AI117" s="7"/>
      <c r="AJ117" s="7" t="s">
        <v>107</v>
      </c>
      <c r="AK117" s="7" t="s">
        <v>109</v>
      </c>
      <c r="AL117" s="9" t="s">
        <v>311</v>
      </c>
      <c r="AM117" s="7" t="str">
        <f>VLOOKUP(AL117,Personal!$A$2:$I$300,2,FALSE)</f>
        <v>0000000345</v>
      </c>
      <c r="AN117" s="7" t="str">
        <f>VLOOKUP(AL117,Personal!$A$2:$I$300,3,FALSE)</f>
        <v>MARTINEZ SOTELO LUIS ENRIQUE</v>
      </c>
      <c r="AO117" s="7" t="str">
        <f>VLOOKUP(AL117,Personal!$A$2:$I$300,6,FALSE)</f>
        <v>Supervisor Senior de Limpieza</v>
      </c>
      <c r="AP117" s="7" t="str">
        <f>VLOOKUP(AL117,Personal!$A$2:$I$300,7,FALSE)</f>
        <v>Limpieza</v>
      </c>
      <c r="AQ117" s="7" t="str">
        <f>VLOOKUP(AL117,Personal!$A$2:$I$300,8,FALSE)</f>
        <v>División de Habitaciones (Operaciones)</v>
      </c>
      <c r="AR117" s="89"/>
    </row>
    <row r="118" spans="2:44" x14ac:dyDescent="0.3">
      <c r="B118" s="6">
        <v>113</v>
      </c>
      <c r="C118" s="6"/>
      <c r="D118" s="6"/>
      <c r="E118" s="6"/>
      <c r="F118" s="6"/>
      <c r="G118" s="7" t="s">
        <v>35</v>
      </c>
      <c r="H118" s="7" t="s">
        <v>29</v>
      </c>
      <c r="I118" s="7" t="s">
        <v>46</v>
      </c>
      <c r="J118" s="7" t="s">
        <v>226</v>
      </c>
      <c r="K118" s="10" t="s">
        <v>1415</v>
      </c>
      <c r="L118" s="7"/>
      <c r="M118" s="7"/>
      <c r="N118" s="7"/>
      <c r="O118" s="13"/>
      <c r="P118" s="13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 t="s">
        <v>230</v>
      </c>
      <c r="AE118" s="7"/>
      <c r="AF118" s="7"/>
      <c r="AG118" s="7"/>
      <c r="AH118" s="8"/>
      <c r="AI118" s="7"/>
      <c r="AJ118" s="7" t="s">
        <v>107</v>
      </c>
      <c r="AK118" s="7" t="s">
        <v>109</v>
      </c>
      <c r="AL118" s="9" t="s">
        <v>526</v>
      </c>
      <c r="AM118" s="7" t="str">
        <f>VLOOKUP(AL118,Personal!$A$2:$I$300,2,FALSE)</f>
        <v>0000000875</v>
      </c>
      <c r="AN118" s="7" t="str">
        <f>VLOOKUP(AL118,Personal!$A$2:$I$300,3,FALSE)</f>
        <v>COBOS GRANDA GLADYS EDITH</v>
      </c>
      <c r="AO118" s="7" t="str">
        <f>VLOOKUP(AL118,Personal!$A$2:$I$300,6,FALSE)</f>
        <v>Gerente de Capacitación y Desarrollo</v>
      </c>
      <c r="AP118" s="7" t="str">
        <f>VLOOKUP(AL118,Personal!$A$2:$I$300,7,FALSE)</f>
        <v>Personas y Cultura</v>
      </c>
      <c r="AQ118" s="7" t="str">
        <f>VLOOKUP(AL118,Personal!$A$2:$I$300,8,FALSE)</f>
        <v>Personas y Cultura</v>
      </c>
      <c r="AR118" s="7"/>
    </row>
    <row r="119" spans="2:44" x14ac:dyDescent="0.3">
      <c r="B119" s="6">
        <v>114</v>
      </c>
      <c r="C119" s="6"/>
      <c r="D119" s="6"/>
      <c r="E119" s="6"/>
      <c r="F119" s="6"/>
      <c r="G119" s="7" t="s">
        <v>33</v>
      </c>
      <c r="H119" s="7" t="s">
        <v>29</v>
      </c>
      <c r="I119" s="7" t="s">
        <v>46</v>
      </c>
      <c r="J119" s="7" t="s">
        <v>193</v>
      </c>
      <c r="K119" s="10" t="s">
        <v>1416</v>
      </c>
      <c r="L119" s="7" t="s">
        <v>1290</v>
      </c>
      <c r="M119" s="7"/>
      <c r="N119" s="7"/>
      <c r="O119" s="13"/>
      <c r="P119" s="13"/>
      <c r="Q119" s="7"/>
      <c r="R119" s="7"/>
      <c r="S119" s="7"/>
      <c r="T119" s="7"/>
      <c r="U119" s="7" t="s">
        <v>1744</v>
      </c>
      <c r="V119" s="7" t="s">
        <v>1745</v>
      </c>
      <c r="W119" s="7" t="s">
        <v>1745</v>
      </c>
      <c r="X119" s="7" t="s">
        <v>54</v>
      </c>
      <c r="Y119" s="7" t="s">
        <v>89</v>
      </c>
      <c r="Z119" s="7" t="s">
        <v>117</v>
      </c>
      <c r="AA119" s="7" t="s">
        <v>60</v>
      </c>
      <c r="AB119" s="7"/>
      <c r="AC119" s="7" t="s">
        <v>234</v>
      </c>
      <c r="AD119" s="7"/>
      <c r="AE119" s="7" t="s">
        <v>88</v>
      </c>
      <c r="AF119" s="7" t="s">
        <v>169</v>
      </c>
      <c r="AG119" s="7" t="s">
        <v>175</v>
      </c>
      <c r="AH119" s="8"/>
      <c r="AI119" s="7"/>
      <c r="AJ119" s="7" t="s">
        <v>107</v>
      </c>
      <c r="AK119" s="7" t="s">
        <v>109</v>
      </c>
      <c r="AL119" s="9" t="s">
        <v>647</v>
      </c>
      <c r="AM119" s="7" t="str">
        <f>VLOOKUP(AL119,Personal!$A$2:$I$300,2,FALSE)</f>
        <v>0000001548</v>
      </c>
      <c r="AN119" s="7" t="str">
        <f>VLOOKUP(AL119,Personal!$A$2:$I$300,3,FALSE)</f>
        <v>QUINTANA TALLEDO ANGELA VIRGINIA</v>
      </c>
      <c r="AO119" s="7" t="str">
        <f>VLOOKUP(AL119,Personal!$A$2:$I$300,6,FALSE)</f>
        <v xml:space="preserve">Ejecutiva de Eventos </v>
      </c>
      <c r="AP119" s="7" t="str">
        <f>VLOOKUP(AL119,Personal!$A$2:$I$300,7,FALSE)</f>
        <v>Ventas</v>
      </c>
      <c r="AQ119" s="7" t="str">
        <f>VLOOKUP(AL119,Personal!$A$2:$I$300,8,FALSE)</f>
        <v>Ventas y Marketing</v>
      </c>
      <c r="AR119" s="89"/>
    </row>
    <row r="120" spans="2:44" x14ac:dyDescent="0.3">
      <c r="B120" s="6">
        <v>115</v>
      </c>
      <c r="C120" s="6"/>
      <c r="D120" s="6"/>
      <c r="E120" s="6"/>
      <c r="F120" s="6"/>
      <c r="G120" s="7" t="s">
        <v>35</v>
      </c>
      <c r="H120" s="7" t="s">
        <v>29</v>
      </c>
      <c r="I120" s="7" t="s">
        <v>46</v>
      </c>
      <c r="J120" s="7" t="s">
        <v>226</v>
      </c>
      <c r="K120" s="10" t="s">
        <v>1417</v>
      </c>
      <c r="L120" s="7"/>
      <c r="M120" s="7"/>
      <c r="N120" s="7"/>
      <c r="O120" s="13"/>
      <c r="P120" s="13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 t="s">
        <v>230</v>
      </c>
      <c r="AE120" s="7"/>
      <c r="AF120" s="7"/>
      <c r="AG120" s="7"/>
      <c r="AH120" s="8"/>
      <c r="AI120" s="7"/>
      <c r="AJ120" s="7" t="s">
        <v>107</v>
      </c>
      <c r="AK120" s="7" t="s">
        <v>109</v>
      </c>
      <c r="AL120" s="9" t="s">
        <v>647</v>
      </c>
      <c r="AM120" s="7" t="str">
        <f>VLOOKUP(AL120,Personal!$A$2:$I$300,2,FALSE)</f>
        <v>0000001548</v>
      </c>
      <c r="AN120" s="7" t="str">
        <f>VLOOKUP(AL120,Personal!$A$2:$I$300,3,FALSE)</f>
        <v>QUINTANA TALLEDO ANGELA VIRGINIA</v>
      </c>
      <c r="AO120" s="7" t="str">
        <f>VLOOKUP(AL120,Personal!$A$2:$I$300,6,FALSE)</f>
        <v xml:space="preserve">Ejecutiva de Eventos </v>
      </c>
      <c r="AP120" s="7" t="str">
        <f>VLOOKUP(AL120,Personal!$A$2:$I$300,7,FALSE)</f>
        <v>Ventas</v>
      </c>
      <c r="AQ120" s="7" t="str">
        <f>VLOOKUP(AL120,Personal!$A$2:$I$300,8,FALSE)</f>
        <v>Ventas y Marketing</v>
      </c>
      <c r="AR120" s="7"/>
    </row>
    <row r="121" spans="2:44" x14ac:dyDescent="0.3">
      <c r="B121" s="6">
        <v>116</v>
      </c>
      <c r="C121" s="6"/>
      <c r="D121" s="6"/>
      <c r="E121" s="6"/>
      <c r="F121" s="6"/>
      <c r="G121" s="7" t="s">
        <v>35</v>
      </c>
      <c r="H121" s="7" t="s">
        <v>29</v>
      </c>
      <c r="I121" s="7" t="s">
        <v>46</v>
      </c>
      <c r="J121" s="7" t="s">
        <v>226</v>
      </c>
      <c r="K121" s="10" t="s">
        <v>1419</v>
      </c>
      <c r="L121" s="7"/>
      <c r="M121" s="7"/>
      <c r="N121" s="7"/>
      <c r="O121" s="13"/>
      <c r="P121" s="13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 t="s">
        <v>230</v>
      </c>
      <c r="AE121" s="7"/>
      <c r="AF121" s="7"/>
      <c r="AG121" s="7"/>
      <c r="AH121" s="8"/>
      <c r="AI121" s="7"/>
      <c r="AJ121" s="7" t="s">
        <v>107</v>
      </c>
      <c r="AK121" s="7" t="s">
        <v>109</v>
      </c>
      <c r="AL121" s="9" t="s">
        <v>664</v>
      </c>
      <c r="AM121" s="7" t="str">
        <f>VLOOKUP(AL121,Personal!$A$2:$I$300,2,FALSE)</f>
        <v>0000001557</v>
      </c>
      <c r="AN121" s="7" t="str">
        <f>VLOOKUP(AL121,Personal!$A$2:$I$300,3,FALSE)</f>
        <v>CARBAJAL SANDOVAL KARIN GEORGHET</v>
      </c>
      <c r="AO121" s="7" t="str">
        <f>VLOOKUP(AL121,Personal!$A$2:$I$300,6,FALSE)</f>
        <v>Enfermera</v>
      </c>
      <c r="AP121" s="7" t="str">
        <f>VLOOKUP(AL121,Personal!$A$2:$I$300,7,FALSE)</f>
        <v>Personas y Cultura</v>
      </c>
      <c r="AQ121" s="7" t="str">
        <f>VLOOKUP(AL121,Personal!$A$2:$I$300,8,FALSE)</f>
        <v>Personas y Cultura</v>
      </c>
      <c r="AR121" s="7"/>
    </row>
    <row r="122" spans="2:44" x14ac:dyDescent="0.3">
      <c r="B122" s="6">
        <v>117</v>
      </c>
      <c r="C122" s="6"/>
      <c r="D122" s="6"/>
      <c r="E122" s="6"/>
      <c r="F122" s="6"/>
      <c r="G122" s="7" t="s">
        <v>33</v>
      </c>
      <c r="H122" s="7" t="s">
        <v>29</v>
      </c>
      <c r="I122" s="7" t="s">
        <v>46</v>
      </c>
      <c r="J122" s="7" t="s">
        <v>193</v>
      </c>
      <c r="K122" s="10" t="s">
        <v>1418</v>
      </c>
      <c r="L122" s="7" t="s">
        <v>1290</v>
      </c>
      <c r="M122" s="7"/>
      <c r="N122" s="7"/>
      <c r="O122" s="13"/>
      <c r="P122" s="13"/>
      <c r="Q122" s="7"/>
      <c r="R122" s="7"/>
      <c r="S122" s="7"/>
      <c r="T122" s="7"/>
      <c r="U122" s="7" t="s">
        <v>1719</v>
      </c>
      <c r="V122" s="7"/>
      <c r="W122" s="7" t="s">
        <v>1618</v>
      </c>
      <c r="X122" s="7" t="s">
        <v>54</v>
      </c>
      <c r="Y122" s="7" t="s">
        <v>89</v>
      </c>
      <c r="Z122" s="7" t="s">
        <v>117</v>
      </c>
      <c r="AA122" s="7" t="s">
        <v>60</v>
      </c>
      <c r="AB122" s="7"/>
      <c r="AC122" s="7" t="s">
        <v>234</v>
      </c>
      <c r="AD122" s="7"/>
      <c r="AE122" s="7" t="s">
        <v>88</v>
      </c>
      <c r="AF122" s="7" t="s">
        <v>169</v>
      </c>
      <c r="AG122" s="7" t="s">
        <v>175</v>
      </c>
      <c r="AH122" s="8"/>
      <c r="AI122" s="7"/>
      <c r="AJ122" s="7" t="s">
        <v>107</v>
      </c>
      <c r="AK122" s="7" t="s">
        <v>109</v>
      </c>
      <c r="AL122" s="9" t="s">
        <v>664</v>
      </c>
      <c r="AM122" s="7" t="str">
        <f>VLOOKUP(AL122,Personal!$A$2:$I$300,2,FALSE)</f>
        <v>0000001557</v>
      </c>
      <c r="AN122" s="7" t="str">
        <f>VLOOKUP(AL122,Personal!$A$2:$I$300,3,FALSE)</f>
        <v>CARBAJAL SANDOVAL KARIN GEORGHET</v>
      </c>
      <c r="AO122" s="7" t="str">
        <f>VLOOKUP(AL122,Personal!$A$2:$I$300,6,FALSE)</f>
        <v>Enfermera</v>
      </c>
      <c r="AP122" s="7" t="str">
        <f>VLOOKUP(AL122,Personal!$A$2:$I$300,7,FALSE)</f>
        <v>Personas y Cultura</v>
      </c>
      <c r="AQ122" s="7" t="str">
        <f>VLOOKUP(AL122,Personal!$A$2:$I$300,8,FALSE)</f>
        <v>Personas y Cultura</v>
      </c>
      <c r="AR122" s="7"/>
    </row>
    <row r="123" spans="2:44" x14ac:dyDescent="0.3">
      <c r="B123" s="6">
        <v>118</v>
      </c>
      <c r="C123" s="6"/>
      <c r="D123" s="6"/>
      <c r="E123" s="6"/>
      <c r="F123" s="6"/>
      <c r="G123" s="7" t="s">
        <v>35</v>
      </c>
      <c r="H123" s="7" t="s">
        <v>29</v>
      </c>
      <c r="I123" s="7" t="s">
        <v>48</v>
      </c>
      <c r="J123" s="7" t="s">
        <v>1420</v>
      </c>
      <c r="K123" s="10" t="s">
        <v>1421</v>
      </c>
      <c r="L123" s="7" t="s">
        <v>1422</v>
      </c>
      <c r="M123" s="7"/>
      <c r="N123" s="7"/>
      <c r="O123" s="13"/>
      <c r="P123" s="13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 t="s">
        <v>229</v>
      </c>
      <c r="AE123" s="7"/>
      <c r="AF123" s="7"/>
      <c r="AG123" s="7"/>
      <c r="AH123" s="8"/>
      <c r="AI123" s="7"/>
      <c r="AJ123" s="7" t="s">
        <v>107</v>
      </c>
      <c r="AK123" s="7" t="s">
        <v>109</v>
      </c>
      <c r="AL123" s="9" t="s">
        <v>333</v>
      </c>
      <c r="AM123" s="7" t="str">
        <f>VLOOKUP(AL123,Personal!$A$2:$I$300,2,FALSE)</f>
        <v>0000000423</v>
      </c>
      <c r="AN123" s="7" t="str">
        <f>VLOOKUP(AL123,Personal!$A$2:$I$300,3,FALSE)</f>
        <v>UGAZ OLIVARES PALOMA</v>
      </c>
      <c r="AO123" s="7" t="str">
        <f>VLOOKUP(AL123,Personal!$A$2:$I$300,6,FALSE)</f>
        <v>Supervisor Senior de A&amp;B</v>
      </c>
      <c r="AP123" s="7" t="str">
        <f>VLOOKUP(AL123,Personal!$A$2:$I$300,7,FALSE)</f>
        <v>Lobby</v>
      </c>
      <c r="AQ123" s="7" t="str">
        <f>VLOOKUP(AL123,Personal!$A$2:$I$300,8,FALSE)</f>
        <v>Alimentos y Bebidas</v>
      </c>
      <c r="AR123" s="7"/>
    </row>
    <row r="124" spans="2:44" x14ac:dyDescent="0.3">
      <c r="B124" s="6">
        <v>119</v>
      </c>
      <c r="C124" s="6"/>
      <c r="D124" s="6"/>
      <c r="E124" s="6"/>
      <c r="F124" s="6"/>
      <c r="G124" s="7" t="s">
        <v>35</v>
      </c>
      <c r="H124" s="7" t="s">
        <v>29</v>
      </c>
      <c r="I124" s="7" t="s">
        <v>46</v>
      </c>
      <c r="J124" s="7" t="s">
        <v>226</v>
      </c>
      <c r="K124" s="10" t="s">
        <v>1426</v>
      </c>
      <c r="L124" s="7"/>
      <c r="M124" s="7"/>
      <c r="N124" s="7"/>
      <c r="O124" s="13"/>
      <c r="P124" s="13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 t="s">
        <v>230</v>
      </c>
      <c r="AE124" s="7"/>
      <c r="AF124" s="7"/>
      <c r="AG124" s="7"/>
      <c r="AH124" s="8"/>
      <c r="AI124" s="7"/>
      <c r="AJ124" s="7" t="s">
        <v>107</v>
      </c>
      <c r="AK124" s="7" t="s">
        <v>109</v>
      </c>
      <c r="AL124" s="9" t="s">
        <v>384</v>
      </c>
      <c r="AM124" s="7" t="str">
        <f>VLOOKUP(AL124,Personal!$A$2:$I$300,2,FALSE)</f>
        <v>0000000874</v>
      </c>
      <c r="AN124" s="7" t="str">
        <f>VLOOKUP(AL124,Personal!$A$2:$I$300,3,FALSE)</f>
        <v>FALCON PAZ JULIAN MIGUEL ANGEL</v>
      </c>
      <c r="AO124" s="7" t="str">
        <f>VLOOKUP(AL124,Personal!$A$2:$I$300,6,FALSE)</f>
        <v>Supervisor Senior de A&amp;B</v>
      </c>
      <c r="AP124" s="7" t="str">
        <f>VLOOKUP(AL124,Personal!$A$2:$I$300,7,FALSE)</f>
        <v>Banquetes</v>
      </c>
      <c r="AQ124" s="7" t="str">
        <f>VLOOKUP(AL124,Personal!$A$2:$I$300,8,FALSE)</f>
        <v>Alimentos y Bebidas</v>
      </c>
      <c r="AR124" s="7"/>
    </row>
    <row r="125" spans="2:44" x14ac:dyDescent="0.3">
      <c r="B125" s="6">
        <v>120</v>
      </c>
      <c r="C125" s="6"/>
      <c r="D125" s="6"/>
      <c r="E125" s="6"/>
      <c r="F125" s="6"/>
      <c r="G125" s="7" t="s">
        <v>35</v>
      </c>
      <c r="H125" s="7" t="s">
        <v>29</v>
      </c>
      <c r="I125" s="7" t="s">
        <v>46</v>
      </c>
      <c r="J125" s="7" t="s">
        <v>226</v>
      </c>
      <c r="K125" s="10" t="s">
        <v>1428</v>
      </c>
      <c r="L125" s="7"/>
      <c r="M125" s="7"/>
      <c r="N125" s="7"/>
      <c r="O125" s="13"/>
      <c r="P125" s="13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 t="s">
        <v>230</v>
      </c>
      <c r="AE125" s="7"/>
      <c r="AF125" s="7"/>
      <c r="AG125" s="7"/>
      <c r="AH125" s="8"/>
      <c r="AI125" s="7"/>
      <c r="AJ125" s="7" t="s">
        <v>107</v>
      </c>
      <c r="AK125" s="7" t="s">
        <v>109</v>
      </c>
      <c r="AL125" s="9" t="s">
        <v>536</v>
      </c>
      <c r="AM125" s="7" t="str">
        <f>VLOOKUP(AL125,Personal!$A$2:$I$300,2,FALSE)</f>
        <v>0000001439</v>
      </c>
      <c r="AN125" s="7" t="str">
        <f>VLOOKUP(AL125,Personal!$A$2:$I$300,3,FALSE)</f>
        <v>GOMEZ COBEÑA PERCY BOLIVAR</v>
      </c>
      <c r="AO125" s="7" t="str">
        <f>VLOOKUP(AL125,Personal!$A$2:$I$300,6,FALSE)</f>
        <v>Capitán de Banquetes</v>
      </c>
      <c r="AP125" s="7" t="str">
        <f>VLOOKUP(AL125,Personal!$A$2:$I$300,7,FALSE)</f>
        <v>Banquetes</v>
      </c>
      <c r="AQ125" s="7" t="str">
        <f>VLOOKUP(AL125,Personal!$A$2:$I$300,8,FALSE)</f>
        <v>Alimentos y Bebidas</v>
      </c>
      <c r="AR125" s="7"/>
    </row>
    <row r="126" spans="2:44" x14ac:dyDescent="0.3">
      <c r="B126" s="6">
        <v>121</v>
      </c>
      <c r="C126" s="6"/>
      <c r="D126" s="6"/>
      <c r="E126" s="6"/>
      <c r="F126" s="6"/>
      <c r="G126" s="7" t="s">
        <v>35</v>
      </c>
      <c r="H126" s="7" t="s">
        <v>29</v>
      </c>
      <c r="I126" s="7" t="s">
        <v>46</v>
      </c>
      <c r="J126" s="7" t="s">
        <v>226</v>
      </c>
      <c r="K126" s="10" t="s">
        <v>1419</v>
      </c>
      <c r="L126" s="7"/>
      <c r="M126" s="7"/>
      <c r="N126" s="7"/>
      <c r="O126" s="13"/>
      <c r="P126" s="13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 t="s">
        <v>230</v>
      </c>
      <c r="AE126" s="7"/>
      <c r="AF126" s="7"/>
      <c r="AG126" s="7"/>
      <c r="AH126" s="8"/>
      <c r="AI126" s="7"/>
      <c r="AJ126" s="7" t="s">
        <v>107</v>
      </c>
      <c r="AK126" s="7" t="s">
        <v>109</v>
      </c>
      <c r="AL126" s="9" t="s">
        <v>664</v>
      </c>
      <c r="AM126" s="7" t="str">
        <f>VLOOKUP(AL126,Personal!$A$2:$I$300,2,FALSE)</f>
        <v>0000001557</v>
      </c>
      <c r="AN126" s="7" t="str">
        <f>VLOOKUP(AL126,Personal!$A$2:$I$300,3,FALSE)</f>
        <v>CARBAJAL SANDOVAL KARIN GEORGHET</v>
      </c>
      <c r="AO126" s="7" t="str">
        <f>VLOOKUP(AL126,Personal!$A$2:$I$300,6,FALSE)</f>
        <v>Enfermera</v>
      </c>
      <c r="AP126" s="7" t="str">
        <f>VLOOKUP(AL126,Personal!$A$2:$I$300,7,FALSE)</f>
        <v>Personas y Cultura</v>
      </c>
      <c r="AQ126" s="7" t="str">
        <f>VLOOKUP(AL126,Personal!$A$2:$I$300,8,FALSE)</f>
        <v>Personas y Cultura</v>
      </c>
      <c r="AR126" s="7"/>
    </row>
    <row r="127" spans="2:44" x14ac:dyDescent="0.3">
      <c r="B127" s="6">
        <v>122</v>
      </c>
      <c r="C127" s="6"/>
      <c r="D127" s="6"/>
      <c r="E127" s="6"/>
      <c r="F127" s="6"/>
      <c r="G127" s="7" t="s">
        <v>35</v>
      </c>
      <c r="H127" s="7" t="s">
        <v>29</v>
      </c>
      <c r="I127" s="7" t="s">
        <v>46</v>
      </c>
      <c r="J127" s="7" t="s">
        <v>226</v>
      </c>
      <c r="K127" s="10" t="s">
        <v>1433</v>
      </c>
      <c r="L127" s="7"/>
      <c r="M127" s="7"/>
      <c r="N127" s="7"/>
      <c r="O127" s="13"/>
      <c r="P127" s="13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 t="s">
        <v>230</v>
      </c>
      <c r="AE127" s="7"/>
      <c r="AF127" s="7"/>
      <c r="AG127" s="7"/>
      <c r="AH127" s="8"/>
      <c r="AI127" s="7"/>
      <c r="AJ127" s="7" t="s">
        <v>107</v>
      </c>
      <c r="AK127" s="7" t="s">
        <v>109</v>
      </c>
      <c r="AL127" s="9" t="s">
        <v>614</v>
      </c>
      <c r="AM127" s="7" t="str">
        <f>VLOOKUP(AL127,Personal!$A$2:$I$300,2,FALSE)</f>
        <v>0000001516</v>
      </c>
      <c r="AN127" s="7" t="str">
        <f>VLOOKUP(AL127,Personal!$A$2:$I$300,3,FALSE)</f>
        <v>ROQUE SILVA TANIA MARYORI</v>
      </c>
      <c r="AO127" s="7" t="str">
        <f>VLOOKUP(AL127,Personal!$A$2:$I$300,6,FALSE)</f>
        <v>Agente de Reservas</v>
      </c>
      <c r="AP127" s="7" t="str">
        <f>VLOOKUP(AL127,Personal!$A$2:$I$300,7,FALSE)</f>
        <v>Reservas</v>
      </c>
      <c r="AQ127" s="7" t="str">
        <f>VLOOKUP(AL127,Personal!$A$2:$I$300,8,FALSE)</f>
        <v>Ventas y Marketing</v>
      </c>
      <c r="AR127" s="7"/>
    </row>
    <row r="128" spans="2:44" x14ac:dyDescent="0.3">
      <c r="B128" s="6">
        <v>123</v>
      </c>
      <c r="C128" s="6"/>
      <c r="D128" s="6"/>
      <c r="E128" s="6"/>
      <c r="F128" s="6"/>
      <c r="G128" s="7" t="s">
        <v>33</v>
      </c>
      <c r="H128" s="7" t="s">
        <v>29</v>
      </c>
      <c r="I128" s="7" t="s">
        <v>46</v>
      </c>
      <c r="J128" s="7" t="s">
        <v>193</v>
      </c>
      <c r="K128" s="10" t="s">
        <v>1434</v>
      </c>
      <c r="L128" s="7" t="s">
        <v>1290</v>
      </c>
      <c r="M128" s="7"/>
      <c r="N128" s="7"/>
      <c r="O128" s="13"/>
      <c r="P128" s="13"/>
      <c r="Q128" s="7"/>
      <c r="R128" s="7"/>
      <c r="S128" s="7" t="s">
        <v>1435</v>
      </c>
      <c r="T128" s="7"/>
      <c r="U128" s="7" t="s">
        <v>1457</v>
      </c>
      <c r="V128" s="7"/>
      <c r="W128" s="7" t="s">
        <v>1436</v>
      </c>
      <c r="X128" s="7" t="s">
        <v>54</v>
      </c>
      <c r="Y128" s="7" t="s">
        <v>89</v>
      </c>
      <c r="Z128" s="7" t="s">
        <v>117</v>
      </c>
      <c r="AA128" s="7" t="s">
        <v>60</v>
      </c>
      <c r="AB128" s="7"/>
      <c r="AC128" s="7" t="s">
        <v>234</v>
      </c>
      <c r="AD128" s="7"/>
      <c r="AE128" s="7" t="s">
        <v>88</v>
      </c>
      <c r="AF128" s="7" t="s">
        <v>169</v>
      </c>
      <c r="AG128" s="7" t="s">
        <v>174</v>
      </c>
      <c r="AH128" s="8"/>
      <c r="AI128" s="7"/>
      <c r="AJ128" s="7" t="s">
        <v>107</v>
      </c>
      <c r="AK128" s="7" t="s">
        <v>109</v>
      </c>
      <c r="AL128" s="9" t="s">
        <v>888</v>
      </c>
      <c r="AM128" s="7" t="str">
        <f>VLOOKUP(AL128,Personal!$A$2:$I$300,2,FALSE)</f>
        <v>0000001678</v>
      </c>
      <c r="AN128" s="7" t="str">
        <f>VLOOKUP(AL128,Personal!$A$2:$I$300,3,FALSE)</f>
        <v>GUERRERO BOLAÑOS SONIBEL SOFIA</v>
      </c>
      <c r="AO128" s="7" t="str">
        <f>VLOOKUP(AL128,Personal!$A$2:$I$300,6,FALSE)</f>
        <v>Agente de Reservas</v>
      </c>
      <c r="AP128" s="7" t="str">
        <f>VLOOKUP(AL128,Personal!$A$2:$I$300,7,FALSE)</f>
        <v>Reservas</v>
      </c>
      <c r="AQ128" s="7" t="str">
        <f>VLOOKUP(AL128,Personal!$A$2:$I$300,8,FALSE)</f>
        <v>Ventas y Marketing</v>
      </c>
      <c r="AR128" s="89"/>
    </row>
    <row r="129" spans="2:44" x14ac:dyDescent="0.3">
      <c r="B129" s="6">
        <v>124</v>
      </c>
      <c r="C129" s="6"/>
      <c r="D129" s="6"/>
      <c r="E129" s="6"/>
      <c r="F129" s="6"/>
      <c r="G129" s="7" t="s">
        <v>35</v>
      </c>
      <c r="H129" s="7" t="s">
        <v>29</v>
      </c>
      <c r="I129" s="7" t="s">
        <v>46</v>
      </c>
      <c r="J129" s="7" t="s">
        <v>226</v>
      </c>
      <c r="K129" s="10" t="s">
        <v>1438</v>
      </c>
      <c r="L129" s="7"/>
      <c r="M129" s="7"/>
      <c r="N129" s="7"/>
      <c r="O129" s="13"/>
      <c r="P129" s="13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 t="s">
        <v>230</v>
      </c>
      <c r="AE129" s="7"/>
      <c r="AF129" s="7"/>
      <c r="AG129" s="7"/>
      <c r="AH129" s="8"/>
      <c r="AI129" s="7"/>
      <c r="AJ129" s="7" t="s">
        <v>107</v>
      </c>
      <c r="AK129" s="7" t="s">
        <v>109</v>
      </c>
      <c r="AL129" s="9" t="s">
        <v>685</v>
      </c>
      <c r="AM129" s="7" t="str">
        <f>VLOOKUP(AL129,Personal!$A$2:$I$300,2,FALSE)</f>
        <v>0000001568</v>
      </c>
      <c r="AN129" s="7" t="str">
        <f>VLOOKUP(AL129,Personal!$A$2:$I$300,3,FALSE)</f>
        <v>BAGLIETTO ROJAS PIERO GIOVANI</v>
      </c>
      <c r="AO129" s="7" t="str">
        <f>VLOOKUP(AL129,Personal!$A$2:$I$300,6,FALSE)</f>
        <v>Jefe de Revenue</v>
      </c>
      <c r="AP129" s="7" t="str">
        <f>VLOOKUP(AL129,Personal!$A$2:$I$300,7,FALSE)</f>
        <v>Revenue</v>
      </c>
      <c r="AQ129" s="7" t="str">
        <f>VLOOKUP(AL129,Personal!$A$2:$I$300,8,FALSE)</f>
        <v>Ventas y Marketing</v>
      </c>
      <c r="AR129" s="7"/>
    </row>
    <row r="130" spans="2:44" x14ac:dyDescent="0.3">
      <c r="B130" s="6">
        <v>125</v>
      </c>
      <c r="C130" s="6"/>
      <c r="D130" s="6"/>
      <c r="E130" s="6"/>
      <c r="F130" s="6"/>
      <c r="G130" s="7" t="s">
        <v>35</v>
      </c>
      <c r="H130" s="7" t="s">
        <v>29</v>
      </c>
      <c r="I130" s="7" t="s">
        <v>46</v>
      </c>
      <c r="J130" s="7" t="s">
        <v>226</v>
      </c>
      <c r="K130" s="10" t="s">
        <v>1458</v>
      </c>
      <c r="L130" s="7"/>
      <c r="M130" s="7"/>
      <c r="N130" s="7"/>
      <c r="O130" s="13"/>
      <c r="P130" s="13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 t="s">
        <v>230</v>
      </c>
      <c r="AE130" s="7"/>
      <c r="AF130" s="7"/>
      <c r="AG130" s="7"/>
      <c r="AH130" s="8"/>
      <c r="AI130" s="7"/>
      <c r="AJ130" s="7" t="s">
        <v>107</v>
      </c>
      <c r="AK130" s="7" t="s">
        <v>109</v>
      </c>
      <c r="AL130" s="9" t="s">
        <v>888</v>
      </c>
      <c r="AM130" s="7" t="str">
        <f>VLOOKUP(AL130,Personal!$A$2:$I$300,2,FALSE)</f>
        <v>0000001678</v>
      </c>
      <c r="AN130" s="7" t="str">
        <f>VLOOKUP(AL130,Personal!$A$2:$I$300,3,FALSE)</f>
        <v>GUERRERO BOLAÑOS SONIBEL SOFIA</v>
      </c>
      <c r="AO130" s="7" t="str">
        <f>VLOOKUP(AL130,Personal!$A$2:$I$300,6,FALSE)</f>
        <v>Agente de Reservas</v>
      </c>
      <c r="AP130" s="7" t="str">
        <f>VLOOKUP(AL130,Personal!$A$2:$I$300,7,FALSE)</f>
        <v>Reservas</v>
      </c>
      <c r="AQ130" s="7" t="str">
        <f>VLOOKUP(AL130,Personal!$A$2:$I$300,8,FALSE)</f>
        <v>Ventas y Marketing</v>
      </c>
      <c r="AR130" s="7"/>
    </row>
    <row r="131" spans="2:44" x14ac:dyDescent="0.3">
      <c r="B131" s="6">
        <v>126</v>
      </c>
      <c r="C131" s="6"/>
      <c r="D131" s="6"/>
      <c r="E131" s="6"/>
      <c r="F131" s="6"/>
      <c r="G131" s="7" t="s">
        <v>35</v>
      </c>
      <c r="H131" s="7" t="s">
        <v>29</v>
      </c>
      <c r="I131" s="7" t="s">
        <v>46</v>
      </c>
      <c r="J131" s="7" t="s">
        <v>226</v>
      </c>
      <c r="K131" s="10" t="s">
        <v>1459</v>
      </c>
      <c r="L131" s="7"/>
      <c r="M131" s="7"/>
      <c r="N131" s="7"/>
      <c r="O131" s="13"/>
      <c r="P131" s="13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 t="s">
        <v>230</v>
      </c>
      <c r="AE131" s="7"/>
      <c r="AF131" s="7"/>
      <c r="AG131" s="7"/>
      <c r="AH131" s="8"/>
      <c r="AI131" s="7"/>
      <c r="AJ131" s="7" t="s">
        <v>107</v>
      </c>
      <c r="AK131" s="7" t="s">
        <v>109</v>
      </c>
      <c r="AL131" s="9" t="s">
        <v>420</v>
      </c>
      <c r="AM131" s="7" t="str">
        <f>VLOOKUP(AL131,Personal!$A$2:$I$300,2,FALSE)</f>
        <v>0000001121</v>
      </c>
      <c r="AN131" s="7" t="str">
        <f>VLOOKUP(AL131,Personal!$A$2:$I$300,3,FALSE)</f>
        <v>VASQUEZ MORALES MARIELA IRAIS</v>
      </c>
      <c r="AO131" s="7" t="str">
        <f>VLOOKUP(AL131,Personal!$A$2:$I$300,6,FALSE)</f>
        <v>Gerente de Ventas Corporativas</v>
      </c>
      <c r="AP131" s="7" t="str">
        <f>VLOOKUP(AL131,Personal!$A$2:$I$300,7,FALSE)</f>
        <v>Ventas</v>
      </c>
      <c r="AQ131" s="7" t="str">
        <f>VLOOKUP(AL131,Personal!$A$2:$I$300,8,FALSE)</f>
        <v>Ventas y Marketing</v>
      </c>
      <c r="AR131" s="7"/>
    </row>
    <row r="132" spans="2:44" x14ac:dyDescent="0.3">
      <c r="B132" s="6">
        <v>127</v>
      </c>
      <c r="C132" s="6"/>
      <c r="D132" s="6"/>
      <c r="E132" s="6"/>
      <c r="F132" s="6"/>
      <c r="G132" s="7" t="s">
        <v>33</v>
      </c>
      <c r="H132" s="7" t="s">
        <v>29</v>
      </c>
      <c r="I132" s="7" t="s">
        <v>46</v>
      </c>
      <c r="J132" s="7" t="s">
        <v>193</v>
      </c>
      <c r="K132" s="10" t="s">
        <v>1460</v>
      </c>
      <c r="L132" s="7" t="s">
        <v>1290</v>
      </c>
      <c r="M132" s="7"/>
      <c r="N132" s="7"/>
      <c r="O132" s="13"/>
      <c r="P132" s="13"/>
      <c r="Q132" s="7"/>
      <c r="R132" s="7"/>
      <c r="S132" s="7" t="s">
        <v>1461</v>
      </c>
      <c r="T132" s="7"/>
      <c r="U132" s="7" t="s">
        <v>1462</v>
      </c>
      <c r="V132" s="7"/>
      <c r="W132" s="7" t="s">
        <v>1483</v>
      </c>
      <c r="X132" s="7" t="s">
        <v>54</v>
      </c>
      <c r="Y132" s="7" t="s">
        <v>89</v>
      </c>
      <c r="Z132" s="7" t="s">
        <v>117</v>
      </c>
      <c r="AA132" s="7" t="s">
        <v>60</v>
      </c>
      <c r="AB132" s="7"/>
      <c r="AC132" s="7" t="s">
        <v>234</v>
      </c>
      <c r="AD132" s="7"/>
      <c r="AE132" s="7" t="s">
        <v>88</v>
      </c>
      <c r="AF132" s="7" t="s">
        <v>169</v>
      </c>
      <c r="AG132" s="7" t="s">
        <v>175</v>
      </c>
      <c r="AH132" s="8"/>
      <c r="AI132" s="7"/>
      <c r="AJ132" s="7" t="s">
        <v>107</v>
      </c>
      <c r="AK132" s="7" t="s">
        <v>109</v>
      </c>
      <c r="AL132" s="9" t="s">
        <v>792</v>
      </c>
      <c r="AM132" s="7" t="str">
        <f>VLOOKUP(AL132,Personal!$A$2:$I$300,2,FALSE)</f>
        <v>0000001646</v>
      </c>
      <c r="AN132" s="7" t="str">
        <f>VLOOKUP(AL132,Personal!$A$2:$I$300,3,FALSE)</f>
        <v>GUTIERREZ OYARDO ANGELA GEORGINA</v>
      </c>
      <c r="AO132" s="7" t="str">
        <f>VLOOKUP(AL132,Personal!$A$2:$I$300,6,FALSE)</f>
        <v xml:space="preserve">Consejero Gastronómico </v>
      </c>
      <c r="AP132" s="7" t="str">
        <f>VLOOKUP(AL132,Personal!$A$2:$I$300,7,FALSE)</f>
        <v xml:space="preserve">Le Café </v>
      </c>
      <c r="AQ132" s="7" t="str">
        <f>VLOOKUP(AL132,Personal!$A$2:$I$300,8,FALSE)</f>
        <v>Alimentos y Bebidas</v>
      </c>
      <c r="AR132" s="89"/>
    </row>
    <row r="133" spans="2:44" x14ac:dyDescent="0.3">
      <c r="B133" s="6">
        <v>128</v>
      </c>
      <c r="C133" s="6"/>
      <c r="D133" s="6"/>
      <c r="E133" s="6"/>
      <c r="F133" s="6"/>
      <c r="G133" s="7" t="s">
        <v>35</v>
      </c>
      <c r="H133" s="7" t="s">
        <v>29</v>
      </c>
      <c r="I133" s="7" t="s">
        <v>46</v>
      </c>
      <c r="J133" s="7" t="s">
        <v>226</v>
      </c>
      <c r="K133" s="10" t="s">
        <v>1465</v>
      </c>
      <c r="L133" s="7"/>
      <c r="M133" s="7"/>
      <c r="N133" s="7"/>
      <c r="O133" s="13"/>
      <c r="P133" s="13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 t="s">
        <v>230</v>
      </c>
      <c r="AE133" s="7"/>
      <c r="AF133" s="7"/>
      <c r="AG133" s="7"/>
      <c r="AH133" s="8"/>
      <c r="AI133" s="7"/>
      <c r="AJ133" s="7" t="s">
        <v>107</v>
      </c>
      <c r="AK133" s="7" t="s">
        <v>109</v>
      </c>
      <c r="AL133" s="9" t="s">
        <v>724</v>
      </c>
      <c r="AM133" s="7" t="str">
        <f>VLOOKUP(AL133,Personal!$A$2:$I$300,2,FALSE)</f>
        <v>0000P00661</v>
      </c>
      <c r="AN133" s="7" t="str">
        <f>VLOOKUP(AL133,Personal!$A$2:$I$300,3,FALSE)</f>
        <v>ORELLANA CHIPANA MARTIN SANTIAGO</v>
      </c>
      <c r="AO133" s="7" t="str">
        <f>VLOOKUP(AL133,Personal!$A$2:$I$300,6,FALSE)</f>
        <v>Practicante de Contabilidad</v>
      </c>
      <c r="AP133" s="7" t="str">
        <f>VLOOKUP(AL133,Personal!$A$2:$I$300,7,FALSE)</f>
        <v>Contabilidad</v>
      </c>
      <c r="AQ133" s="7" t="str">
        <f>VLOOKUP(AL133,Personal!$A$2:$I$300,8,FALSE)</f>
        <v>Contraloría</v>
      </c>
      <c r="AR133" s="7"/>
    </row>
    <row r="134" spans="2:44" x14ac:dyDescent="0.3">
      <c r="B134" s="6">
        <v>129</v>
      </c>
      <c r="C134" s="6"/>
      <c r="D134" s="6"/>
      <c r="E134" s="6"/>
      <c r="F134" s="6"/>
      <c r="G134" s="7" t="s">
        <v>35</v>
      </c>
      <c r="H134" s="7" t="s">
        <v>29</v>
      </c>
      <c r="I134" s="7" t="s">
        <v>46</v>
      </c>
      <c r="J134" s="7" t="s">
        <v>226</v>
      </c>
      <c r="K134" s="10" t="s">
        <v>1468</v>
      </c>
      <c r="L134" s="7"/>
      <c r="M134" s="7"/>
      <c r="N134" s="7"/>
      <c r="O134" s="13"/>
      <c r="P134" s="13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 t="s">
        <v>230</v>
      </c>
      <c r="AE134" s="7"/>
      <c r="AF134" s="7"/>
      <c r="AG134" s="7"/>
      <c r="AH134" s="8"/>
      <c r="AI134" s="7"/>
      <c r="AJ134" s="7" t="s">
        <v>107</v>
      </c>
      <c r="AK134" s="7" t="s">
        <v>109</v>
      </c>
      <c r="AL134" s="9" t="s">
        <v>316</v>
      </c>
      <c r="AM134" s="7" t="str">
        <f>VLOOKUP(AL134,Personal!$A$2:$I$300,2,FALSE)</f>
        <v>0000000438</v>
      </c>
      <c r="AN134" s="7" t="str">
        <f>VLOOKUP(AL134,Personal!$A$2:$I$300,3,FALSE)</f>
        <v>ORELLANA GODOY MELCHORA OLINDA</v>
      </c>
      <c r="AO134" s="7" t="str">
        <f>VLOOKUP(AL134,Personal!$A$2:$I$300,6,FALSE)</f>
        <v>Contador</v>
      </c>
      <c r="AP134" s="7" t="str">
        <f>VLOOKUP(AL134,Personal!$A$2:$I$300,7,FALSE)</f>
        <v>Contabilidad</v>
      </c>
      <c r="AQ134" s="7" t="str">
        <f>VLOOKUP(AL134,Personal!$A$2:$I$300,8,FALSE)</f>
        <v>Contraloría</v>
      </c>
      <c r="AR134" s="7" t="s">
        <v>1466</v>
      </c>
    </row>
    <row r="135" spans="2:44" x14ac:dyDescent="0.3">
      <c r="B135" s="6">
        <v>130</v>
      </c>
      <c r="C135" s="6"/>
      <c r="D135" s="6"/>
      <c r="E135" s="6"/>
      <c r="F135" s="6"/>
      <c r="G135" s="7" t="s">
        <v>35</v>
      </c>
      <c r="H135" s="7" t="s">
        <v>29</v>
      </c>
      <c r="I135" s="7" t="s">
        <v>46</v>
      </c>
      <c r="J135" s="7" t="s">
        <v>226</v>
      </c>
      <c r="K135" s="10" t="s">
        <v>1473</v>
      </c>
      <c r="L135" s="7"/>
      <c r="M135" s="7"/>
      <c r="N135" s="7"/>
      <c r="O135" s="13"/>
      <c r="P135" s="13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 t="s">
        <v>230</v>
      </c>
      <c r="AE135" s="7"/>
      <c r="AF135" s="7"/>
      <c r="AG135" s="7"/>
      <c r="AH135" s="8"/>
      <c r="AI135" s="7"/>
      <c r="AJ135" s="7" t="s">
        <v>107</v>
      </c>
      <c r="AK135" s="7" t="s">
        <v>109</v>
      </c>
      <c r="AL135" s="9" t="s">
        <v>269</v>
      </c>
      <c r="AM135" s="7" t="str">
        <f>VLOOKUP(AL135,Personal!$A$2:$I$300,2,FALSE)</f>
        <v>0000000086</v>
      </c>
      <c r="AN135" s="7" t="str">
        <f>VLOOKUP(AL135,Personal!$A$2:$I$300,3,FALSE)</f>
        <v>MOTA CASTRO JIM EDUARDO</v>
      </c>
      <c r="AO135" s="7" t="str">
        <f>VLOOKUP(AL135,Personal!$A$2:$I$300,6,FALSE)</f>
        <v>Auditor de Ingresos</v>
      </c>
      <c r="AP135" s="7" t="str">
        <f>VLOOKUP(AL135,Personal!$A$2:$I$300,7,FALSE)</f>
        <v>Auditoría de Ingresos</v>
      </c>
      <c r="AQ135" s="7" t="str">
        <f>VLOOKUP(AL135,Personal!$A$2:$I$300,8,FALSE)</f>
        <v>Contraloría</v>
      </c>
      <c r="AR135" s="7"/>
    </row>
    <row r="136" spans="2:44" x14ac:dyDescent="0.3">
      <c r="B136" s="6">
        <v>131</v>
      </c>
      <c r="C136" s="6"/>
      <c r="D136" s="6"/>
      <c r="E136" s="6"/>
      <c r="F136" s="6"/>
      <c r="G136" s="7" t="s">
        <v>33</v>
      </c>
      <c r="H136" s="7" t="s">
        <v>29</v>
      </c>
      <c r="I136" s="7" t="s">
        <v>46</v>
      </c>
      <c r="J136" s="7" t="s">
        <v>1326</v>
      </c>
      <c r="K136" s="10" t="s">
        <v>1496</v>
      </c>
      <c r="L136" s="7"/>
      <c r="M136" s="7"/>
      <c r="N136" s="7"/>
      <c r="O136" s="13"/>
      <c r="P136" s="13"/>
      <c r="Q136" s="7"/>
      <c r="R136" s="7"/>
      <c r="S136" s="7" t="s">
        <v>1497</v>
      </c>
      <c r="T136" s="7"/>
      <c r="U136" s="7" t="s">
        <v>1559</v>
      </c>
      <c r="V136" s="7" t="s">
        <v>1498</v>
      </c>
      <c r="W136" s="7"/>
      <c r="X136" s="7" t="s">
        <v>55</v>
      </c>
      <c r="Y136" s="7" t="s">
        <v>97</v>
      </c>
      <c r="Z136" s="7" t="s">
        <v>117</v>
      </c>
      <c r="AA136" s="7" t="s">
        <v>73</v>
      </c>
      <c r="AB136" s="7"/>
      <c r="AC136" s="7" t="s">
        <v>78</v>
      </c>
      <c r="AD136" s="7"/>
      <c r="AE136" s="7" t="s">
        <v>88</v>
      </c>
      <c r="AF136" s="7" t="s">
        <v>169</v>
      </c>
      <c r="AG136" s="7" t="s">
        <v>174</v>
      </c>
      <c r="AH136" s="8"/>
      <c r="AI136" s="7"/>
      <c r="AJ136" s="7" t="s">
        <v>107</v>
      </c>
      <c r="AK136" s="7" t="s">
        <v>109</v>
      </c>
      <c r="AL136" s="9" t="s">
        <v>764</v>
      </c>
      <c r="AM136" s="7" t="str">
        <f>VLOOKUP(AL136,Personal!$A$2:$I$300,2,FALSE)</f>
        <v>0000001629</v>
      </c>
      <c r="AN136" s="7" t="str">
        <f>VLOOKUP(AL136,Personal!$A$2:$I$300,3,FALSE)</f>
        <v>SEGOVIA CRISPIN XAVIER ALONSO</v>
      </c>
      <c r="AO136" s="7" t="str">
        <f>VLOOKUP(AL136,Personal!$A$2:$I$300,6,FALSE)</f>
        <v>Asistente de Contabilidad</v>
      </c>
      <c r="AP136" s="7" t="str">
        <f>VLOOKUP(AL136,Personal!$A$2:$I$300,7,FALSE)</f>
        <v>Contabilidad</v>
      </c>
      <c r="AQ136" s="7" t="str">
        <f>VLOOKUP(AL136,Personal!$A$2:$I$300,8,FALSE)</f>
        <v>Contraloría</v>
      </c>
      <c r="AR136" s="7" t="s">
        <v>1499</v>
      </c>
    </row>
    <row r="137" spans="2:44" x14ac:dyDescent="0.3">
      <c r="B137" s="6">
        <v>132</v>
      </c>
      <c r="C137" s="6"/>
      <c r="D137" s="6"/>
      <c r="E137" s="6"/>
      <c r="F137" s="6"/>
      <c r="G137" s="7" t="s">
        <v>35</v>
      </c>
      <c r="H137" s="7" t="s">
        <v>29</v>
      </c>
      <c r="I137" s="7" t="s">
        <v>46</v>
      </c>
      <c r="J137" s="7" t="s">
        <v>1504</v>
      </c>
      <c r="K137" s="10" t="s">
        <v>1505</v>
      </c>
      <c r="L137" s="7"/>
      <c r="M137" s="7"/>
      <c r="N137" s="7"/>
      <c r="O137" s="13"/>
      <c r="P137" s="13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 t="s">
        <v>82</v>
      </c>
      <c r="AE137" s="7"/>
      <c r="AF137" s="7"/>
      <c r="AG137" s="7"/>
      <c r="AH137" s="8"/>
      <c r="AI137" s="7"/>
      <c r="AJ137" s="7" t="s">
        <v>107</v>
      </c>
      <c r="AK137" s="7" t="s">
        <v>109</v>
      </c>
      <c r="AL137" s="9" t="s">
        <v>379</v>
      </c>
      <c r="AM137" s="7" t="str">
        <f>VLOOKUP(AL137,Personal!$A$2:$I$300,2,FALSE)</f>
        <v>0000000868</v>
      </c>
      <c r="AN137" s="7" t="str">
        <f>VLOOKUP(AL137,Personal!$A$2:$I$300,3,FALSE)</f>
        <v>PECHING CHIONG KARINA JANET</v>
      </c>
      <c r="AO137" s="7" t="str">
        <f>VLOOKUP(AL137,Personal!$A$2:$I$300,6,FALSE)</f>
        <v>Gerenta de Reservas</v>
      </c>
      <c r="AP137" s="7" t="str">
        <f>VLOOKUP(AL137,Personal!$A$2:$I$300,7,FALSE)</f>
        <v>Reservas</v>
      </c>
      <c r="AQ137" s="7" t="str">
        <f>VLOOKUP(AL137,Personal!$A$2:$I$300,8,FALSE)</f>
        <v>Ventas y Marketing</v>
      </c>
      <c r="AR137" s="7"/>
    </row>
    <row r="138" spans="2:44" x14ac:dyDescent="0.3">
      <c r="B138" s="6">
        <v>133</v>
      </c>
      <c r="C138" s="6"/>
      <c r="D138" s="6"/>
      <c r="E138" s="6"/>
      <c r="F138" s="6"/>
      <c r="G138" s="7" t="s">
        <v>35</v>
      </c>
      <c r="H138" s="7" t="s">
        <v>29</v>
      </c>
      <c r="I138" s="7" t="s">
        <v>46</v>
      </c>
      <c r="J138" s="7" t="s">
        <v>226</v>
      </c>
      <c r="K138" s="10" t="s">
        <v>1506</v>
      </c>
      <c r="L138" s="7"/>
      <c r="M138" s="7"/>
      <c r="N138" s="7"/>
      <c r="O138" s="13"/>
      <c r="P138" s="13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 t="s">
        <v>230</v>
      </c>
      <c r="AE138" s="7"/>
      <c r="AF138" s="7"/>
      <c r="AG138" s="7"/>
      <c r="AH138" s="8"/>
      <c r="AI138" s="7"/>
      <c r="AJ138" s="7" t="s">
        <v>107</v>
      </c>
      <c r="AK138" s="7" t="s">
        <v>109</v>
      </c>
      <c r="AL138" s="9" t="s">
        <v>379</v>
      </c>
      <c r="AM138" s="7" t="str">
        <f>VLOOKUP(AL138,Personal!$A$2:$I$300,2,FALSE)</f>
        <v>0000000868</v>
      </c>
      <c r="AN138" s="7" t="str">
        <f>VLOOKUP(AL138,Personal!$A$2:$I$300,3,FALSE)</f>
        <v>PECHING CHIONG KARINA JANET</v>
      </c>
      <c r="AO138" s="7" t="str">
        <f>VLOOKUP(AL138,Personal!$A$2:$I$300,6,FALSE)</f>
        <v>Gerenta de Reservas</v>
      </c>
      <c r="AP138" s="7" t="str">
        <f>VLOOKUP(AL138,Personal!$A$2:$I$300,7,FALSE)</f>
        <v>Reservas</v>
      </c>
      <c r="AQ138" s="7" t="str">
        <f>VLOOKUP(AL138,Personal!$A$2:$I$300,8,FALSE)</f>
        <v>Ventas y Marketing</v>
      </c>
      <c r="AR138" s="7"/>
    </row>
    <row r="139" spans="2:44" x14ac:dyDescent="0.3">
      <c r="B139" s="6">
        <v>134</v>
      </c>
      <c r="C139" s="6"/>
      <c r="D139" s="6"/>
      <c r="E139" s="6"/>
      <c r="F139" s="6"/>
      <c r="G139" s="7" t="s">
        <v>35</v>
      </c>
      <c r="H139" s="7" t="s">
        <v>29</v>
      </c>
      <c r="I139" s="7" t="s">
        <v>46</v>
      </c>
      <c r="J139" s="7" t="s">
        <v>226</v>
      </c>
      <c r="K139" s="10" t="s">
        <v>1507</v>
      </c>
      <c r="L139" s="7"/>
      <c r="M139" s="7"/>
      <c r="N139" s="7"/>
      <c r="O139" s="13"/>
      <c r="P139" s="13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 t="s">
        <v>230</v>
      </c>
      <c r="AE139" s="7"/>
      <c r="AF139" s="7"/>
      <c r="AG139" s="7"/>
      <c r="AH139" s="8"/>
      <c r="AI139" s="7"/>
      <c r="AJ139" s="7" t="s">
        <v>107</v>
      </c>
      <c r="AK139" s="7" t="s">
        <v>109</v>
      </c>
      <c r="AL139" s="9" t="s">
        <v>351</v>
      </c>
      <c r="AM139" s="7" t="str">
        <f>VLOOKUP(AL139,Personal!$A$2:$I$300,2,FALSE)</f>
        <v>0000000772</v>
      </c>
      <c r="AN139" s="7" t="str">
        <f>VLOOKUP(AL139,Personal!$A$2:$I$300,3,FALSE)</f>
        <v>CARHUANCOTA CHAVEZ ANDRES ALBERTO</v>
      </c>
      <c r="AO139" s="7" t="str">
        <f>VLOOKUP(AL139,Personal!$A$2:$I$300,6,FALSE)</f>
        <v>Asistente Senior de Contabilidad</v>
      </c>
      <c r="AP139" s="7" t="str">
        <f>VLOOKUP(AL139,Personal!$A$2:$I$300,7,FALSE)</f>
        <v>Contabilidad</v>
      </c>
      <c r="AQ139" s="7" t="str">
        <f>VLOOKUP(AL139,Personal!$A$2:$I$300,8,FALSE)</f>
        <v>Contraloría</v>
      </c>
      <c r="AR139" s="7"/>
    </row>
    <row r="140" spans="2:44" x14ac:dyDescent="0.3">
      <c r="B140" s="6">
        <v>135</v>
      </c>
      <c r="C140" s="6"/>
      <c r="D140" s="6"/>
      <c r="E140" s="6"/>
      <c r="F140" s="6"/>
      <c r="G140" s="7" t="s">
        <v>35</v>
      </c>
      <c r="H140" s="7" t="s">
        <v>29</v>
      </c>
      <c r="I140" s="7" t="s">
        <v>46</v>
      </c>
      <c r="J140" s="7" t="s">
        <v>226</v>
      </c>
      <c r="K140" s="10" t="s">
        <v>1508</v>
      </c>
      <c r="L140" s="7"/>
      <c r="M140" s="7"/>
      <c r="N140" s="7"/>
      <c r="O140" s="13"/>
      <c r="P140" s="13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 t="s">
        <v>230</v>
      </c>
      <c r="AE140" s="7"/>
      <c r="AF140" s="7"/>
      <c r="AG140" s="7"/>
      <c r="AH140" s="8"/>
      <c r="AI140" s="7"/>
      <c r="AJ140" s="7" t="s">
        <v>107</v>
      </c>
      <c r="AK140" s="7" t="s">
        <v>109</v>
      </c>
      <c r="AL140" s="9" t="s">
        <v>764</v>
      </c>
      <c r="AM140" s="7" t="str">
        <f>VLOOKUP(AL140,Personal!$A$2:$I$300,2,FALSE)</f>
        <v>0000001629</v>
      </c>
      <c r="AN140" s="7" t="str">
        <f>VLOOKUP(AL140,Personal!$A$2:$I$300,3,FALSE)</f>
        <v>SEGOVIA CRISPIN XAVIER ALONSO</v>
      </c>
      <c r="AO140" s="7" t="str">
        <f>VLOOKUP(AL140,Personal!$A$2:$I$300,6,FALSE)</f>
        <v>Asistente de Contabilidad</v>
      </c>
      <c r="AP140" s="7" t="str">
        <f>VLOOKUP(AL140,Personal!$A$2:$I$300,7,FALSE)</f>
        <v>Contabilidad</v>
      </c>
      <c r="AQ140" s="7" t="str">
        <f>VLOOKUP(AL140,Personal!$A$2:$I$300,8,FALSE)</f>
        <v>Contraloría</v>
      </c>
      <c r="AR140" s="7"/>
    </row>
    <row r="141" spans="2:44" x14ac:dyDescent="0.3">
      <c r="B141" s="6">
        <v>136</v>
      </c>
      <c r="C141" s="6"/>
      <c r="D141" s="6"/>
      <c r="E141" s="6"/>
      <c r="F141" s="6"/>
      <c r="G141" s="7" t="s">
        <v>35</v>
      </c>
      <c r="H141" s="7" t="s">
        <v>29</v>
      </c>
      <c r="I141" s="7" t="s">
        <v>47</v>
      </c>
      <c r="J141" s="7" t="s">
        <v>1510</v>
      </c>
      <c r="K141" s="10" t="s">
        <v>1512</v>
      </c>
      <c r="L141" s="7" t="s">
        <v>1511</v>
      </c>
      <c r="M141" s="7"/>
      <c r="N141" s="7"/>
      <c r="O141" s="13"/>
      <c r="P141" s="13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 t="s">
        <v>82</v>
      </c>
      <c r="AE141" s="7"/>
      <c r="AF141" s="7"/>
      <c r="AG141" s="7"/>
      <c r="AH141" s="8"/>
      <c r="AI141" s="7"/>
      <c r="AJ141" s="7" t="s">
        <v>107</v>
      </c>
      <c r="AK141" s="7" t="s">
        <v>109</v>
      </c>
      <c r="AL141" s="9" t="s">
        <v>1244</v>
      </c>
      <c r="AM141" s="7" t="e">
        <f>VLOOKUP(AL141,Personal!$A$2:$I$300,2,FALSE)</f>
        <v>#N/A</v>
      </c>
      <c r="AN141" s="7" t="e">
        <f>VLOOKUP(AL141,Personal!$A$2:$I$300,3,FALSE)</f>
        <v>#N/A</v>
      </c>
      <c r="AO141" s="7" t="e">
        <f>VLOOKUP(AL141,Personal!$A$2:$I$300,6,FALSE)</f>
        <v>#N/A</v>
      </c>
      <c r="AP141" s="7" t="e">
        <f>VLOOKUP(AL141,Personal!$A$2:$I$300,7,FALSE)</f>
        <v>#N/A</v>
      </c>
      <c r="AQ141" s="7" t="e">
        <f>VLOOKUP(AL141,Personal!$A$2:$I$300,8,FALSE)</f>
        <v>#N/A</v>
      </c>
      <c r="AR141" s="7"/>
    </row>
    <row r="142" spans="2:44" x14ac:dyDescent="0.3">
      <c r="B142" s="6">
        <v>137</v>
      </c>
      <c r="C142" s="6"/>
      <c r="D142" s="6"/>
      <c r="E142" s="6"/>
      <c r="F142" s="6"/>
      <c r="G142" s="7" t="s">
        <v>35</v>
      </c>
      <c r="H142" s="7" t="s">
        <v>29</v>
      </c>
      <c r="I142" s="7" t="s">
        <v>47</v>
      </c>
      <c r="J142" s="7" t="s">
        <v>1510</v>
      </c>
      <c r="K142" s="10" t="s">
        <v>1513</v>
      </c>
      <c r="L142" s="7" t="s">
        <v>1511</v>
      </c>
      <c r="M142" s="7"/>
      <c r="N142" s="7"/>
      <c r="O142" s="13"/>
      <c r="P142" s="13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 t="s">
        <v>82</v>
      </c>
      <c r="AE142" s="7"/>
      <c r="AF142" s="7"/>
      <c r="AG142" s="7"/>
      <c r="AH142" s="8"/>
      <c r="AI142" s="7"/>
      <c r="AJ142" s="7" t="s">
        <v>107</v>
      </c>
      <c r="AK142" s="7" t="s">
        <v>109</v>
      </c>
      <c r="AL142" s="10" t="s">
        <v>1244</v>
      </c>
      <c r="AM142" s="7" t="e">
        <f>VLOOKUP(AL142,Personal!$A$2:$I$300,2,FALSE)</f>
        <v>#N/A</v>
      </c>
      <c r="AN142" s="7" t="e">
        <f>VLOOKUP(AL142,Personal!$A$2:$I$300,3,FALSE)</f>
        <v>#N/A</v>
      </c>
      <c r="AO142" s="7" t="e">
        <f>VLOOKUP(AL142,Personal!$A$2:$I$300,6,FALSE)</f>
        <v>#N/A</v>
      </c>
      <c r="AP142" s="7" t="e">
        <f>VLOOKUP(AL142,Personal!$A$2:$I$300,7,FALSE)</f>
        <v>#N/A</v>
      </c>
      <c r="AQ142" s="7" t="e">
        <f>VLOOKUP(AL142,Personal!$A$2:$I$300,8,FALSE)</f>
        <v>#N/A</v>
      </c>
      <c r="AR142" s="7"/>
    </row>
    <row r="143" spans="2:44" x14ac:dyDescent="0.3">
      <c r="B143" s="6">
        <v>138</v>
      </c>
      <c r="C143" s="6"/>
      <c r="D143" s="6"/>
      <c r="E143" s="6"/>
      <c r="F143" s="6"/>
      <c r="G143" s="7" t="s">
        <v>35</v>
      </c>
      <c r="H143" s="7" t="s">
        <v>29</v>
      </c>
      <c r="I143" s="7" t="s">
        <v>47</v>
      </c>
      <c r="J143" s="7" t="s">
        <v>1510</v>
      </c>
      <c r="K143" s="10" t="s">
        <v>1514</v>
      </c>
      <c r="L143" s="7" t="s">
        <v>1511</v>
      </c>
      <c r="M143" s="7"/>
      <c r="N143" s="7"/>
      <c r="O143" s="13"/>
      <c r="P143" s="13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 t="s">
        <v>82</v>
      </c>
      <c r="AE143" s="7"/>
      <c r="AF143" s="7"/>
      <c r="AG143" s="7"/>
      <c r="AH143" s="8"/>
      <c r="AI143" s="7"/>
      <c r="AJ143" s="7" t="s">
        <v>107</v>
      </c>
      <c r="AK143" s="7" t="s">
        <v>176</v>
      </c>
      <c r="AL143" s="10"/>
      <c r="AM143" s="7" t="e">
        <f>VLOOKUP(AL143,Personal!$A$2:$I$300,2,FALSE)</f>
        <v>#N/A</v>
      </c>
      <c r="AN143" s="7" t="e">
        <f>VLOOKUP(AL143,Personal!$A$2:$I$300,3,FALSE)</f>
        <v>#N/A</v>
      </c>
      <c r="AO143" s="7" t="e">
        <f>VLOOKUP(AL143,Personal!$A$2:$I$300,6,FALSE)</f>
        <v>#N/A</v>
      </c>
      <c r="AP143" s="7" t="e">
        <f>VLOOKUP(AL143,Personal!$A$2:$I$300,7,FALSE)</f>
        <v>#N/A</v>
      </c>
      <c r="AQ143" s="7" t="e">
        <f>VLOOKUP(AL143,Personal!$A$2:$I$300,8,FALSE)</f>
        <v>#N/A</v>
      </c>
      <c r="AR143" s="7"/>
    </row>
    <row r="144" spans="2:44" x14ac:dyDescent="0.3">
      <c r="B144" s="6">
        <v>139</v>
      </c>
      <c r="C144" s="6"/>
      <c r="D144" s="6"/>
      <c r="E144" s="6"/>
      <c r="F144" s="6"/>
      <c r="G144" s="7" t="s">
        <v>35</v>
      </c>
      <c r="H144" s="7" t="s">
        <v>29</v>
      </c>
      <c r="I144" s="7" t="s">
        <v>47</v>
      </c>
      <c r="J144" s="7" t="s">
        <v>1510</v>
      </c>
      <c r="K144" s="10" t="s">
        <v>1515</v>
      </c>
      <c r="L144" s="7" t="s">
        <v>1511</v>
      </c>
      <c r="M144" s="7"/>
      <c r="N144" s="7"/>
      <c r="O144" s="13"/>
      <c r="P144" s="13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 t="s">
        <v>82</v>
      </c>
      <c r="AE144" s="7"/>
      <c r="AF144" s="7"/>
      <c r="AG144" s="7"/>
      <c r="AH144" s="8"/>
      <c r="AI144" s="7"/>
      <c r="AJ144" s="7" t="s">
        <v>107</v>
      </c>
      <c r="AK144" s="7" t="s">
        <v>176</v>
      </c>
      <c r="AL144" s="10"/>
      <c r="AM144" s="7" t="e">
        <f>VLOOKUP(AL144,Personal!$A$2:$I$300,2,FALSE)</f>
        <v>#N/A</v>
      </c>
      <c r="AN144" s="7" t="e">
        <f>VLOOKUP(AL144,Personal!$A$2:$I$300,3,FALSE)</f>
        <v>#N/A</v>
      </c>
      <c r="AO144" s="7" t="e">
        <f>VLOOKUP(AL144,Personal!$A$2:$I$300,6,FALSE)</f>
        <v>#N/A</v>
      </c>
      <c r="AP144" s="7" t="e">
        <f>VLOOKUP(AL144,Personal!$A$2:$I$300,7,FALSE)</f>
        <v>#N/A</v>
      </c>
      <c r="AQ144" s="7" t="e">
        <f>VLOOKUP(AL144,Personal!$A$2:$I$300,8,FALSE)</f>
        <v>#N/A</v>
      </c>
      <c r="AR144" s="7"/>
    </row>
    <row r="145" spans="2:44" x14ac:dyDescent="0.3">
      <c r="B145" s="6">
        <v>140</v>
      </c>
      <c r="C145" s="6"/>
      <c r="D145" s="6"/>
      <c r="E145" s="6"/>
      <c r="F145" s="6"/>
      <c r="G145" s="7" t="s">
        <v>35</v>
      </c>
      <c r="H145" s="7" t="s">
        <v>29</v>
      </c>
      <c r="I145" s="7" t="s">
        <v>125</v>
      </c>
      <c r="J145" s="7" t="s">
        <v>128</v>
      </c>
      <c r="K145" s="10" t="s">
        <v>1517</v>
      </c>
      <c r="L145" s="7" t="s">
        <v>1518</v>
      </c>
      <c r="M145" s="7"/>
      <c r="N145" s="7"/>
      <c r="O145" s="13"/>
      <c r="P145" s="13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 t="s">
        <v>84</v>
      </c>
      <c r="AE145" s="7"/>
      <c r="AF145" s="7"/>
      <c r="AG145" s="7"/>
      <c r="AH145" s="8"/>
      <c r="AI145" s="7"/>
      <c r="AJ145" s="7" t="s">
        <v>107</v>
      </c>
      <c r="AK145" s="7"/>
      <c r="AL145" s="9" t="s">
        <v>1519</v>
      </c>
      <c r="AM145" s="7" t="str">
        <f>VLOOKUP(AL145,Personal!$A$2:$I$300,2,FALSE)</f>
        <v>0000001491</v>
      </c>
      <c r="AN145" s="7" t="str">
        <f>VLOOKUP(AL145,Personal!$A$2:$I$300,3,FALSE)</f>
        <v>GAMBONI KOIFMAN DE TENORIO SANCHO DAVI C</v>
      </c>
      <c r="AO145" s="7" t="str">
        <f>VLOOKUP(AL145,Personal!$A$2:$I$300,6,FALSE)</f>
        <v>Asistente de Gerencia General</v>
      </c>
      <c r="AP145" s="7" t="str">
        <f>VLOOKUP(AL145,Personal!$A$2:$I$300,7,FALSE)</f>
        <v>Gerencia General</v>
      </c>
      <c r="AQ145" s="7" t="str">
        <f>VLOOKUP(AL145,Personal!$A$2:$I$300,8,FALSE)</f>
        <v>Gerencia General</v>
      </c>
      <c r="AR145" s="7"/>
    </row>
    <row r="146" spans="2:44" x14ac:dyDescent="0.3">
      <c r="B146" s="6">
        <v>141</v>
      </c>
      <c r="C146" s="6"/>
      <c r="D146" s="6"/>
      <c r="E146" s="6"/>
      <c r="F146" s="6"/>
      <c r="G146" s="7" t="s">
        <v>33</v>
      </c>
      <c r="H146" s="7" t="s">
        <v>29</v>
      </c>
      <c r="I146" s="7" t="s">
        <v>46</v>
      </c>
      <c r="J146" s="7" t="s">
        <v>193</v>
      </c>
      <c r="K146" s="10" t="s">
        <v>1522</v>
      </c>
      <c r="L146" s="7" t="s">
        <v>1290</v>
      </c>
      <c r="M146" s="7"/>
      <c r="N146" s="7"/>
      <c r="O146" s="13"/>
      <c r="P146" s="13"/>
      <c r="Q146" s="7"/>
      <c r="R146" s="7"/>
      <c r="S146" s="7" t="s">
        <v>1523</v>
      </c>
      <c r="T146" s="7"/>
      <c r="U146" s="7" t="s">
        <v>1524</v>
      </c>
      <c r="V146" s="7" t="s">
        <v>1525</v>
      </c>
      <c r="W146" s="7"/>
      <c r="X146" s="7" t="s">
        <v>54</v>
      </c>
      <c r="Y146" s="7" t="s">
        <v>89</v>
      </c>
      <c r="Z146" s="7" t="s">
        <v>117</v>
      </c>
      <c r="AA146" s="7" t="s">
        <v>60</v>
      </c>
      <c r="AB146" s="7"/>
      <c r="AC146" s="7" t="s">
        <v>234</v>
      </c>
      <c r="AD146" s="7"/>
      <c r="AE146" s="7" t="s">
        <v>88</v>
      </c>
      <c r="AF146" s="7" t="s">
        <v>169</v>
      </c>
      <c r="AG146" s="7" t="s">
        <v>175</v>
      </c>
      <c r="AH146" s="8"/>
      <c r="AI146" s="7"/>
      <c r="AJ146" s="7" t="s">
        <v>107</v>
      </c>
      <c r="AK146" s="7" t="s">
        <v>109</v>
      </c>
      <c r="AL146" s="9" t="s">
        <v>1932</v>
      </c>
      <c r="AM146" s="7" t="str">
        <f>VLOOKUP(AL146,Personal!$A$2:$I$300,2,FALSE)</f>
        <v>0000001776</v>
      </c>
      <c r="AN146" s="7" t="str">
        <f>VLOOKUP(AL146,Personal!$A$2:$I$300,3,FALSE)</f>
        <v>MOGROVEJO BRACESCO ANDREA CAROLINA</v>
      </c>
      <c r="AO146" s="7" t="str">
        <f>VLOOKUP(AL146,Personal!$A$2:$I$300,6,FALSE)</f>
        <v>Supervisor de Gimnasio</v>
      </c>
      <c r="AP146" s="7" t="str">
        <f>VLOOKUP(AL146,Personal!$A$2:$I$300,7,FALSE)</f>
        <v>Gym &amp; Spa</v>
      </c>
      <c r="AQ146" s="7" t="str">
        <f>VLOOKUP(AL146,Personal!$A$2:$I$300,8,FALSE)</f>
        <v>División de Habitaciones (Operaciones)</v>
      </c>
      <c r="AR146" s="7" t="s">
        <v>1526</v>
      </c>
    </row>
    <row r="147" spans="2:44" x14ac:dyDescent="0.3">
      <c r="B147" s="6">
        <v>142</v>
      </c>
      <c r="C147" s="6"/>
      <c r="D147" s="6"/>
      <c r="E147" s="6"/>
      <c r="F147" s="6"/>
      <c r="G147" s="7" t="s">
        <v>33</v>
      </c>
      <c r="H147" s="7" t="s">
        <v>29</v>
      </c>
      <c r="I147" s="7" t="s">
        <v>46</v>
      </c>
      <c r="J147" s="7" t="s">
        <v>193</v>
      </c>
      <c r="K147" s="10" t="s">
        <v>1534</v>
      </c>
      <c r="L147" s="7" t="s">
        <v>1290</v>
      </c>
      <c r="M147" s="7"/>
      <c r="N147" s="7"/>
      <c r="O147" s="13"/>
      <c r="P147" s="13"/>
      <c r="Q147" s="7"/>
      <c r="R147" s="7"/>
      <c r="S147" s="7" t="s">
        <v>1535</v>
      </c>
      <c r="T147" s="7"/>
      <c r="U147" s="7" t="s">
        <v>1538</v>
      </c>
      <c r="V147" s="7" t="s">
        <v>1536</v>
      </c>
      <c r="W147" s="7" t="s">
        <v>1835</v>
      </c>
      <c r="X147" s="7" t="s">
        <v>54</v>
      </c>
      <c r="Y147" s="7" t="s">
        <v>89</v>
      </c>
      <c r="Z147" s="7" t="s">
        <v>117</v>
      </c>
      <c r="AA147" s="7" t="s">
        <v>60</v>
      </c>
      <c r="AB147" s="7"/>
      <c r="AC147" s="7" t="s">
        <v>234</v>
      </c>
      <c r="AD147" s="7"/>
      <c r="AE147" s="7" t="s">
        <v>88</v>
      </c>
      <c r="AF147" s="7" t="s">
        <v>169</v>
      </c>
      <c r="AG147" s="7" t="s">
        <v>174</v>
      </c>
      <c r="AH147" s="8"/>
      <c r="AI147" s="7"/>
      <c r="AJ147" s="7" t="s">
        <v>107</v>
      </c>
      <c r="AK147" s="7" t="s">
        <v>109</v>
      </c>
      <c r="AL147" s="9" t="s">
        <v>1537</v>
      </c>
      <c r="AM147" s="7" t="str">
        <f>VLOOKUP(AL147,Personal!$A$2:$I$300,2,FALSE)</f>
        <v>0000001714</v>
      </c>
      <c r="AN147" s="7" t="str">
        <f>VLOOKUP(AL147,Personal!$A$2:$I$300,3,FALSE)</f>
        <v>WONG COM MICHELLE ANDREA</v>
      </c>
      <c r="AO147" s="7" t="str">
        <f>VLOOKUP(AL147,Personal!$A$2:$I$300,6,FALSE)</f>
        <v>Coordinador de Eventos</v>
      </c>
      <c r="AP147" s="7" t="str">
        <f>VLOOKUP(AL147,Personal!$A$2:$I$300,7,FALSE)</f>
        <v>Ventas</v>
      </c>
      <c r="AQ147" s="7" t="str">
        <f>VLOOKUP(AL147,Personal!$A$2:$I$300,8,FALSE)</f>
        <v>Ventas y Marketing</v>
      </c>
      <c r="AR147" s="7"/>
    </row>
    <row r="148" spans="2:44" x14ac:dyDescent="0.3">
      <c r="B148" s="6">
        <v>143</v>
      </c>
      <c r="C148" s="6"/>
      <c r="D148" s="6"/>
      <c r="E148" s="6"/>
      <c r="F148" s="6"/>
      <c r="G148" s="7" t="s">
        <v>33</v>
      </c>
      <c r="H148" s="7" t="s">
        <v>29</v>
      </c>
      <c r="I148" s="7" t="s">
        <v>46</v>
      </c>
      <c r="J148" s="7" t="s">
        <v>193</v>
      </c>
      <c r="K148" s="10" t="s">
        <v>1544</v>
      </c>
      <c r="L148" s="7" t="s">
        <v>1290</v>
      </c>
      <c r="M148" s="7"/>
      <c r="N148" s="7"/>
      <c r="O148" s="13"/>
      <c r="P148" s="13"/>
      <c r="Q148" s="7"/>
      <c r="R148" s="7"/>
      <c r="S148" s="7" t="s">
        <v>1545</v>
      </c>
      <c r="T148" s="7"/>
      <c r="U148" s="7" t="s">
        <v>1503</v>
      </c>
      <c r="V148" s="7" t="s">
        <v>1842</v>
      </c>
      <c r="W148" s="7" t="s">
        <v>1842</v>
      </c>
      <c r="X148" s="7" t="s">
        <v>54</v>
      </c>
      <c r="Y148" s="7" t="s">
        <v>89</v>
      </c>
      <c r="Z148" s="7" t="s">
        <v>117</v>
      </c>
      <c r="AA148" s="7" t="s">
        <v>60</v>
      </c>
      <c r="AB148" s="7"/>
      <c r="AC148" s="7" t="s">
        <v>234</v>
      </c>
      <c r="AD148" s="7"/>
      <c r="AE148" s="7" t="s">
        <v>88</v>
      </c>
      <c r="AF148" s="7" t="s">
        <v>169</v>
      </c>
      <c r="AG148" s="7" t="s">
        <v>174</v>
      </c>
      <c r="AH148" s="8"/>
      <c r="AI148" s="7"/>
      <c r="AJ148" s="7" t="s">
        <v>107</v>
      </c>
      <c r="AK148" s="7" t="s">
        <v>109</v>
      </c>
      <c r="AL148" s="9" t="s">
        <v>625</v>
      </c>
      <c r="AM148" s="7" t="str">
        <f>VLOOKUP(AL148,Personal!$A$2:$I$300,2,FALSE)</f>
        <v>0000001527</v>
      </c>
      <c r="AN148" s="7" t="str">
        <f>VLOOKUP(AL148,Personal!$A$2:$I$300,3,FALSE)</f>
        <v>MECHATO VILCAPOMA MARCIA LUISA</v>
      </c>
      <c r="AO148" s="7" t="str">
        <f>VLOOKUP(AL148,Personal!$A$2:$I$300,6,FALSE)</f>
        <v xml:space="preserve">Ejecutiva de Eventos </v>
      </c>
      <c r="AP148" s="7" t="str">
        <f>VLOOKUP(AL148,Personal!$A$2:$I$300,7,FALSE)</f>
        <v>Ventas</v>
      </c>
      <c r="AQ148" s="7" t="str">
        <f>VLOOKUP(AL148,Personal!$A$2:$I$300,8,FALSE)</f>
        <v>Ventas y Marketing</v>
      </c>
      <c r="AR148" s="89"/>
    </row>
    <row r="149" spans="2:44" x14ac:dyDescent="0.3">
      <c r="B149" s="6">
        <v>144</v>
      </c>
      <c r="C149" s="6"/>
      <c r="D149" s="6"/>
      <c r="E149" s="6"/>
      <c r="F149" s="6"/>
      <c r="G149" s="7" t="s">
        <v>33</v>
      </c>
      <c r="H149" s="7" t="s">
        <v>29</v>
      </c>
      <c r="I149" s="7" t="s">
        <v>46</v>
      </c>
      <c r="J149" s="7" t="s">
        <v>193</v>
      </c>
      <c r="K149" s="10" t="s">
        <v>1548</v>
      </c>
      <c r="L149" s="7" t="s">
        <v>1290</v>
      </c>
      <c r="M149" s="7"/>
      <c r="N149" s="7"/>
      <c r="O149" s="13"/>
      <c r="P149" s="13"/>
      <c r="Q149" s="7"/>
      <c r="R149" s="7"/>
      <c r="S149" s="7" t="s">
        <v>1547</v>
      </c>
      <c r="T149" s="7"/>
      <c r="U149" s="7" t="s">
        <v>1861</v>
      </c>
      <c r="V149" s="7" t="s">
        <v>1862</v>
      </c>
      <c r="W149" s="7" t="s">
        <v>1862</v>
      </c>
      <c r="X149" s="7" t="s">
        <v>54</v>
      </c>
      <c r="Y149" s="7" t="s">
        <v>89</v>
      </c>
      <c r="Z149" s="7" t="s">
        <v>117</v>
      </c>
      <c r="AA149" s="7" t="s">
        <v>60</v>
      </c>
      <c r="AB149" s="7"/>
      <c r="AC149" s="7" t="s">
        <v>234</v>
      </c>
      <c r="AD149" s="7"/>
      <c r="AE149" s="7" t="s">
        <v>88</v>
      </c>
      <c r="AF149" s="7" t="s">
        <v>169</v>
      </c>
      <c r="AG149" s="7" t="s">
        <v>174</v>
      </c>
      <c r="AH149" s="8"/>
      <c r="AI149" s="7"/>
      <c r="AJ149" s="7" t="s">
        <v>107</v>
      </c>
      <c r="AK149" s="7" t="s">
        <v>109</v>
      </c>
      <c r="AL149" s="9" t="s">
        <v>1858</v>
      </c>
      <c r="AM149" s="7" t="str">
        <f>VLOOKUP(AL149,Personal!$A$2:$I$300,2,FALSE)</f>
        <v>0000001775</v>
      </c>
      <c r="AN149" s="7" t="str">
        <f>VLOOKUP(AL149,Personal!$A$2:$I$300,3,FALSE)</f>
        <v>VARGAS PINTO DIANA VERÓNICA</v>
      </c>
      <c r="AO149" s="7" t="str">
        <f>VLOOKUP(AL149,Personal!$A$2:$I$300,6,FALSE)</f>
        <v xml:space="preserve">Ejecutiva de Eventos </v>
      </c>
      <c r="AP149" s="7" t="str">
        <f>VLOOKUP(AL149,Personal!$A$2:$I$300,7,FALSE)</f>
        <v>Ventas</v>
      </c>
      <c r="AQ149" s="7" t="str">
        <f>VLOOKUP(AL149,Personal!$A$2:$I$300,8,FALSE)</f>
        <v>Ventas y Marketing</v>
      </c>
      <c r="AR149" s="89"/>
    </row>
    <row r="150" spans="2:44" x14ac:dyDescent="0.3">
      <c r="B150" s="6">
        <v>145</v>
      </c>
      <c r="C150" s="6"/>
      <c r="D150" s="6"/>
      <c r="E150" s="6"/>
      <c r="F150" s="6"/>
      <c r="G150" s="7" t="s">
        <v>33</v>
      </c>
      <c r="H150" s="7" t="s">
        <v>29</v>
      </c>
      <c r="I150" s="7" t="s">
        <v>46</v>
      </c>
      <c r="J150" s="7" t="s">
        <v>193</v>
      </c>
      <c r="K150" s="10" t="s">
        <v>1549</v>
      </c>
      <c r="L150" s="7" t="s">
        <v>1290</v>
      </c>
      <c r="M150" s="7"/>
      <c r="N150" s="7"/>
      <c r="O150" s="13"/>
      <c r="P150" s="13"/>
      <c r="Q150" s="7"/>
      <c r="R150" s="7"/>
      <c r="S150" s="7" t="s">
        <v>1550</v>
      </c>
      <c r="T150" s="7"/>
      <c r="U150" s="7" t="s">
        <v>1665</v>
      </c>
      <c r="V150" s="7" t="s">
        <v>1697</v>
      </c>
      <c r="W150" s="7"/>
      <c r="X150" s="7" t="s">
        <v>54</v>
      </c>
      <c r="Y150" s="7" t="s">
        <v>89</v>
      </c>
      <c r="Z150" s="7" t="s">
        <v>117</v>
      </c>
      <c r="AA150" s="7" t="s">
        <v>60</v>
      </c>
      <c r="AB150" s="7"/>
      <c r="AC150" s="7" t="s">
        <v>234</v>
      </c>
      <c r="AD150" s="7"/>
      <c r="AE150" s="7" t="s">
        <v>88</v>
      </c>
      <c r="AF150" s="7" t="s">
        <v>169</v>
      </c>
      <c r="AG150" s="7" t="s">
        <v>174</v>
      </c>
      <c r="AH150" s="8"/>
      <c r="AI150" s="7"/>
      <c r="AJ150" s="7" t="s">
        <v>107</v>
      </c>
      <c r="AK150" s="7" t="s">
        <v>109</v>
      </c>
      <c r="AL150" s="9" t="s">
        <v>653</v>
      </c>
      <c r="AM150" s="7" t="str">
        <f>VLOOKUP(AL150,Personal!$A$2:$I$300,2,FALSE)</f>
        <v>0000001553</v>
      </c>
      <c r="AN150" s="7" t="str">
        <f>VLOOKUP(AL150,Personal!$A$2:$I$300,3,FALSE)</f>
        <v>DAVILA GUERRERO DIANA MARIELLA</v>
      </c>
      <c r="AO150" s="7" t="str">
        <f>VLOOKUP(AL150,Personal!$A$2:$I$300,6,FALSE)</f>
        <v xml:space="preserve">Ejecutiva de Ventas Senior </v>
      </c>
      <c r="AP150" s="7" t="str">
        <f>VLOOKUP(AL150,Personal!$A$2:$I$300,7,FALSE)</f>
        <v>Ventas</v>
      </c>
      <c r="AQ150" s="7" t="str">
        <f>VLOOKUP(AL150,Personal!$A$2:$I$300,8,FALSE)</f>
        <v>Ventas y Marketing</v>
      </c>
      <c r="AR150" s="89"/>
    </row>
    <row r="151" spans="2:44" x14ac:dyDescent="0.3">
      <c r="B151" s="6">
        <v>146</v>
      </c>
      <c r="C151" s="6"/>
      <c r="D151" s="6"/>
      <c r="E151" s="6"/>
      <c r="F151" s="6"/>
      <c r="G151" s="7" t="s">
        <v>33</v>
      </c>
      <c r="H151" s="7" t="s">
        <v>29</v>
      </c>
      <c r="I151" s="7" t="s">
        <v>46</v>
      </c>
      <c r="J151" s="7" t="s">
        <v>193</v>
      </c>
      <c r="K151" s="10" t="s">
        <v>1551</v>
      </c>
      <c r="L151" s="7" t="s">
        <v>1290</v>
      </c>
      <c r="M151" s="7"/>
      <c r="N151" s="7"/>
      <c r="O151" s="13"/>
      <c r="P151" s="13"/>
      <c r="Q151" s="7"/>
      <c r="R151" s="7"/>
      <c r="S151" s="7"/>
      <c r="T151" s="7"/>
      <c r="U151" s="7" t="s">
        <v>1691</v>
      </c>
      <c r="V151" s="7"/>
      <c r="W151" s="7" t="s">
        <v>1599</v>
      </c>
      <c r="X151" s="7" t="s">
        <v>54</v>
      </c>
      <c r="Y151" s="7" t="s">
        <v>89</v>
      </c>
      <c r="Z151" s="7" t="s">
        <v>117</v>
      </c>
      <c r="AA151" s="7" t="s">
        <v>60</v>
      </c>
      <c r="AB151" s="7"/>
      <c r="AC151" s="7" t="s">
        <v>234</v>
      </c>
      <c r="AD151" s="7"/>
      <c r="AE151" s="7" t="s">
        <v>88</v>
      </c>
      <c r="AF151" s="7" t="s">
        <v>169</v>
      </c>
      <c r="AG151" s="7" t="s">
        <v>174</v>
      </c>
      <c r="AH151" s="8"/>
      <c r="AI151" s="7"/>
      <c r="AJ151" s="7" t="s">
        <v>107</v>
      </c>
      <c r="AK151" s="7" t="s">
        <v>109</v>
      </c>
      <c r="AL151" s="9" t="s">
        <v>345</v>
      </c>
      <c r="AM151" s="7" t="str">
        <f>VLOOKUP(AL151,Personal!$A$2:$I$300,2,FALSE)</f>
        <v>0000000736</v>
      </c>
      <c r="AN151" s="7" t="str">
        <f>VLOOKUP(AL151,Personal!$A$2:$I$300,3,FALSE)</f>
        <v>PACHAS DELGADO CARMEN ROSA</v>
      </c>
      <c r="AO151" s="7" t="str">
        <f>VLOOKUP(AL151,Personal!$A$2:$I$300,6,FALSE)</f>
        <v>Ejecutiva de Ventas</v>
      </c>
      <c r="AP151" s="7" t="str">
        <f>VLOOKUP(AL151,Personal!$A$2:$I$300,7,FALSE)</f>
        <v>Ventas</v>
      </c>
      <c r="AQ151" s="7" t="str">
        <f>VLOOKUP(AL151,Personal!$A$2:$I$300,8,FALSE)</f>
        <v>Ventas y Marketing</v>
      </c>
      <c r="AR151" s="89"/>
    </row>
    <row r="152" spans="2:44" x14ac:dyDescent="0.3">
      <c r="B152" s="6">
        <v>147</v>
      </c>
      <c r="C152" s="6"/>
      <c r="D152" s="6"/>
      <c r="E152" s="6"/>
      <c r="F152" s="6"/>
      <c r="G152" s="7" t="s">
        <v>33</v>
      </c>
      <c r="H152" s="7" t="s">
        <v>29</v>
      </c>
      <c r="I152" s="7" t="s">
        <v>46</v>
      </c>
      <c r="J152" s="7" t="s">
        <v>193</v>
      </c>
      <c r="K152" s="10" t="s">
        <v>1553</v>
      </c>
      <c r="L152" s="7" t="s">
        <v>1290</v>
      </c>
      <c r="M152" s="7"/>
      <c r="N152" s="7"/>
      <c r="O152" s="13"/>
      <c r="P152" s="13"/>
      <c r="Q152" s="7"/>
      <c r="R152" s="7"/>
      <c r="S152" s="7" t="s">
        <v>1554</v>
      </c>
      <c r="T152" s="7"/>
      <c r="U152" s="7" t="s">
        <v>1552</v>
      </c>
      <c r="V152" s="7"/>
      <c r="W152" s="7" t="s">
        <v>1629</v>
      </c>
      <c r="X152" s="7" t="s">
        <v>54</v>
      </c>
      <c r="Y152" s="7" t="s">
        <v>89</v>
      </c>
      <c r="Z152" s="7" t="s">
        <v>117</v>
      </c>
      <c r="AA152" s="7" t="s">
        <v>60</v>
      </c>
      <c r="AB152" s="7"/>
      <c r="AC152" s="7" t="s">
        <v>234</v>
      </c>
      <c r="AD152" s="7"/>
      <c r="AE152" s="7" t="s">
        <v>88</v>
      </c>
      <c r="AF152" s="7" t="s">
        <v>169</v>
      </c>
      <c r="AG152" s="7" t="s">
        <v>174</v>
      </c>
      <c r="AH152" s="8"/>
      <c r="AI152" s="7"/>
      <c r="AJ152" s="7" t="s">
        <v>107</v>
      </c>
      <c r="AK152" s="7" t="s">
        <v>109</v>
      </c>
      <c r="AL152" s="9" t="s">
        <v>1541</v>
      </c>
      <c r="AM152" s="7" t="str">
        <f>VLOOKUP(AL152,Personal!$A$2:$I$300,2,FALSE)</f>
        <v>0000001698</v>
      </c>
      <c r="AN152" s="7" t="str">
        <f>VLOOKUP(AL152,Personal!$A$2:$I$300,3,FALSE)</f>
        <v>BAZAN CRUZ MARCIA ANGELA</v>
      </c>
      <c r="AO152" s="7" t="str">
        <f>VLOOKUP(AL152,Personal!$A$2:$I$300,6,FALSE)</f>
        <v>Gerente de Grupos y Eventos</v>
      </c>
      <c r="AP152" s="7" t="str">
        <f>VLOOKUP(AL152,Personal!$A$2:$I$300,7,FALSE)</f>
        <v>Ventas</v>
      </c>
      <c r="AQ152" s="7" t="str">
        <f>VLOOKUP(AL152,Personal!$A$2:$I$300,8,FALSE)</f>
        <v>Ventas y Marketing</v>
      </c>
      <c r="AR152" s="89"/>
    </row>
    <row r="153" spans="2:44" x14ac:dyDescent="0.3">
      <c r="B153" s="6">
        <v>148</v>
      </c>
      <c r="C153" s="6"/>
      <c r="D153" s="6"/>
      <c r="E153" s="6"/>
      <c r="F153" s="6"/>
      <c r="G153" s="7" t="s">
        <v>33</v>
      </c>
      <c r="H153" s="7" t="s">
        <v>29</v>
      </c>
      <c r="I153" s="7" t="s">
        <v>46</v>
      </c>
      <c r="J153" s="7" t="s">
        <v>193</v>
      </c>
      <c r="K153" s="10" t="s">
        <v>1555</v>
      </c>
      <c r="L153" s="7" t="s">
        <v>1290</v>
      </c>
      <c r="M153" s="7"/>
      <c r="N153" s="7"/>
      <c r="O153" s="13"/>
      <c r="P153" s="13"/>
      <c r="Q153" s="7"/>
      <c r="R153" s="7"/>
      <c r="S153" s="7"/>
      <c r="T153" s="7"/>
      <c r="U153" s="7" t="s">
        <v>1556</v>
      </c>
      <c r="V153" s="7" t="s">
        <v>1876</v>
      </c>
      <c r="W153" s="7" t="s">
        <v>1836</v>
      </c>
      <c r="X153" s="7" t="s">
        <v>54</v>
      </c>
      <c r="Y153" s="7" t="s">
        <v>89</v>
      </c>
      <c r="Z153" s="7" t="s">
        <v>117</v>
      </c>
      <c r="AA153" s="7" t="s">
        <v>60</v>
      </c>
      <c r="AB153" s="7"/>
      <c r="AC153" s="7" t="s">
        <v>234</v>
      </c>
      <c r="AD153" s="7"/>
      <c r="AE153" s="7" t="s">
        <v>88</v>
      </c>
      <c r="AF153" s="7" t="s">
        <v>169</v>
      </c>
      <c r="AG153" s="7" t="s">
        <v>174</v>
      </c>
      <c r="AH153" s="8"/>
      <c r="AI153" s="7"/>
      <c r="AJ153" s="7" t="s">
        <v>107</v>
      </c>
      <c r="AK153" s="7" t="s">
        <v>109</v>
      </c>
      <c r="AL153" s="9" t="s">
        <v>1542</v>
      </c>
      <c r="AM153" s="7" t="str">
        <f>VLOOKUP(AL153,Personal!$A$2:$I$300,2,FALSE)</f>
        <v>0000001717</v>
      </c>
      <c r="AN153" s="7" t="str">
        <f>VLOOKUP(AL153,Personal!$A$2:$I$300,3,FALSE)</f>
        <v>QUISPILAYA FACHE DIANA KATHERINE</v>
      </c>
      <c r="AO153" s="7" t="str">
        <f>VLOOKUP(AL153,Personal!$A$2:$I$300,6,FALSE)</f>
        <v>Coordinador de Eventos</v>
      </c>
      <c r="AP153" s="7" t="str">
        <f>VLOOKUP(AL153,Personal!$A$2:$I$300,7,FALSE)</f>
        <v>Ventas</v>
      </c>
      <c r="AQ153" s="7" t="str">
        <f>VLOOKUP(AL153,Personal!$A$2:$I$300,8,FALSE)</f>
        <v>Ventas y Marketing</v>
      </c>
      <c r="AR153" s="7"/>
    </row>
    <row r="154" spans="2:44" x14ac:dyDescent="0.3">
      <c r="B154" s="6">
        <v>149</v>
      </c>
      <c r="C154" s="6"/>
      <c r="D154" s="6"/>
      <c r="E154" s="6"/>
      <c r="F154" s="6"/>
      <c r="G154" s="7" t="s">
        <v>34</v>
      </c>
      <c r="H154" s="7" t="s">
        <v>29</v>
      </c>
      <c r="I154" s="7" t="s">
        <v>47</v>
      </c>
      <c r="J154" s="7"/>
      <c r="K154" s="10"/>
      <c r="L154" s="7" t="s">
        <v>1581</v>
      </c>
      <c r="M154" s="7"/>
      <c r="N154" s="7"/>
      <c r="O154" s="13"/>
      <c r="P154" s="13"/>
      <c r="Q154" s="7"/>
      <c r="R154" s="7"/>
      <c r="S154" s="7"/>
      <c r="T154" s="7"/>
      <c r="U154" s="7"/>
      <c r="V154" s="7"/>
      <c r="W154" s="7"/>
      <c r="X154" s="7" t="s">
        <v>54</v>
      </c>
      <c r="Y154" s="7" t="s">
        <v>96</v>
      </c>
      <c r="Z154" s="7" t="s">
        <v>116</v>
      </c>
      <c r="AA154" s="7" t="s">
        <v>63</v>
      </c>
      <c r="AB154" s="7"/>
      <c r="AC154" s="7" t="s">
        <v>77</v>
      </c>
      <c r="AD154" s="7"/>
      <c r="AE154" s="7" t="s">
        <v>88</v>
      </c>
      <c r="AF154" s="7"/>
      <c r="AG154" s="7" t="s">
        <v>175</v>
      </c>
      <c r="AH154" s="8"/>
      <c r="AI154" s="7"/>
      <c r="AJ154" s="7" t="s">
        <v>107</v>
      </c>
      <c r="AK154" s="7" t="s">
        <v>109</v>
      </c>
      <c r="AL154" s="9" t="s">
        <v>563</v>
      </c>
      <c r="AM154" s="7" t="str">
        <f>VLOOKUP(AL154,Personal!$A$2:$I$300,2,FALSE)</f>
        <v>0000F00031</v>
      </c>
      <c r="AN154" s="7" t="str">
        <f>VLOOKUP(AL154,Personal!$A$2:$I$300,3,FALSE)</f>
        <v>VILLACIS PAREDES MARIA DE LOS ANGELES</v>
      </c>
      <c r="AO154" s="7" t="str">
        <f>VLOOKUP(AL154,Personal!$A$2:$I$300,6,FALSE)</f>
        <v>Directora Regional de Revenue</v>
      </c>
      <c r="AP154" s="7" t="str">
        <f>VLOOKUP(AL154,Personal!$A$2:$I$300,7,FALSE)</f>
        <v>Revenue</v>
      </c>
      <c r="AQ154" s="7" t="str">
        <f>VLOOKUP(AL154,Personal!$A$2:$I$300,8,FALSE)</f>
        <v>Ventas y Marketing</v>
      </c>
      <c r="AR154" s="7"/>
    </row>
    <row r="155" spans="2:44" x14ac:dyDescent="0.3">
      <c r="B155" s="6">
        <v>150</v>
      </c>
      <c r="C155" s="6"/>
      <c r="D155" s="6"/>
      <c r="E155" s="6"/>
      <c r="F155" s="6"/>
      <c r="G155" s="7" t="s">
        <v>34</v>
      </c>
      <c r="H155" s="7" t="s">
        <v>29</v>
      </c>
      <c r="I155" s="7" t="s">
        <v>47</v>
      </c>
      <c r="J155" s="7" t="s">
        <v>1582</v>
      </c>
      <c r="K155" s="10" t="s">
        <v>1583</v>
      </c>
      <c r="L155" s="7" t="s">
        <v>1581</v>
      </c>
      <c r="M155" s="7"/>
      <c r="N155" s="7"/>
      <c r="O155" s="13"/>
      <c r="P155" s="13"/>
      <c r="Q155" s="7"/>
      <c r="R155" s="7"/>
      <c r="S155" s="7" t="s">
        <v>1585</v>
      </c>
      <c r="T155" s="7"/>
      <c r="U155" s="7" t="s">
        <v>1584</v>
      </c>
      <c r="V155" s="7"/>
      <c r="W155" s="7" t="s">
        <v>1990</v>
      </c>
      <c r="X155" s="7" t="s">
        <v>54</v>
      </c>
      <c r="Y155" s="7" t="s">
        <v>96</v>
      </c>
      <c r="Z155" s="7" t="s">
        <v>116</v>
      </c>
      <c r="AA155" s="7" t="s">
        <v>65</v>
      </c>
      <c r="AB155" s="7"/>
      <c r="AC155" s="7" t="s">
        <v>79</v>
      </c>
      <c r="AD155" s="7"/>
      <c r="AE155" s="7" t="s">
        <v>88</v>
      </c>
      <c r="AF155" s="7"/>
      <c r="AG155" s="7" t="s">
        <v>175</v>
      </c>
      <c r="AH155" s="8"/>
      <c r="AI155" s="7"/>
      <c r="AJ155" s="7" t="s">
        <v>107</v>
      </c>
      <c r="AK155" s="7" t="s">
        <v>109</v>
      </c>
      <c r="AL155" s="9" t="s">
        <v>260</v>
      </c>
      <c r="AM155" s="7" t="str">
        <f>VLOOKUP(AL155,Personal!$A$2:$I$300,2,FALSE)</f>
        <v>0000F00011</v>
      </c>
      <c r="AN155" s="7" t="str">
        <f>VLOOKUP(AL155,Personal!$A$2:$I$300,3,FALSE)</f>
        <v>CASTRO MORA NELLY YOLANDA</v>
      </c>
      <c r="AO155" s="7" t="str">
        <f>VLOOKUP(AL155,Personal!$A$2:$I$300,6,FALSE)</f>
        <v>Gerente de Compras Regional</v>
      </c>
      <c r="AP155" s="7" t="str">
        <f>VLOOKUP(AL155,Personal!$A$2:$I$300,7,FALSE)</f>
        <v>Compras</v>
      </c>
      <c r="AQ155" s="7" t="str">
        <f>VLOOKUP(AL155,Personal!$A$2:$I$300,8,FALSE)</f>
        <v>Compras</v>
      </c>
      <c r="AR155" s="89"/>
    </row>
    <row r="156" spans="2:44" x14ac:dyDescent="0.3">
      <c r="B156" s="6">
        <v>151</v>
      </c>
      <c r="C156" s="6"/>
      <c r="D156" s="6"/>
      <c r="E156" s="6"/>
      <c r="F156" s="6"/>
      <c r="G156" s="7" t="s">
        <v>34</v>
      </c>
      <c r="H156" s="7" t="s">
        <v>29</v>
      </c>
      <c r="I156" s="7" t="s">
        <v>47</v>
      </c>
      <c r="J156" s="7"/>
      <c r="K156" s="10"/>
      <c r="L156" s="7" t="s">
        <v>1581</v>
      </c>
      <c r="M156" s="7"/>
      <c r="N156" s="7"/>
      <c r="O156" s="13"/>
      <c r="P156" s="13"/>
      <c r="Q156" s="7"/>
      <c r="R156" s="7"/>
      <c r="S156" s="7"/>
      <c r="T156" s="7"/>
      <c r="U156" s="7"/>
      <c r="V156" s="7"/>
      <c r="W156" s="7"/>
      <c r="X156" s="7" t="s">
        <v>54</v>
      </c>
      <c r="Y156" s="7" t="s">
        <v>96</v>
      </c>
      <c r="Z156" s="7" t="s">
        <v>116</v>
      </c>
      <c r="AA156" s="7" t="s">
        <v>63</v>
      </c>
      <c r="AB156" s="7"/>
      <c r="AC156" s="7" t="s">
        <v>77</v>
      </c>
      <c r="AD156" s="7"/>
      <c r="AE156" s="7" t="s">
        <v>88</v>
      </c>
      <c r="AF156" s="7"/>
      <c r="AG156" s="7" t="s">
        <v>175</v>
      </c>
      <c r="AH156" s="8"/>
      <c r="AI156" s="7"/>
      <c r="AJ156" s="7" t="s">
        <v>107</v>
      </c>
      <c r="AK156" s="7" t="s">
        <v>109</v>
      </c>
      <c r="AL156" s="9" t="s">
        <v>242</v>
      </c>
      <c r="AM156" s="7" t="str">
        <f>VLOOKUP(AL156,Personal!$A$2:$I$300,2,FALSE)</f>
        <v>0000F00015</v>
      </c>
      <c r="AN156" s="7" t="str">
        <f>VLOOKUP(AL156,Personal!$A$2:$I$300,3,FALSE)</f>
        <v>PINEDA LOPEZ GLADYS DIANA</v>
      </c>
      <c r="AO156" s="7" t="str">
        <f>VLOOKUP(AL156,Personal!$A$2:$I$300,6,FALSE)</f>
        <v>Contralora Regional</v>
      </c>
      <c r="AP156" s="7" t="str">
        <f>VLOOKUP(AL156,Personal!$A$2:$I$300,7,FALSE)</f>
        <v>Contraloría</v>
      </c>
      <c r="AQ156" s="7" t="str">
        <f>VLOOKUP(AL156,Personal!$A$2:$I$300,8,FALSE)</f>
        <v>Contraloría</v>
      </c>
      <c r="AR156" s="7"/>
    </row>
    <row r="157" spans="2:44" x14ac:dyDescent="0.3">
      <c r="B157" s="6">
        <v>152</v>
      </c>
      <c r="C157" s="6"/>
      <c r="D157" s="6"/>
      <c r="E157" s="6"/>
      <c r="F157" s="6"/>
      <c r="G157" s="7" t="s">
        <v>33</v>
      </c>
      <c r="H157" s="7" t="s">
        <v>29</v>
      </c>
      <c r="I157" s="7" t="s">
        <v>46</v>
      </c>
      <c r="J157" s="7" t="s">
        <v>193</v>
      </c>
      <c r="K157" s="10" t="s">
        <v>1558</v>
      </c>
      <c r="L157" s="7" t="s">
        <v>1290</v>
      </c>
      <c r="M157" s="7"/>
      <c r="N157" s="7"/>
      <c r="O157" s="13"/>
      <c r="P157" s="13"/>
      <c r="Q157" s="7"/>
      <c r="R157" s="7"/>
      <c r="S157" s="7" t="s">
        <v>1659</v>
      </c>
      <c r="T157" s="7"/>
      <c r="U157" s="7" t="s">
        <v>1492</v>
      </c>
      <c r="V157" s="7"/>
      <c r="W157" s="7" t="s">
        <v>1390</v>
      </c>
      <c r="X157" s="7" t="s">
        <v>54</v>
      </c>
      <c r="Y157" s="7" t="s">
        <v>89</v>
      </c>
      <c r="Z157" s="7" t="s">
        <v>117</v>
      </c>
      <c r="AA157" s="7" t="s">
        <v>60</v>
      </c>
      <c r="AB157" s="7"/>
      <c r="AC157" s="7" t="s">
        <v>234</v>
      </c>
      <c r="AD157" s="7"/>
      <c r="AE157" s="7" t="s">
        <v>88</v>
      </c>
      <c r="AF157" s="7" t="s">
        <v>169</v>
      </c>
      <c r="AG157" s="7" t="s">
        <v>175</v>
      </c>
      <c r="AH157" s="8"/>
      <c r="AI157" s="7"/>
      <c r="AJ157" s="7" t="s">
        <v>107</v>
      </c>
      <c r="AK157" s="7" t="s">
        <v>109</v>
      </c>
      <c r="AL157" s="9" t="s">
        <v>1720</v>
      </c>
      <c r="AM157" s="7" t="str">
        <f>VLOOKUP(AL157,Personal!$A$2:$I$300,2,FALSE)</f>
        <v>0000001755</v>
      </c>
      <c r="AN157" s="7" t="str">
        <f>VLOOKUP(AL157,Personal!$A$2:$I$300,3,FALSE)</f>
        <v>BRENDA STEFANY VILLAREAL MACHADO</v>
      </c>
      <c r="AO157" s="7" t="str">
        <f>VLOOKUP(AL157,Personal!$A$2:$I$300,6,FALSE)</f>
        <v>Trabajadora Social</v>
      </c>
      <c r="AP157" s="7" t="str">
        <f>VLOOKUP(AL157,Personal!$A$2:$I$300,7,FALSE)</f>
        <v>Personas y Cultura</v>
      </c>
      <c r="AQ157" s="7" t="str">
        <f>VLOOKUP(AL157,Personal!$A$2:$I$300,8,FALSE)</f>
        <v>Personas y Cultura</v>
      </c>
      <c r="AR157" s="89"/>
    </row>
    <row r="158" spans="2:44" x14ac:dyDescent="0.3">
      <c r="B158" s="6">
        <v>153</v>
      </c>
      <c r="C158" s="6"/>
      <c r="D158" s="6"/>
      <c r="E158" s="6"/>
      <c r="F158" s="6"/>
      <c r="G158" s="7" t="s">
        <v>33</v>
      </c>
      <c r="H158" s="7" t="s">
        <v>29</v>
      </c>
      <c r="I158" s="7" t="s">
        <v>46</v>
      </c>
      <c r="J158" s="7" t="s">
        <v>193</v>
      </c>
      <c r="K158" s="10" t="s">
        <v>1557</v>
      </c>
      <c r="L158" s="7" t="s">
        <v>1290</v>
      </c>
      <c r="M158" s="7"/>
      <c r="N158" s="7"/>
      <c r="O158" s="13"/>
      <c r="P158" s="13"/>
      <c r="Q158" s="7"/>
      <c r="R158" s="7"/>
      <c r="S158" s="7" t="s">
        <v>1731</v>
      </c>
      <c r="T158" s="7"/>
      <c r="U158" s="7" t="s">
        <v>1449</v>
      </c>
      <c r="V158" s="7"/>
      <c r="W158" s="7" t="s">
        <v>1736</v>
      </c>
      <c r="X158" s="7" t="s">
        <v>54</v>
      </c>
      <c r="Y158" s="7" t="s">
        <v>89</v>
      </c>
      <c r="Z158" s="7" t="s">
        <v>117</v>
      </c>
      <c r="AA158" s="7" t="s">
        <v>60</v>
      </c>
      <c r="AB158" s="7"/>
      <c r="AC158" s="7" t="s">
        <v>234</v>
      </c>
      <c r="AD158" s="7"/>
      <c r="AE158" s="7" t="s">
        <v>88</v>
      </c>
      <c r="AF158" s="7" t="s">
        <v>169</v>
      </c>
      <c r="AG158" s="7" t="s">
        <v>175</v>
      </c>
      <c r="AH158" s="8"/>
      <c r="AI158" s="7"/>
      <c r="AJ158" s="7" t="s">
        <v>107</v>
      </c>
      <c r="AK158" s="7" t="s">
        <v>109</v>
      </c>
      <c r="AL158" s="9" t="s">
        <v>1732</v>
      </c>
      <c r="AM158" s="7" t="str">
        <f>VLOOKUP(AL158,Personal!$A$2:$I$300,2,FALSE)</f>
        <v>0000000462</v>
      </c>
      <c r="AN158" s="7" t="str">
        <f>VLOOKUP(AL158,Personal!$A$2:$I$300,3,FALSE)</f>
        <v>ROMAN ZUÑIGA ANNIE PAOLA</v>
      </c>
      <c r="AO158" s="7" t="str">
        <f>VLOOKUP(AL158,Personal!$A$2:$I$300,6,FALSE)</f>
        <v>Gerente de Alimentos y Bebidas</v>
      </c>
      <c r="AP158" s="7" t="str">
        <f>VLOOKUP(AL158,Personal!$A$2:$I$300,7,FALSE)</f>
        <v>Gerencia A&amp;B</v>
      </c>
      <c r="AQ158" s="7" t="str">
        <f>VLOOKUP(AL158,Personal!$A$2:$I$300,8,FALSE)</f>
        <v>Alimentos y Bebidas</v>
      </c>
      <c r="AR158" s="89"/>
    </row>
    <row r="159" spans="2:44" x14ac:dyDescent="0.3">
      <c r="B159" s="6">
        <v>154</v>
      </c>
      <c r="C159" s="6"/>
      <c r="D159" s="6"/>
      <c r="E159" s="6"/>
      <c r="F159" s="6"/>
      <c r="G159" s="7" t="s">
        <v>33</v>
      </c>
      <c r="H159" s="7" t="s">
        <v>29</v>
      </c>
      <c r="I159" s="7" t="s">
        <v>46</v>
      </c>
      <c r="J159" s="7" t="s">
        <v>193</v>
      </c>
      <c r="K159" s="10" t="s">
        <v>1564</v>
      </c>
      <c r="L159" s="7" t="s">
        <v>1290</v>
      </c>
      <c r="M159" s="7"/>
      <c r="N159" s="7"/>
      <c r="O159" s="13"/>
      <c r="P159" s="13"/>
      <c r="Q159" s="7"/>
      <c r="R159" s="7"/>
      <c r="S159" s="7" t="s">
        <v>1566</v>
      </c>
      <c r="T159" s="7"/>
      <c r="U159" s="7" t="s">
        <v>1565</v>
      </c>
      <c r="V159" s="7" t="s">
        <v>1800</v>
      </c>
      <c r="W159" s="7" t="s">
        <v>1800</v>
      </c>
      <c r="X159" s="7" t="s">
        <v>54</v>
      </c>
      <c r="Y159" s="7" t="s">
        <v>89</v>
      </c>
      <c r="Z159" s="7" t="s">
        <v>117</v>
      </c>
      <c r="AA159" s="7" t="s">
        <v>60</v>
      </c>
      <c r="AB159" s="7"/>
      <c r="AC159" s="7" t="s">
        <v>77</v>
      </c>
      <c r="AD159" s="7"/>
      <c r="AE159" s="7" t="s">
        <v>88</v>
      </c>
      <c r="AF159" s="7" t="s">
        <v>169</v>
      </c>
      <c r="AG159" s="7" t="s">
        <v>174</v>
      </c>
      <c r="AH159" s="8"/>
      <c r="AI159" s="7"/>
      <c r="AJ159" s="7" t="s">
        <v>107</v>
      </c>
      <c r="AK159" s="7" t="s">
        <v>109</v>
      </c>
      <c r="AL159" s="9" t="s">
        <v>465</v>
      </c>
      <c r="AM159" s="7" t="str">
        <f>VLOOKUP(AL159,Personal!$A$2:$I$300,2,FALSE)</f>
        <v>0000001297</v>
      </c>
      <c r="AN159" s="7" t="str">
        <f>VLOOKUP(AL159,Personal!$A$2:$I$300,3,FALSE)</f>
        <v>SICHA PEREZ IRIS GIOVANNA</v>
      </c>
      <c r="AO159" s="7" t="str">
        <f>VLOOKUP(AL159,Personal!$A$2:$I$300,6,FALSE)</f>
        <v>Supervisor Jr. De Housekeeping</v>
      </c>
      <c r="AP159" s="7" t="str">
        <f>VLOOKUP(AL159,Personal!$A$2:$I$300,7,FALSE)</f>
        <v xml:space="preserve">Housekeeping </v>
      </c>
      <c r="AQ159" s="7" t="str">
        <f>VLOOKUP(AL159,Personal!$A$2:$I$300,8,FALSE)</f>
        <v>División de Habitaciones (Operaciones)</v>
      </c>
      <c r="AR159" s="89"/>
    </row>
    <row r="160" spans="2:44" x14ac:dyDescent="0.3">
      <c r="B160" s="6">
        <v>155</v>
      </c>
      <c r="C160" s="6"/>
      <c r="D160" s="6"/>
      <c r="E160" s="6"/>
      <c r="F160" s="6"/>
      <c r="G160" s="7" t="s">
        <v>33</v>
      </c>
      <c r="H160" s="7" t="s">
        <v>29</v>
      </c>
      <c r="I160" s="7" t="s">
        <v>46</v>
      </c>
      <c r="J160" s="7" t="s">
        <v>193</v>
      </c>
      <c r="K160" s="10" t="s">
        <v>1569</v>
      </c>
      <c r="L160" s="7" t="s">
        <v>1290</v>
      </c>
      <c r="M160" s="7"/>
      <c r="N160" s="7"/>
      <c r="O160" s="13"/>
      <c r="P160" s="13"/>
      <c r="Q160" s="7"/>
      <c r="R160" s="7"/>
      <c r="S160" s="7"/>
      <c r="T160" s="7"/>
      <c r="U160" s="7" t="s">
        <v>1757</v>
      </c>
      <c r="V160" s="7"/>
      <c r="W160" s="7" t="s">
        <v>1570</v>
      </c>
      <c r="X160" s="7" t="s">
        <v>54</v>
      </c>
      <c r="Y160" s="7" t="s">
        <v>89</v>
      </c>
      <c r="Z160" s="7" t="s">
        <v>117</v>
      </c>
      <c r="AA160" s="7" t="s">
        <v>60</v>
      </c>
      <c r="AB160" s="7"/>
      <c r="AC160" s="7" t="s">
        <v>234</v>
      </c>
      <c r="AD160" s="7"/>
      <c r="AE160" s="7" t="s">
        <v>88</v>
      </c>
      <c r="AF160" s="7" t="s">
        <v>169</v>
      </c>
      <c r="AG160" s="7" t="s">
        <v>174</v>
      </c>
      <c r="AH160" s="8"/>
      <c r="AI160" s="7"/>
      <c r="AJ160" s="7" t="s">
        <v>107</v>
      </c>
      <c r="AK160" s="7" t="s">
        <v>109</v>
      </c>
      <c r="AL160" s="9" t="s">
        <v>269</v>
      </c>
      <c r="AM160" s="7" t="str">
        <f>VLOOKUP(AL160,Personal!$A$2:$I$300,2,FALSE)</f>
        <v>0000000086</v>
      </c>
      <c r="AN160" s="7" t="str">
        <f>VLOOKUP(AL160,Personal!$A$2:$I$300,3,FALSE)</f>
        <v>MOTA CASTRO JIM EDUARDO</v>
      </c>
      <c r="AO160" s="7" t="str">
        <f>VLOOKUP(AL160,Personal!$A$2:$I$300,6,FALSE)</f>
        <v>Auditor de Ingresos</v>
      </c>
      <c r="AP160" s="7" t="str">
        <f>VLOOKUP(AL160,Personal!$A$2:$I$300,7,FALSE)</f>
        <v>Auditoría de Ingresos</v>
      </c>
      <c r="AQ160" s="7" t="str">
        <f>VLOOKUP(AL160,Personal!$A$2:$I$300,8,FALSE)</f>
        <v>Contraloría</v>
      </c>
      <c r="AR160" s="89"/>
    </row>
    <row r="161" spans="2:44" x14ac:dyDescent="0.3">
      <c r="B161" s="6">
        <v>156</v>
      </c>
      <c r="C161" s="6"/>
      <c r="D161" s="6"/>
      <c r="E161" s="6"/>
      <c r="F161" s="6"/>
      <c r="G161" s="7" t="s">
        <v>33</v>
      </c>
      <c r="H161" s="7" t="s">
        <v>29</v>
      </c>
      <c r="I161" s="7" t="s">
        <v>46</v>
      </c>
      <c r="J161" s="7" t="s">
        <v>193</v>
      </c>
      <c r="K161" s="10" t="s">
        <v>1573</v>
      </c>
      <c r="L161" s="7" t="s">
        <v>1290</v>
      </c>
      <c r="M161" s="7"/>
      <c r="N161" s="7"/>
      <c r="O161" s="13"/>
      <c r="P161" s="13"/>
      <c r="Q161" s="7"/>
      <c r="R161" s="7"/>
      <c r="S161" s="7" t="s">
        <v>1580</v>
      </c>
      <c r="T161" s="7"/>
      <c r="U161" s="7" t="s">
        <v>1575</v>
      </c>
      <c r="V161" s="7" t="s">
        <v>1576</v>
      </c>
      <c r="W161" s="7" t="s">
        <v>1588</v>
      </c>
      <c r="X161" s="7" t="s">
        <v>54</v>
      </c>
      <c r="Y161" s="7" t="s">
        <v>89</v>
      </c>
      <c r="Z161" s="7" t="s">
        <v>117</v>
      </c>
      <c r="AA161" s="7" t="s">
        <v>60</v>
      </c>
      <c r="AB161" s="7"/>
      <c r="AC161" s="7" t="s">
        <v>77</v>
      </c>
      <c r="AD161" s="7"/>
      <c r="AE161" s="7" t="s">
        <v>88</v>
      </c>
      <c r="AF161" s="7" t="s">
        <v>169</v>
      </c>
      <c r="AG161" s="7" t="s">
        <v>174</v>
      </c>
      <c r="AH161" s="8"/>
      <c r="AI161" s="7"/>
      <c r="AJ161" s="7" t="s">
        <v>107</v>
      </c>
      <c r="AK161" s="7" t="s">
        <v>109</v>
      </c>
      <c r="AL161" s="9" t="s">
        <v>1574</v>
      </c>
      <c r="AM161" s="7" t="str">
        <f>VLOOKUP(AL161,Personal!$A$2:$I$300,2,FALSE)</f>
        <v>0000001236</v>
      </c>
      <c r="AN161" s="7" t="str">
        <f>VLOOKUP(AL161,Personal!$A$2:$I$300,3,FALSE)</f>
        <v>BAUTISTA CARDENAS MIGUEL ALEJANDRO</v>
      </c>
      <c r="AO161" s="7" t="str">
        <f>VLOOKUP(AL161,Personal!$A$2:$I$300,6,FALSE)</f>
        <v>Sub Chef</v>
      </c>
      <c r="AP161" s="7" t="str">
        <f>VLOOKUP(AL161,Personal!$A$2:$I$300,7,FALSE)</f>
        <v xml:space="preserve">Cocina La Locanda </v>
      </c>
      <c r="AQ161" s="7" t="str">
        <f>VLOOKUP(AL161,Personal!$A$2:$I$300,8,FALSE)</f>
        <v>Cocina</v>
      </c>
      <c r="AR161" s="7"/>
    </row>
    <row r="162" spans="2:44" x14ac:dyDescent="0.3">
      <c r="B162" s="6">
        <v>157</v>
      </c>
      <c r="C162" s="6"/>
      <c r="D162" s="6"/>
      <c r="E162" s="6"/>
      <c r="F162" s="6"/>
      <c r="G162" s="7" t="s">
        <v>33</v>
      </c>
      <c r="H162" s="7" t="s">
        <v>29</v>
      </c>
      <c r="I162" s="7" t="s">
        <v>46</v>
      </c>
      <c r="J162" s="7" t="s">
        <v>193</v>
      </c>
      <c r="K162" s="10" t="s">
        <v>1577</v>
      </c>
      <c r="L162" s="7" t="s">
        <v>1290</v>
      </c>
      <c r="M162" s="7"/>
      <c r="N162" s="7"/>
      <c r="O162" s="13"/>
      <c r="P162" s="13"/>
      <c r="Q162" s="7"/>
      <c r="R162" s="7"/>
      <c r="S162" s="7" t="s">
        <v>1579</v>
      </c>
      <c r="T162" s="7"/>
      <c r="U162" s="7" t="s">
        <v>1578</v>
      </c>
      <c r="V162" s="7"/>
      <c r="W162" s="7" t="s">
        <v>1587</v>
      </c>
      <c r="X162" s="7" t="s">
        <v>54</v>
      </c>
      <c r="Y162" s="7" t="s">
        <v>89</v>
      </c>
      <c r="Z162" s="7" t="s">
        <v>117</v>
      </c>
      <c r="AA162" s="7" t="s">
        <v>60</v>
      </c>
      <c r="AB162" s="7"/>
      <c r="AC162" s="7" t="s">
        <v>234</v>
      </c>
      <c r="AD162" s="7"/>
      <c r="AE162" s="7" t="s">
        <v>88</v>
      </c>
      <c r="AF162" s="7" t="s">
        <v>169</v>
      </c>
      <c r="AG162" s="7" t="s">
        <v>175</v>
      </c>
      <c r="AH162" s="8"/>
      <c r="AI162" s="7"/>
      <c r="AJ162" s="7" t="s">
        <v>107</v>
      </c>
      <c r="AK162" s="7" t="s">
        <v>109</v>
      </c>
      <c r="AL162" s="9" t="s">
        <v>836</v>
      </c>
      <c r="AM162" s="7" t="str">
        <f>VLOOKUP(AL162,Personal!$A$2:$I$300,2,FALSE)</f>
        <v>0000P00506</v>
      </c>
      <c r="AN162" s="7" t="str">
        <f>VLOOKUP(AL162,Personal!$A$2:$I$300,3,FALSE)</f>
        <v>TRONCOS REQUEJO MELANIE ALICIA</v>
      </c>
      <c r="AO162" s="7" t="str">
        <f>VLOOKUP(AL162,Personal!$A$2:$I$300,6,FALSE)</f>
        <v>Practicante Administrativo de Cocina</v>
      </c>
      <c r="AP162" s="7" t="str">
        <f>VLOOKUP(AL162,Personal!$A$2:$I$300,7,FALSE)</f>
        <v>Cocina</v>
      </c>
      <c r="AQ162" s="7" t="str">
        <f>VLOOKUP(AL162,Personal!$A$2:$I$300,8,FALSE)</f>
        <v>Cocina</v>
      </c>
      <c r="AR162" s="89"/>
    </row>
    <row r="163" spans="2:44" x14ac:dyDescent="0.3">
      <c r="B163" s="6">
        <v>158</v>
      </c>
      <c r="C163" s="6"/>
      <c r="D163" s="6"/>
      <c r="E163" s="6"/>
      <c r="F163" s="6"/>
      <c r="G163" s="7" t="s">
        <v>35</v>
      </c>
      <c r="H163" s="7" t="s">
        <v>29</v>
      </c>
      <c r="I163" s="7" t="s">
        <v>46</v>
      </c>
      <c r="J163" s="7" t="s">
        <v>226</v>
      </c>
      <c r="K163" s="10" t="s">
        <v>1592</v>
      </c>
      <c r="L163" s="7"/>
      <c r="M163" s="7"/>
      <c r="N163" s="7"/>
      <c r="O163" s="13"/>
      <c r="P163" s="13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 t="s">
        <v>230</v>
      </c>
      <c r="AE163" s="7"/>
      <c r="AF163" s="7"/>
      <c r="AG163" s="7"/>
      <c r="AH163" s="8"/>
      <c r="AI163" s="7"/>
      <c r="AJ163" s="7" t="s">
        <v>107</v>
      </c>
      <c r="AK163" s="7" t="s">
        <v>109</v>
      </c>
      <c r="AL163" s="9" t="s">
        <v>553</v>
      </c>
      <c r="AM163" s="7" t="str">
        <f>VLOOKUP(AL163,Personal!$A$2:$I$300,2,FALSE)</f>
        <v>0000001462</v>
      </c>
      <c r="AN163" s="7" t="str">
        <f>VLOOKUP(AL163,Personal!$A$2:$I$300,3,FALSE)</f>
        <v>HUAPAYA PEREZ LUIS ANGEL</v>
      </c>
      <c r="AO163" s="7" t="str">
        <f>VLOOKUP(AL163,Personal!$A$2:$I$300,6,FALSE)</f>
        <v>Supervisor de A&amp;B</v>
      </c>
      <c r="AP163" s="7" t="str">
        <f>VLOOKUP(AL163,Personal!$A$2:$I$300,7,FALSE)</f>
        <v>Room Service</v>
      </c>
      <c r="AQ163" s="7" t="str">
        <f>VLOOKUP(AL163,Personal!$A$2:$I$300,8,FALSE)</f>
        <v>Alimentos y Bebidas</v>
      </c>
      <c r="AR163" s="7"/>
    </row>
    <row r="164" spans="2:44" x14ac:dyDescent="0.3">
      <c r="B164" s="6">
        <v>159</v>
      </c>
      <c r="C164" s="6"/>
      <c r="D164" s="6"/>
      <c r="E164" s="6"/>
      <c r="F164" s="6"/>
      <c r="G164" s="7" t="s">
        <v>35</v>
      </c>
      <c r="H164" s="7" t="s">
        <v>29</v>
      </c>
      <c r="I164" s="7" t="s">
        <v>46</v>
      </c>
      <c r="J164" s="7" t="s">
        <v>226</v>
      </c>
      <c r="K164" s="10" t="s">
        <v>1596</v>
      </c>
      <c r="L164" s="7"/>
      <c r="M164" s="7"/>
      <c r="N164" s="7"/>
      <c r="O164" s="13"/>
      <c r="P164" s="13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 t="s">
        <v>230</v>
      </c>
      <c r="AE164" s="7"/>
      <c r="AF164" s="7"/>
      <c r="AG164" s="7"/>
      <c r="AH164" s="8"/>
      <c r="AI164" s="7"/>
      <c r="AJ164" s="7" t="s">
        <v>107</v>
      </c>
      <c r="AK164" s="7"/>
      <c r="AL164" s="9" t="s">
        <v>502</v>
      </c>
      <c r="AM164" s="7" t="str">
        <f>VLOOKUP(AL164,Personal!$A$2:$I$300,2,FALSE)</f>
        <v>0000001417</v>
      </c>
      <c r="AN164" s="7" t="str">
        <f>VLOOKUP(AL164,Personal!$A$2:$I$300,3,FALSE)</f>
        <v>CARDENAS ALCAZABA PAOLA RAQUEL</v>
      </c>
      <c r="AO164" s="7" t="str">
        <f>VLOOKUP(AL164,Personal!$A$2:$I$300,6,FALSE)</f>
        <v>Supervisor Jr. De Housekeeping</v>
      </c>
      <c r="AP164" s="7" t="str">
        <f>VLOOKUP(AL164,Personal!$A$2:$I$300,7,FALSE)</f>
        <v xml:space="preserve">Housekeeping </v>
      </c>
      <c r="AQ164" s="7" t="str">
        <f>VLOOKUP(AL164,Personal!$A$2:$I$300,8,FALSE)</f>
        <v>División de Habitaciones (Operaciones)</v>
      </c>
      <c r="AR164" s="89"/>
    </row>
    <row r="165" spans="2:44" x14ac:dyDescent="0.3">
      <c r="B165" s="6">
        <v>160</v>
      </c>
      <c r="C165" s="6"/>
      <c r="D165" s="6"/>
      <c r="E165" s="6"/>
      <c r="F165" s="6"/>
      <c r="G165" s="7" t="s">
        <v>33</v>
      </c>
      <c r="H165" s="7" t="s">
        <v>29</v>
      </c>
      <c r="I165" s="7" t="s">
        <v>46</v>
      </c>
      <c r="J165" s="7" t="s">
        <v>193</v>
      </c>
      <c r="K165" s="10" t="s">
        <v>1620</v>
      </c>
      <c r="L165" s="7" t="s">
        <v>1290</v>
      </c>
      <c r="M165" s="7"/>
      <c r="N165" s="7"/>
      <c r="O165" s="13"/>
      <c r="P165" s="13"/>
      <c r="Q165" s="7"/>
      <c r="R165" s="7"/>
      <c r="S165" s="7" t="s">
        <v>1622</v>
      </c>
      <c r="T165" s="7"/>
      <c r="U165" s="7" t="s">
        <v>1598</v>
      </c>
      <c r="V165" s="7" t="s">
        <v>1576</v>
      </c>
      <c r="W165" s="7" t="s">
        <v>1586</v>
      </c>
      <c r="X165" s="7" t="s">
        <v>54</v>
      </c>
      <c r="Y165" s="7" t="s">
        <v>89</v>
      </c>
      <c r="Z165" s="7" t="s">
        <v>117</v>
      </c>
      <c r="AA165" s="7" t="s">
        <v>59</v>
      </c>
      <c r="AB165" s="7"/>
      <c r="AC165" s="7" t="s">
        <v>234</v>
      </c>
      <c r="AD165" s="7"/>
      <c r="AE165" s="7" t="s">
        <v>88</v>
      </c>
      <c r="AF165" s="7"/>
      <c r="AG165" s="7" t="s">
        <v>175</v>
      </c>
      <c r="AH165" s="8"/>
      <c r="AI165" s="7"/>
      <c r="AJ165" s="7" t="s">
        <v>107</v>
      </c>
      <c r="AK165" s="7" t="s">
        <v>109</v>
      </c>
      <c r="AL165" s="9" t="s">
        <v>539</v>
      </c>
      <c r="AM165" s="7" t="str">
        <f>VLOOKUP(AL165,Personal!$A$2:$I$300,2,FALSE)</f>
        <v>0000001448</v>
      </c>
      <c r="AN165" s="7" t="str">
        <f>VLOOKUP(AL165,Personal!$A$2:$I$300,3,FALSE)</f>
        <v>CHAVEZ LING SUSANA BETSABE</v>
      </c>
      <c r="AO165" s="7" t="str">
        <f>VLOOKUP(AL165,Personal!$A$2:$I$300,6,FALSE)</f>
        <v>Supervisor Pasteleria / Panadería</v>
      </c>
      <c r="AP165" s="7" t="str">
        <f>VLOOKUP(AL165,Personal!$A$2:$I$300,7,FALSE)</f>
        <v>Pastelería</v>
      </c>
      <c r="AQ165" s="7" t="str">
        <f>VLOOKUP(AL165,Personal!$A$2:$I$300,8,FALSE)</f>
        <v>Cocina</v>
      </c>
      <c r="AR165" s="89"/>
    </row>
    <row r="166" spans="2:44" x14ac:dyDescent="0.3">
      <c r="B166" s="6">
        <v>161</v>
      </c>
      <c r="C166" s="6"/>
      <c r="D166" s="6"/>
      <c r="E166" s="6"/>
      <c r="F166" s="6"/>
      <c r="G166" s="7" t="s">
        <v>33</v>
      </c>
      <c r="H166" s="7" t="s">
        <v>29</v>
      </c>
      <c r="I166" s="7" t="s">
        <v>46</v>
      </c>
      <c r="J166" s="7" t="s">
        <v>193</v>
      </c>
      <c r="K166" s="10" t="s">
        <v>1630</v>
      </c>
      <c r="L166" s="7" t="s">
        <v>1290</v>
      </c>
      <c r="M166" s="7"/>
      <c r="N166" s="7"/>
      <c r="O166" s="13"/>
      <c r="P166" s="13"/>
      <c r="Q166" s="7"/>
      <c r="R166" s="7"/>
      <c r="S166" s="7" t="s">
        <v>1631</v>
      </c>
      <c r="T166" s="7"/>
      <c r="U166" s="7" t="s">
        <v>1632</v>
      </c>
      <c r="V166" s="7"/>
      <c r="W166" s="7" t="s">
        <v>1634</v>
      </c>
      <c r="X166" s="7" t="s">
        <v>54</v>
      </c>
      <c r="Y166" s="7" t="s">
        <v>89</v>
      </c>
      <c r="Z166" s="7" t="s">
        <v>117</v>
      </c>
      <c r="AA166" s="7" t="s">
        <v>60</v>
      </c>
      <c r="AB166" s="7"/>
      <c r="AC166" s="7" t="s">
        <v>234</v>
      </c>
      <c r="AD166" s="7"/>
      <c r="AE166" s="7" t="s">
        <v>88</v>
      </c>
      <c r="AF166" s="7"/>
      <c r="AG166" s="7" t="s">
        <v>174</v>
      </c>
      <c r="AH166" s="8"/>
      <c r="AI166" s="7"/>
      <c r="AJ166" s="7" t="s">
        <v>107</v>
      </c>
      <c r="AK166" s="7" t="s">
        <v>109</v>
      </c>
      <c r="AL166" s="9" t="s">
        <v>1644</v>
      </c>
      <c r="AM166" s="7">
        <f>VLOOKUP(AL166,Personal!$A$2:$I$300,2,FALSE)</f>
        <v>0</v>
      </c>
      <c r="AN166" s="7" t="str">
        <f>VLOOKUP(AL166,Personal!$A$2:$I$300,3,FALSE)</f>
        <v>VARGAS CACHIQUE ORLANDO FLORENCIO</v>
      </c>
      <c r="AO166" s="7" t="str">
        <f>VLOOKUP(AL166,Personal!$A$2:$I$300,6,FALSE)</f>
        <v>Gerente de Mantenimiento</v>
      </c>
      <c r="AP166" s="7" t="str">
        <f>VLOOKUP(AL166,Personal!$A$2:$I$300,7,FALSE)</f>
        <v>Mantenimiento</v>
      </c>
      <c r="AQ166" s="7" t="str">
        <f>VLOOKUP(AL166,Personal!$A$2:$I$300,8,FALSE)</f>
        <v>Mantenimiento</v>
      </c>
      <c r="AR166" s="7"/>
    </row>
    <row r="167" spans="2:44" x14ac:dyDescent="0.3">
      <c r="B167" s="6">
        <v>162</v>
      </c>
      <c r="C167" s="6"/>
      <c r="D167" s="6"/>
      <c r="E167" s="6"/>
      <c r="F167" s="6"/>
      <c r="G167" s="7" t="s">
        <v>33</v>
      </c>
      <c r="H167" s="7" t="s">
        <v>29</v>
      </c>
      <c r="I167" s="7" t="s">
        <v>46</v>
      </c>
      <c r="J167" s="7" t="s">
        <v>193</v>
      </c>
      <c r="K167" s="10" t="s">
        <v>1643</v>
      </c>
      <c r="L167" s="7" t="s">
        <v>1290</v>
      </c>
      <c r="M167" s="7"/>
      <c r="N167" s="7"/>
      <c r="O167" s="13"/>
      <c r="P167" s="13"/>
      <c r="Q167" s="7"/>
      <c r="R167" s="7"/>
      <c r="S167" s="7"/>
      <c r="T167" s="7"/>
      <c r="U167" s="7" t="s">
        <v>1681</v>
      </c>
      <c r="V167" s="7"/>
      <c r="W167" s="7"/>
      <c r="X167" s="7" t="s">
        <v>54</v>
      </c>
      <c r="Y167" s="7" t="s">
        <v>89</v>
      </c>
      <c r="Z167" s="7" t="s">
        <v>117</v>
      </c>
      <c r="AA167" s="7" t="s">
        <v>60</v>
      </c>
      <c r="AB167" s="7"/>
      <c r="AC167" s="7" t="s">
        <v>234</v>
      </c>
      <c r="AD167" s="7"/>
      <c r="AE167" s="7" t="s">
        <v>88</v>
      </c>
      <c r="AF167" s="7"/>
      <c r="AG167" s="7" t="s">
        <v>174</v>
      </c>
      <c r="AH167" s="8"/>
      <c r="AI167" s="7"/>
      <c r="AJ167" s="7" t="s">
        <v>107</v>
      </c>
      <c r="AK167" s="7" t="s">
        <v>109</v>
      </c>
      <c r="AL167" s="9" t="s">
        <v>303</v>
      </c>
      <c r="AM167" s="7" t="str">
        <f>VLOOKUP(AL167,Personal!$A$2:$I$300,2,FALSE)</f>
        <v>0000000304</v>
      </c>
      <c r="AN167" s="7" t="str">
        <f>VLOOKUP(AL167,Personal!$A$2:$I$300,3,FALSE)</f>
        <v>LLANCA ZUÑIGA JIMMY WIELER</v>
      </c>
      <c r="AO167" s="7" t="str">
        <f>VLOOKUP(AL167,Personal!$A$2:$I$300,6,FALSE)</f>
        <v>Técnico de Mantenimiento</v>
      </c>
      <c r="AP167" s="7" t="str">
        <f>VLOOKUP(AL167,Personal!$A$2:$I$300,7,FALSE)</f>
        <v>Mantenimiento</v>
      </c>
      <c r="AQ167" s="7" t="str">
        <f>VLOOKUP(AL167,Personal!$A$2:$I$300,8,FALSE)</f>
        <v>Mantenimiento</v>
      </c>
      <c r="AR167" s="89"/>
    </row>
    <row r="168" spans="2:44" x14ac:dyDescent="0.3">
      <c r="B168" s="6">
        <v>163</v>
      </c>
      <c r="C168" s="6"/>
      <c r="D168" s="6"/>
      <c r="E168" s="6"/>
      <c r="F168" s="6"/>
      <c r="G168" s="7" t="s">
        <v>33</v>
      </c>
      <c r="H168" s="7" t="s">
        <v>29</v>
      </c>
      <c r="I168" s="7" t="s">
        <v>48</v>
      </c>
      <c r="J168" s="7" t="s">
        <v>1113</v>
      </c>
      <c r="K168" s="10" t="s">
        <v>1645</v>
      </c>
      <c r="L168" s="7" t="s">
        <v>1114</v>
      </c>
      <c r="M168" s="7"/>
      <c r="N168" s="7"/>
      <c r="O168" s="13"/>
      <c r="P168" s="13"/>
      <c r="Q168" s="7"/>
      <c r="R168" s="7"/>
      <c r="S168" s="7"/>
      <c r="T168" s="7"/>
      <c r="U168" s="7"/>
      <c r="V168" s="7"/>
      <c r="W168" s="7"/>
      <c r="X168" s="7" t="s">
        <v>54</v>
      </c>
      <c r="Y168" s="7" t="s">
        <v>89</v>
      </c>
      <c r="Z168" s="7" t="s">
        <v>117</v>
      </c>
      <c r="AA168" s="7" t="s">
        <v>58</v>
      </c>
      <c r="AB168" s="7"/>
      <c r="AC168" s="7" t="s">
        <v>75</v>
      </c>
      <c r="AD168" s="7"/>
      <c r="AE168" s="7" t="s">
        <v>1174</v>
      </c>
      <c r="AF168" s="7"/>
      <c r="AG168" s="7" t="s">
        <v>174</v>
      </c>
      <c r="AH168" s="8"/>
      <c r="AI168" s="7"/>
      <c r="AJ168" s="7" t="s">
        <v>107</v>
      </c>
      <c r="AK168" s="7" t="s">
        <v>109</v>
      </c>
      <c r="AL168" s="9" t="s">
        <v>586</v>
      </c>
      <c r="AM168" s="7" t="str">
        <f>VLOOKUP(AL168,Personal!$A$2:$I$300,2,FALSE)</f>
        <v>0000001496</v>
      </c>
      <c r="AN168" s="7" t="str">
        <f>VLOOKUP(AL168,Personal!$A$2:$I$300,3,FALSE)</f>
        <v>GAMARRA MARCELO TONY EISNTEIN</v>
      </c>
      <c r="AO168" s="7" t="str">
        <f>VLOOKUP(AL168,Personal!$A$2:$I$300,6,FALSE)</f>
        <v xml:space="preserve"> Técnico Electricista</v>
      </c>
      <c r="AP168" s="7" t="str">
        <f>VLOOKUP(AL168,Personal!$A$2:$I$300,7,FALSE)</f>
        <v>Mantenimiento</v>
      </c>
      <c r="AQ168" s="7" t="str">
        <f>VLOOKUP(AL168,Personal!$A$2:$I$300,8,FALSE)</f>
        <v>Mantenimiento</v>
      </c>
      <c r="AR168" s="7"/>
    </row>
    <row r="169" spans="2:44" x14ac:dyDescent="0.3">
      <c r="B169" s="6">
        <v>164</v>
      </c>
      <c r="C169" s="6"/>
      <c r="D169" s="6"/>
      <c r="E169" s="6"/>
      <c r="F169" s="6"/>
      <c r="G169" s="7" t="s">
        <v>33</v>
      </c>
      <c r="H169" s="7" t="s">
        <v>29</v>
      </c>
      <c r="I169" s="7" t="s">
        <v>46</v>
      </c>
      <c r="J169" s="7" t="s">
        <v>193</v>
      </c>
      <c r="K169" s="10" t="s">
        <v>1646</v>
      </c>
      <c r="L169" s="7" t="s">
        <v>1290</v>
      </c>
      <c r="M169" s="7"/>
      <c r="N169" s="7"/>
      <c r="O169" s="13"/>
      <c r="P169" s="13"/>
      <c r="Q169" s="7"/>
      <c r="R169" s="7"/>
      <c r="S169" s="7"/>
      <c r="T169" s="7"/>
      <c r="U169" s="7" t="s">
        <v>1653</v>
      </c>
      <c r="V169" s="7"/>
      <c r="W169" s="7" t="s">
        <v>1652</v>
      </c>
      <c r="X169" s="7" t="s">
        <v>54</v>
      </c>
      <c r="Y169" s="7" t="s">
        <v>89</v>
      </c>
      <c r="Z169" s="7" t="s">
        <v>117</v>
      </c>
      <c r="AA169" s="7" t="s">
        <v>60</v>
      </c>
      <c r="AB169" s="7"/>
      <c r="AC169" s="7" t="s">
        <v>234</v>
      </c>
      <c r="AD169" s="7"/>
      <c r="AE169" s="7" t="s">
        <v>88</v>
      </c>
      <c r="AF169" s="7"/>
      <c r="AG169" s="7" t="s">
        <v>174</v>
      </c>
      <c r="AH169" s="8"/>
      <c r="AI169" s="7"/>
      <c r="AJ169" s="7" t="s">
        <v>107</v>
      </c>
      <c r="AK169" s="7" t="s">
        <v>109</v>
      </c>
      <c r="AL169" s="9" t="s">
        <v>1647</v>
      </c>
      <c r="AM169" s="7" t="str">
        <f>VLOOKUP(AL169,Personal!$A$2:$I$300,2,FALSE)</f>
        <v>0000001697</v>
      </c>
      <c r="AN169" s="7" t="str">
        <f>VLOOKUP(AL169,Personal!$A$2:$I$300,3,FALSE)</f>
        <v>NOVOA ZACIGA MEY-LIN</v>
      </c>
      <c r="AO169" s="7" t="str">
        <f>VLOOKUP(AL169,Personal!$A$2:$I$300,6,FALSE)</f>
        <v>Recepcionista</v>
      </c>
      <c r="AP169" s="7" t="str">
        <f>VLOOKUP(AL169,Personal!$A$2:$I$300,7,FALSE)</f>
        <v>Recepción</v>
      </c>
      <c r="AQ169" s="7" t="str">
        <f>VLOOKUP(AL169,Personal!$A$2:$I$300,8,FALSE)</f>
        <v>División de Habitaciones (Operaciones)</v>
      </c>
      <c r="AR169" s="89"/>
    </row>
    <row r="170" spans="2:44" x14ac:dyDescent="0.3">
      <c r="B170" s="6">
        <v>165</v>
      </c>
      <c r="C170" s="6"/>
      <c r="D170" s="6"/>
      <c r="E170" s="6"/>
      <c r="F170" s="6"/>
      <c r="G170" s="7" t="s">
        <v>33</v>
      </c>
      <c r="H170" s="7" t="s">
        <v>29</v>
      </c>
      <c r="I170" s="7" t="s">
        <v>46</v>
      </c>
      <c r="J170" s="7" t="s">
        <v>193</v>
      </c>
      <c r="K170" s="10" t="s">
        <v>1654</v>
      </c>
      <c r="L170" s="7" t="s">
        <v>1290</v>
      </c>
      <c r="M170" s="7"/>
      <c r="N170" s="7"/>
      <c r="O170" s="13"/>
      <c r="P170" s="13"/>
      <c r="Q170" s="7"/>
      <c r="R170" s="7"/>
      <c r="S170" s="7"/>
      <c r="T170" s="7"/>
      <c r="U170" s="7" t="s">
        <v>1655</v>
      </c>
      <c r="V170" s="7" t="s">
        <v>1656</v>
      </c>
      <c r="W170" s="7"/>
      <c r="X170" s="7" t="s">
        <v>54</v>
      </c>
      <c r="Y170" s="7" t="s">
        <v>89</v>
      </c>
      <c r="Z170" s="7" t="s">
        <v>117</v>
      </c>
      <c r="AA170" s="7" t="s">
        <v>60</v>
      </c>
      <c r="AB170" s="7"/>
      <c r="AC170" s="7" t="s">
        <v>234</v>
      </c>
      <c r="AD170" s="7"/>
      <c r="AE170" s="7" t="s">
        <v>88</v>
      </c>
      <c r="AF170" s="7"/>
      <c r="AG170" s="7" t="s">
        <v>174</v>
      </c>
      <c r="AH170" s="8"/>
      <c r="AI170" s="7"/>
      <c r="AJ170" s="7" t="s">
        <v>107</v>
      </c>
      <c r="AK170" s="7" t="s">
        <v>109</v>
      </c>
      <c r="AL170" s="9" t="s">
        <v>572</v>
      </c>
      <c r="AM170" s="7" t="str">
        <f>VLOOKUP(AL170,Personal!$A$2:$I$300,2,FALSE)</f>
        <v>0000001151</v>
      </c>
      <c r="AN170" s="7" t="str">
        <f>VLOOKUP(AL170,Personal!$A$2:$I$300,3,FALSE)</f>
        <v>LUNA MARIÑO FANNY ISABEL</v>
      </c>
      <c r="AO170" s="7" t="str">
        <f>VLOOKUP(AL170,Personal!$A$2:$I$300,6,FALSE)</f>
        <v xml:space="preserve">Jefe de Recepción </v>
      </c>
      <c r="AP170" s="7" t="str">
        <f>VLOOKUP(AL170,Personal!$A$2:$I$300,7,FALSE)</f>
        <v>Recepción</v>
      </c>
      <c r="AQ170" s="7" t="str">
        <f>VLOOKUP(AL170,Personal!$A$2:$I$300,8,FALSE)</f>
        <v>División de Habitaciones (Operaciones)</v>
      </c>
      <c r="AR170" s="89"/>
    </row>
    <row r="171" spans="2:44" x14ac:dyDescent="0.3">
      <c r="B171" s="6">
        <v>166</v>
      </c>
      <c r="C171" s="6"/>
      <c r="D171" s="6"/>
      <c r="E171" s="6"/>
      <c r="F171" s="6"/>
      <c r="G171" s="7" t="s">
        <v>33</v>
      </c>
      <c r="H171" s="7" t="s">
        <v>29</v>
      </c>
      <c r="I171" s="7" t="s">
        <v>46</v>
      </c>
      <c r="J171" s="7" t="s">
        <v>193</v>
      </c>
      <c r="K171" s="10" t="s">
        <v>1660</v>
      </c>
      <c r="L171" s="7" t="s">
        <v>1290</v>
      </c>
      <c r="M171" s="7"/>
      <c r="N171" s="7"/>
      <c r="O171" s="13"/>
      <c r="P171" s="13"/>
      <c r="Q171" s="7"/>
      <c r="R171" s="7"/>
      <c r="S171" s="7" t="s">
        <v>1662</v>
      </c>
      <c r="T171" s="7"/>
      <c r="U171" s="7" t="s">
        <v>1661</v>
      </c>
      <c r="V171" s="7"/>
      <c r="W171" s="7" t="s">
        <v>1408</v>
      </c>
      <c r="X171" s="7" t="s">
        <v>54</v>
      </c>
      <c r="Y171" s="7" t="s">
        <v>89</v>
      </c>
      <c r="Z171" s="7" t="s">
        <v>117</v>
      </c>
      <c r="AA171" s="7" t="s">
        <v>60</v>
      </c>
      <c r="AB171" s="7"/>
      <c r="AC171" s="7" t="s">
        <v>234</v>
      </c>
      <c r="AD171" s="7"/>
      <c r="AE171" s="7" t="s">
        <v>88</v>
      </c>
      <c r="AF171" s="7"/>
      <c r="AG171" s="7" t="s">
        <v>174</v>
      </c>
      <c r="AH171" s="8"/>
      <c r="AI171" s="7"/>
      <c r="AJ171" s="7" t="s">
        <v>107</v>
      </c>
      <c r="AK171" s="7" t="s">
        <v>109</v>
      </c>
      <c r="AL171" s="9" t="s">
        <v>980</v>
      </c>
      <c r="AM171" s="7" t="str">
        <f>VLOOKUP(AL171,Personal!$A$2:$I$300,2,FALSE)</f>
        <v>0000P00625</v>
      </c>
      <c r="AN171" s="7" t="str">
        <f>VLOOKUP(AL171,Personal!$A$2:$I$300,3,FALSE)</f>
        <v>HUAYAMA INGAROCA MERCEDES GRACIELA</v>
      </c>
      <c r="AO171" s="7" t="str">
        <f>VLOOKUP(AL171,Personal!$A$2:$I$300,6,FALSE)</f>
        <v>Practicante de Contabilidad</v>
      </c>
      <c r="AP171" s="7" t="str">
        <f>VLOOKUP(AL171,Personal!$A$2:$I$300,7,FALSE)</f>
        <v>Contabilidad</v>
      </c>
      <c r="AQ171" s="7" t="str">
        <f>VLOOKUP(AL171,Personal!$A$2:$I$300,8,FALSE)</f>
        <v>Contraloría</v>
      </c>
      <c r="AR171" s="7"/>
    </row>
    <row r="172" spans="2:44" x14ac:dyDescent="0.3">
      <c r="B172" s="6">
        <v>167</v>
      </c>
      <c r="C172" s="6"/>
      <c r="D172" s="6"/>
      <c r="E172" s="6"/>
      <c r="F172" s="6"/>
      <c r="G172" s="7" t="s">
        <v>33</v>
      </c>
      <c r="H172" s="7" t="s">
        <v>29</v>
      </c>
      <c r="I172" s="7" t="s">
        <v>46</v>
      </c>
      <c r="J172" s="7" t="s">
        <v>193</v>
      </c>
      <c r="K172" s="10" t="s">
        <v>1663</v>
      </c>
      <c r="L172" s="7" t="s">
        <v>1290</v>
      </c>
      <c r="M172" s="7"/>
      <c r="N172" s="7"/>
      <c r="O172" s="13"/>
      <c r="P172" s="13"/>
      <c r="Q172" s="7"/>
      <c r="R172" s="7"/>
      <c r="S172" s="7"/>
      <c r="T172" s="7"/>
      <c r="U172" s="7" t="s">
        <v>1447</v>
      </c>
      <c r="V172" s="7" t="s">
        <v>1789</v>
      </c>
      <c r="W172" s="7" t="s">
        <v>1395</v>
      </c>
      <c r="X172" s="7" t="s">
        <v>54</v>
      </c>
      <c r="Y172" s="7" t="s">
        <v>89</v>
      </c>
      <c r="Z172" s="7" t="s">
        <v>117</v>
      </c>
      <c r="AA172" s="7" t="s">
        <v>59</v>
      </c>
      <c r="AB172" s="7"/>
      <c r="AC172" s="7" t="s">
        <v>234</v>
      </c>
      <c r="AD172" s="7"/>
      <c r="AE172" s="7" t="s">
        <v>88</v>
      </c>
      <c r="AF172" s="7"/>
      <c r="AG172" s="7" t="s">
        <v>175</v>
      </c>
      <c r="AH172" s="8"/>
      <c r="AI172" s="7"/>
      <c r="AJ172" s="7" t="s">
        <v>107</v>
      </c>
      <c r="AK172" s="7" t="s">
        <v>109</v>
      </c>
      <c r="AL172" s="9" t="s">
        <v>696</v>
      </c>
      <c r="AM172" s="7" t="str">
        <f>VLOOKUP(AL172,Personal!$A$2:$I$300,2,FALSE)</f>
        <v>0000001576</v>
      </c>
      <c r="AN172" s="7" t="str">
        <f>VLOOKUP(AL172,Personal!$A$2:$I$300,3,FALSE)</f>
        <v>MARQUEZ GODOY LUIS ANGEL</v>
      </c>
      <c r="AO172" s="7" t="str">
        <f>VLOOKUP(AL172,Personal!$A$2:$I$300,6,FALSE)</f>
        <v>Analista de Seguridad y Salud en el Trabajo</v>
      </c>
      <c r="AP172" s="7" t="str">
        <f>VLOOKUP(AL172,Personal!$A$2:$I$300,7,FALSE)</f>
        <v>Seguridad y Salud en el Trabajo</v>
      </c>
      <c r="AQ172" s="7" t="str">
        <f>VLOOKUP(AL172,Personal!$A$2:$I$300,8,FALSE)</f>
        <v>Control y Monitoreo</v>
      </c>
      <c r="AR172" s="89"/>
    </row>
    <row r="173" spans="2:44" x14ac:dyDescent="0.3">
      <c r="B173" s="6">
        <v>168</v>
      </c>
      <c r="C173" s="6"/>
      <c r="D173" s="6"/>
      <c r="E173" s="6"/>
      <c r="F173" s="6"/>
      <c r="G173" s="7" t="s">
        <v>1671</v>
      </c>
      <c r="H173" s="7" t="s">
        <v>29</v>
      </c>
      <c r="I173" s="7" t="s">
        <v>1672</v>
      </c>
      <c r="J173" s="7"/>
      <c r="K173" s="10"/>
      <c r="L173" s="7"/>
      <c r="M173" s="7"/>
      <c r="N173" s="7"/>
      <c r="O173" s="13"/>
      <c r="P173" s="13"/>
      <c r="Q173" s="7"/>
      <c r="R173" s="7"/>
      <c r="S173" s="7" t="s">
        <v>1674</v>
      </c>
      <c r="T173" s="7"/>
      <c r="U173" s="7"/>
      <c r="V173" s="7"/>
      <c r="W173" s="7" t="s">
        <v>1675</v>
      </c>
      <c r="X173" s="7" t="s">
        <v>1676</v>
      </c>
      <c r="Y173" s="7"/>
      <c r="Z173" s="7" t="s">
        <v>117</v>
      </c>
      <c r="AA173" s="7" t="s">
        <v>58</v>
      </c>
      <c r="AB173" s="7"/>
      <c r="AC173" s="7" t="s">
        <v>145</v>
      </c>
      <c r="AD173" s="7"/>
      <c r="AE173" s="7" t="s">
        <v>1673</v>
      </c>
      <c r="AF173" s="7" t="s">
        <v>170</v>
      </c>
      <c r="AG173" s="7"/>
      <c r="AH173" s="8"/>
      <c r="AI173" s="7"/>
      <c r="AJ173" s="7" t="s">
        <v>107</v>
      </c>
      <c r="AK173" s="7" t="s">
        <v>177</v>
      </c>
      <c r="AL173" s="10" t="s">
        <v>535</v>
      </c>
      <c r="AM173" s="7">
        <f>VLOOKUP(AL173,Personal!$A$2:$I$300,2,FALSE)</f>
        <v>0</v>
      </c>
      <c r="AN173" s="7" t="str">
        <f>VLOOKUP(AL173,Personal!$A$2:$I$300,3,FALSE)</f>
        <v>Micros</v>
      </c>
      <c r="AO173" s="7" t="str">
        <f>VLOOKUP(AL173,Personal!$A$2:$I$300,6,FALSE)</f>
        <v>Symphony</v>
      </c>
      <c r="AP173" s="7" t="str">
        <f>VLOOKUP(AL173,Personal!$A$2:$I$300,7,FALSE)</f>
        <v>La Fondue</v>
      </c>
      <c r="AQ173" s="7" t="str">
        <f>VLOOKUP(AL173,Personal!$A$2:$I$300,8,FALSE)</f>
        <v>Alimentos y Bebidas</v>
      </c>
      <c r="AR173" s="7" t="s">
        <v>2045</v>
      </c>
    </row>
    <row r="174" spans="2:44" x14ac:dyDescent="0.3">
      <c r="B174" s="6">
        <v>169</v>
      </c>
      <c r="C174" s="6"/>
      <c r="D174" s="6"/>
      <c r="E174" s="6"/>
      <c r="F174" s="6"/>
      <c r="G174" s="7" t="s">
        <v>33</v>
      </c>
      <c r="H174" s="7" t="s">
        <v>29</v>
      </c>
      <c r="I174" s="7" t="s">
        <v>47</v>
      </c>
      <c r="J174" s="7" t="s">
        <v>187</v>
      </c>
      <c r="K174" s="10"/>
      <c r="L174" s="7" t="s">
        <v>1678</v>
      </c>
      <c r="M174" s="7"/>
      <c r="N174" s="7"/>
      <c r="O174" s="13"/>
      <c r="P174" s="13"/>
      <c r="Q174" s="7"/>
      <c r="R174" s="7"/>
      <c r="S174" s="7"/>
      <c r="T174" s="7"/>
      <c r="U174" s="7" t="s">
        <v>1679</v>
      </c>
      <c r="V174" s="7"/>
      <c r="W174" s="7" t="s">
        <v>1680</v>
      </c>
      <c r="X174" s="7" t="s">
        <v>55</v>
      </c>
      <c r="Y174" s="7" t="s">
        <v>101</v>
      </c>
      <c r="Z174" s="7" t="s">
        <v>117</v>
      </c>
      <c r="AA174" s="7" t="s">
        <v>71</v>
      </c>
      <c r="AB174" s="7"/>
      <c r="AC174" s="7" t="s">
        <v>79</v>
      </c>
      <c r="AD174" s="7"/>
      <c r="AE174" s="7" t="s">
        <v>88</v>
      </c>
      <c r="AF174" s="7" t="s">
        <v>169</v>
      </c>
      <c r="AG174" s="7" t="s">
        <v>175</v>
      </c>
      <c r="AH174" s="8"/>
      <c r="AI174" s="7"/>
      <c r="AJ174" s="7" t="s">
        <v>107</v>
      </c>
      <c r="AK174" s="7" t="s">
        <v>109</v>
      </c>
      <c r="AL174" s="9" t="s">
        <v>329</v>
      </c>
      <c r="AM174" s="7" t="str">
        <f>VLOOKUP(AL174,Personal!$A$2:$I$300,2,FALSE)</f>
        <v>0000000566</v>
      </c>
      <c r="AN174" s="7" t="str">
        <f>VLOOKUP(AL174,Personal!$A$2:$I$300,3,FALSE)</f>
        <v>FLORES RAMIREZ PERCY FERNANDO</v>
      </c>
      <c r="AO174" s="7" t="str">
        <f>VLOOKUP(AL174,Personal!$A$2:$I$300,6,FALSE)</f>
        <v>Asistente de Cuentas por Cobrar</v>
      </c>
      <c r="AP174" s="7" t="str">
        <f>VLOOKUP(AL174,Personal!$A$2:$I$300,7,FALSE)</f>
        <v>Contabilidad</v>
      </c>
      <c r="AQ174" s="7" t="str">
        <f>VLOOKUP(AL174,Personal!$A$2:$I$300,8,FALSE)</f>
        <v>Contraloría</v>
      </c>
      <c r="AR174" s="7"/>
    </row>
    <row r="175" spans="2:44" x14ac:dyDescent="0.3">
      <c r="B175" s="6">
        <v>170</v>
      </c>
      <c r="C175" s="6"/>
      <c r="D175" s="6"/>
      <c r="E175" s="6"/>
      <c r="F175" s="6"/>
      <c r="G175" s="7" t="s">
        <v>35</v>
      </c>
      <c r="H175" s="7" t="s">
        <v>29</v>
      </c>
      <c r="I175" s="7" t="s">
        <v>46</v>
      </c>
      <c r="J175" s="7" t="s">
        <v>226</v>
      </c>
      <c r="K175" s="10" t="s">
        <v>1688</v>
      </c>
      <c r="L175" s="7"/>
      <c r="M175" s="7"/>
      <c r="N175" s="7"/>
      <c r="O175" s="13"/>
      <c r="P175" s="13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 t="s">
        <v>82</v>
      </c>
      <c r="AE175" s="7"/>
      <c r="AF175" s="7"/>
      <c r="AG175" s="7"/>
      <c r="AH175" s="8"/>
      <c r="AI175" s="7"/>
      <c r="AJ175" s="7" t="s">
        <v>107</v>
      </c>
      <c r="AK175" s="7" t="s">
        <v>109</v>
      </c>
      <c r="AL175" s="9" t="s">
        <v>1684</v>
      </c>
      <c r="AM175" s="7" t="str">
        <f>VLOOKUP(AL175,Personal!$A$2:$I$300,2,FALSE)</f>
        <v>0000P00756</v>
      </c>
      <c r="AN175" s="7" t="str">
        <f>VLOOKUP(AL175,Personal!$A$2:$I$300,3,FALSE)</f>
        <v>FONG SARAVIA ALEJANDRO FONG</v>
      </c>
      <c r="AO175" s="7" t="str">
        <f>VLOOKUP(AL175,Personal!$A$2:$I$300,6,FALSE)</f>
        <v>Practicante de Mantenimiento</v>
      </c>
      <c r="AP175" s="7" t="str">
        <f>VLOOKUP(AL175,Personal!$A$2:$I$300,7,FALSE)</f>
        <v>Mantenimiento</v>
      </c>
      <c r="AQ175" s="7" t="str">
        <f>VLOOKUP(AL175,Personal!$A$2:$I$300,8,FALSE)</f>
        <v>Mantenimiento</v>
      </c>
      <c r="AR175" s="7"/>
    </row>
    <row r="176" spans="2:44" x14ac:dyDescent="0.3">
      <c r="B176" s="6">
        <v>171</v>
      </c>
      <c r="C176" s="6"/>
      <c r="D176" s="6"/>
      <c r="E176" s="6"/>
      <c r="F176" s="6"/>
      <c r="G176" s="7" t="s">
        <v>33</v>
      </c>
      <c r="H176" s="7" t="s">
        <v>29</v>
      </c>
      <c r="I176" s="7" t="s">
        <v>48</v>
      </c>
      <c r="J176" s="7" t="s">
        <v>1113</v>
      </c>
      <c r="K176" s="10" t="s">
        <v>1693</v>
      </c>
      <c r="L176" s="7" t="s">
        <v>1114</v>
      </c>
      <c r="M176" s="7"/>
      <c r="N176" s="7"/>
      <c r="O176" s="13"/>
      <c r="P176" s="13"/>
      <c r="Q176" s="7"/>
      <c r="R176" s="7"/>
      <c r="S176" s="7" t="s">
        <v>1694</v>
      </c>
      <c r="T176" s="7"/>
      <c r="U176" s="7" t="s">
        <v>1695</v>
      </c>
      <c r="V176" s="7" t="s">
        <v>1696</v>
      </c>
      <c r="W176" s="7"/>
      <c r="X176" s="7" t="s">
        <v>54</v>
      </c>
      <c r="Y176" s="7" t="s">
        <v>89</v>
      </c>
      <c r="Z176" s="7" t="s">
        <v>117</v>
      </c>
      <c r="AA176" s="7" t="s">
        <v>59</v>
      </c>
      <c r="AB176" s="7"/>
      <c r="AC176" s="7" t="s">
        <v>77</v>
      </c>
      <c r="AD176" s="7"/>
      <c r="AE176" s="7" t="s">
        <v>88</v>
      </c>
      <c r="AF176" s="7"/>
      <c r="AG176" s="7" t="s">
        <v>174</v>
      </c>
      <c r="AH176" s="8"/>
      <c r="AI176" s="7"/>
      <c r="AJ176" s="7" t="s">
        <v>107</v>
      </c>
      <c r="AK176" s="7" t="s">
        <v>109</v>
      </c>
      <c r="AL176" s="9" t="s">
        <v>637</v>
      </c>
      <c r="AM176" s="7" t="str">
        <f>VLOOKUP(AL176,Personal!$A$2:$I$300,2,FALSE)</f>
        <v>0000001542</v>
      </c>
      <c r="AN176" s="7" t="str">
        <f>VLOOKUP(AL176,Personal!$A$2:$I$300,3,FALSE)</f>
        <v>RODRIGUEZ ESPINOZA CYANE MILAGROS</v>
      </c>
      <c r="AO176" s="7" t="str">
        <f>VLOOKUP(AL176,Personal!$A$2:$I$300,6,FALSE)</f>
        <v xml:space="preserve">Consejero Gastronómico </v>
      </c>
      <c r="AP176" s="7" t="str">
        <f>VLOOKUP(AL176,Personal!$A$2:$I$300,7,FALSE)</f>
        <v>Piso Ejecutivo</v>
      </c>
      <c r="AQ176" s="7" t="str">
        <f>VLOOKUP(AL176,Personal!$A$2:$I$300,8,FALSE)</f>
        <v>Alimentos y Bebidas</v>
      </c>
      <c r="AR176" s="7"/>
    </row>
    <row r="177" spans="2:44" x14ac:dyDescent="0.3">
      <c r="B177" s="6">
        <v>172</v>
      </c>
      <c r="C177" s="6"/>
      <c r="D177" s="6"/>
      <c r="E177" s="6"/>
      <c r="F177" s="6"/>
      <c r="G177" s="7" t="s">
        <v>36</v>
      </c>
      <c r="H177" s="7" t="s">
        <v>29</v>
      </c>
      <c r="I177" s="7" t="s">
        <v>125</v>
      </c>
      <c r="J177" s="7" t="s">
        <v>1700</v>
      </c>
      <c r="K177" s="10" t="s">
        <v>1699</v>
      </c>
      <c r="L177" s="7"/>
      <c r="M177" s="7" t="s">
        <v>50</v>
      </c>
      <c r="N177" s="7">
        <v>951978376</v>
      </c>
      <c r="O177" s="13">
        <v>354715602692837</v>
      </c>
      <c r="P177" s="13"/>
      <c r="Q177" s="7"/>
      <c r="R177" s="7"/>
      <c r="S177" s="7"/>
      <c r="T177" s="7" t="s">
        <v>1701</v>
      </c>
      <c r="U177" s="7"/>
      <c r="V177" s="7"/>
      <c r="W177" s="7"/>
      <c r="X177" s="7" t="s">
        <v>140</v>
      </c>
      <c r="Y177" s="7"/>
      <c r="Z177" s="7"/>
      <c r="AA177" s="7" t="s">
        <v>142</v>
      </c>
      <c r="AB177" s="7"/>
      <c r="AC177" s="7" t="s">
        <v>146</v>
      </c>
      <c r="AD177" s="7"/>
      <c r="AE177" s="7" t="s">
        <v>162</v>
      </c>
      <c r="AF177" s="7"/>
      <c r="AG177" s="7"/>
      <c r="AH177" s="8"/>
      <c r="AI177" s="7"/>
      <c r="AJ177" s="7" t="s">
        <v>107</v>
      </c>
      <c r="AK177" s="7" t="s">
        <v>109</v>
      </c>
      <c r="AL177" s="9" t="s">
        <v>303</v>
      </c>
      <c r="AM177" s="7" t="str">
        <f>VLOOKUP(AL177,Personal!$A$2:$I$300,2,FALSE)</f>
        <v>0000000304</v>
      </c>
      <c r="AN177" s="7" t="str">
        <f>VLOOKUP(AL177,Personal!$A$2:$I$300,3,FALSE)</f>
        <v>LLANCA ZUÑIGA JIMMY WIELER</v>
      </c>
      <c r="AO177" s="7" t="str">
        <f>VLOOKUP(AL177,Personal!$A$2:$I$300,6,FALSE)</f>
        <v>Técnico de Mantenimiento</v>
      </c>
      <c r="AP177" s="7" t="str">
        <f>VLOOKUP(AL177,Personal!$A$2:$I$300,7,FALSE)</f>
        <v>Mantenimiento</v>
      </c>
      <c r="AQ177" s="7" t="str">
        <f>VLOOKUP(AL177,Personal!$A$2:$I$300,8,FALSE)</f>
        <v>Mantenimiento</v>
      </c>
      <c r="AR177" s="7"/>
    </row>
    <row r="178" spans="2:44" x14ac:dyDescent="0.3">
      <c r="B178" s="6">
        <v>173</v>
      </c>
      <c r="C178" s="6"/>
      <c r="D178" s="6"/>
      <c r="E178" s="6"/>
      <c r="F178" s="6"/>
      <c r="G178" s="7" t="s">
        <v>36</v>
      </c>
      <c r="H178" s="7" t="s">
        <v>29</v>
      </c>
      <c r="I178" s="7" t="s">
        <v>1797</v>
      </c>
      <c r="J178" s="7" t="s">
        <v>1702</v>
      </c>
      <c r="K178" s="10" t="s">
        <v>1703</v>
      </c>
      <c r="L178" s="7"/>
      <c r="M178" s="7" t="s">
        <v>50</v>
      </c>
      <c r="N178" s="7">
        <v>951475617</v>
      </c>
      <c r="O178" s="13">
        <v>865451068887800</v>
      </c>
      <c r="P178" s="13">
        <v>865451068887818</v>
      </c>
      <c r="Q178" s="7"/>
      <c r="R178" s="7"/>
      <c r="S178" s="7"/>
      <c r="T178" s="7" t="s">
        <v>1704</v>
      </c>
      <c r="U178" s="7"/>
      <c r="V178" s="7"/>
      <c r="W178" s="7"/>
      <c r="X178" s="7" t="s">
        <v>140</v>
      </c>
      <c r="Y178" s="7"/>
      <c r="Z178" s="7"/>
      <c r="AA178" s="7" t="s">
        <v>142</v>
      </c>
      <c r="AB178" s="7"/>
      <c r="AC178" s="7" t="s">
        <v>146</v>
      </c>
      <c r="AD178" s="7"/>
      <c r="AE178" s="7" t="s">
        <v>162</v>
      </c>
      <c r="AF178" s="7"/>
      <c r="AG178" s="7"/>
      <c r="AH178" s="8"/>
      <c r="AI178" s="7"/>
      <c r="AJ178" s="7" t="s">
        <v>107</v>
      </c>
      <c r="AK178" s="7" t="s">
        <v>109</v>
      </c>
      <c r="AL178" s="10" t="s">
        <v>1705</v>
      </c>
      <c r="AM178" s="7" t="str">
        <f>VLOOKUP(AL178,Personal!$A$2:$I$300,2,FALSE)</f>
        <v>Housekeeping</v>
      </c>
      <c r="AN178" s="7" t="str">
        <f>VLOOKUP(AL178,Personal!$A$2:$I$300,3,FALSE)</f>
        <v>Housekeeping</v>
      </c>
      <c r="AO178" s="7" t="str">
        <f>VLOOKUP(AL178,Personal!$A$2:$I$300,6,FALSE)</f>
        <v>Empleado de Housekeeping</v>
      </c>
      <c r="AP178" s="7" t="str">
        <f>VLOOKUP(AL178,Personal!$A$2:$I$300,7,FALSE)</f>
        <v xml:space="preserve">Housekeeping </v>
      </c>
      <c r="AQ178" s="7" t="str">
        <f>VLOOKUP(AL178,Personal!$A$2:$I$300,8,FALSE)</f>
        <v>División de Habitaciones (Operaciones)</v>
      </c>
      <c r="AR178" s="89" t="s">
        <v>1865</v>
      </c>
    </row>
    <row r="179" spans="2:44" x14ac:dyDescent="0.3">
      <c r="B179" s="6">
        <v>174</v>
      </c>
      <c r="C179" s="6"/>
      <c r="D179" s="6"/>
      <c r="E179" s="6"/>
      <c r="F179" s="6"/>
      <c r="G179" s="7" t="s">
        <v>36</v>
      </c>
      <c r="H179" s="7" t="s">
        <v>29</v>
      </c>
      <c r="I179" s="7" t="s">
        <v>1797</v>
      </c>
      <c r="J179" s="7" t="s">
        <v>1702</v>
      </c>
      <c r="K179" s="10" t="s">
        <v>1707</v>
      </c>
      <c r="L179" s="7"/>
      <c r="M179" s="7" t="s">
        <v>50</v>
      </c>
      <c r="N179" s="7">
        <v>951467104</v>
      </c>
      <c r="O179" s="13">
        <v>865451068730802</v>
      </c>
      <c r="P179" s="13">
        <v>865451068730810</v>
      </c>
      <c r="Q179" s="7"/>
      <c r="R179" s="7"/>
      <c r="S179" s="7"/>
      <c r="T179" s="7" t="s">
        <v>1708</v>
      </c>
      <c r="U179" s="7"/>
      <c r="V179" s="7"/>
      <c r="W179" s="7"/>
      <c r="X179" s="7" t="s">
        <v>140</v>
      </c>
      <c r="Y179" s="7"/>
      <c r="Z179" s="7"/>
      <c r="AA179" s="7" t="s">
        <v>142</v>
      </c>
      <c r="AB179" s="7"/>
      <c r="AC179" s="7" t="s">
        <v>146</v>
      </c>
      <c r="AD179" s="7"/>
      <c r="AE179" s="7" t="s">
        <v>162</v>
      </c>
      <c r="AF179" s="7"/>
      <c r="AG179" s="7"/>
      <c r="AH179" s="8"/>
      <c r="AI179" s="7"/>
      <c r="AJ179" s="7" t="s">
        <v>107</v>
      </c>
      <c r="AK179" s="7" t="s">
        <v>109</v>
      </c>
      <c r="AL179" s="10" t="s">
        <v>1705</v>
      </c>
      <c r="AM179" s="7" t="str">
        <f>VLOOKUP(AL179,Personal!$A$2:$I$300,2,FALSE)</f>
        <v>Housekeeping</v>
      </c>
      <c r="AN179" s="7" t="str">
        <f>VLOOKUP(AL179,Personal!$A$2:$I$300,3,FALSE)</f>
        <v>Housekeeping</v>
      </c>
      <c r="AO179" s="7" t="str">
        <f>VLOOKUP(AL179,Personal!$A$2:$I$300,6,FALSE)</f>
        <v>Empleado de Housekeeping</v>
      </c>
      <c r="AP179" s="7" t="str">
        <f>VLOOKUP(AL179,Personal!$A$2:$I$300,7,FALSE)</f>
        <v xml:space="preserve">Housekeeping </v>
      </c>
      <c r="AQ179" s="7" t="str">
        <f>VLOOKUP(AL179,Personal!$A$2:$I$300,8,FALSE)</f>
        <v>División de Habitaciones (Operaciones)</v>
      </c>
      <c r="AR179" s="89" t="s">
        <v>1865</v>
      </c>
    </row>
    <row r="180" spans="2:44" x14ac:dyDescent="0.3">
      <c r="B180" s="6">
        <v>175</v>
      </c>
      <c r="C180" s="6"/>
      <c r="D180" s="6"/>
      <c r="E180" s="6"/>
      <c r="F180" s="6"/>
      <c r="G180" s="7" t="s">
        <v>36</v>
      </c>
      <c r="H180" s="7" t="s">
        <v>29</v>
      </c>
      <c r="I180" s="7" t="s">
        <v>1797</v>
      </c>
      <c r="J180" s="7" t="s">
        <v>1710</v>
      </c>
      <c r="K180" s="88" t="s">
        <v>1711</v>
      </c>
      <c r="L180" s="7"/>
      <c r="M180" s="7" t="s">
        <v>50</v>
      </c>
      <c r="N180" s="7"/>
      <c r="O180" s="13">
        <v>862805074027367</v>
      </c>
      <c r="P180" s="13">
        <v>862805074027375</v>
      </c>
      <c r="Q180" s="7"/>
      <c r="R180" s="7"/>
      <c r="S180" s="7"/>
      <c r="T180" s="7"/>
      <c r="U180" s="7"/>
      <c r="V180" s="7"/>
      <c r="W180" s="7"/>
      <c r="X180" s="7" t="s">
        <v>140</v>
      </c>
      <c r="Y180" s="7"/>
      <c r="Z180" s="7"/>
      <c r="AA180" s="7" t="s">
        <v>142</v>
      </c>
      <c r="AB180" s="7"/>
      <c r="AC180" s="7" t="s">
        <v>146</v>
      </c>
      <c r="AD180" s="7"/>
      <c r="AE180" s="7" t="s">
        <v>162</v>
      </c>
      <c r="AF180" s="7"/>
      <c r="AG180" s="7"/>
      <c r="AH180" s="8"/>
      <c r="AI180" s="7"/>
      <c r="AJ180" s="7" t="s">
        <v>107</v>
      </c>
      <c r="AK180" s="7" t="s">
        <v>177</v>
      </c>
      <c r="AL180" s="9" t="s">
        <v>1748</v>
      </c>
      <c r="AM180" s="7">
        <f>VLOOKUP(AL180,Personal!$A$2:$I$300,2,FALSE)</f>
        <v>0</v>
      </c>
      <c r="AN180" s="7" t="str">
        <f>VLOOKUP(AL180,Personal!$A$2:$I$300,3,FALSE)</f>
        <v xml:space="preserve">Tecnologias de Información </v>
      </c>
      <c r="AO180" s="7" t="str">
        <f>VLOOKUP(AL180,Personal!$A$2:$I$300,6,FALSE)</f>
        <v xml:space="preserve">Tecnologias de Información </v>
      </c>
      <c r="AP180" s="7" t="str">
        <f>VLOOKUP(AL180,Personal!$A$2:$I$300,7,FALSE)</f>
        <v xml:space="preserve">Tecnologias de Información </v>
      </c>
      <c r="AQ180" s="7" t="str">
        <f>VLOOKUP(AL180,Personal!$A$2:$I$300,8,FALSE)</f>
        <v xml:space="preserve">Tecnologias de Información </v>
      </c>
      <c r="AR180" s="7" t="s">
        <v>1857</v>
      </c>
    </row>
    <row r="181" spans="2:44" x14ac:dyDescent="0.3">
      <c r="B181" s="6">
        <v>176</v>
      </c>
      <c r="C181" s="6"/>
      <c r="D181" s="6"/>
      <c r="E181" s="6"/>
      <c r="F181" s="6"/>
      <c r="G181" s="7" t="s">
        <v>36</v>
      </c>
      <c r="H181" s="7" t="s">
        <v>29</v>
      </c>
      <c r="I181" s="7" t="s">
        <v>125</v>
      </c>
      <c r="J181" s="7" t="s">
        <v>1700</v>
      </c>
      <c r="K181" s="10" t="s">
        <v>1712</v>
      </c>
      <c r="L181" s="7"/>
      <c r="M181" s="7" t="s">
        <v>50</v>
      </c>
      <c r="N181" s="7">
        <v>981059356</v>
      </c>
      <c r="O181" s="13">
        <v>353384837598730</v>
      </c>
      <c r="P181" s="13"/>
      <c r="Q181" s="7"/>
      <c r="R181" s="7"/>
      <c r="S181" s="7"/>
      <c r="T181" s="7"/>
      <c r="U181" s="7"/>
      <c r="V181" s="7"/>
      <c r="W181" s="7"/>
      <c r="X181" s="7" t="s">
        <v>140</v>
      </c>
      <c r="Y181" s="7"/>
      <c r="Z181" s="7"/>
      <c r="AA181" s="7" t="s">
        <v>142</v>
      </c>
      <c r="AB181" s="7"/>
      <c r="AC181" s="7" t="s">
        <v>146</v>
      </c>
      <c r="AD181" s="7"/>
      <c r="AE181" s="7" t="s">
        <v>162</v>
      </c>
      <c r="AF181" s="7"/>
      <c r="AG181" s="7"/>
      <c r="AH181" s="8"/>
      <c r="AI181" s="7"/>
      <c r="AJ181" s="7" t="s">
        <v>107</v>
      </c>
      <c r="AK181" s="7" t="s">
        <v>109</v>
      </c>
      <c r="AL181" s="9" t="s">
        <v>598</v>
      </c>
      <c r="AM181" s="7" t="str">
        <f>VLOOKUP(AL181,Personal!$A$2:$I$300,2,FALSE)</f>
        <v>0000001510</v>
      </c>
      <c r="AN181" s="7" t="str">
        <f>VLOOKUP(AL181,Personal!$A$2:$I$300,3,FALSE)</f>
        <v>CHAVEZ CRUZ MARITZA DINA</v>
      </c>
      <c r="AO181" s="7" t="str">
        <f>VLOOKUP(AL181,Personal!$A$2:$I$300,6,FALSE)</f>
        <v>Ejecutiva de Ventas</v>
      </c>
      <c r="AP181" s="7" t="str">
        <f>VLOOKUP(AL181,Personal!$A$2:$I$300,7,FALSE)</f>
        <v>Ventas</v>
      </c>
      <c r="AQ181" s="7" t="str">
        <f>VLOOKUP(AL181,Personal!$A$2:$I$300,8,FALSE)</f>
        <v>Ventas y Marketing</v>
      </c>
      <c r="AR181" s="7"/>
    </row>
    <row r="182" spans="2:44" x14ac:dyDescent="0.3">
      <c r="B182" s="6">
        <v>177</v>
      </c>
      <c r="C182" s="6"/>
      <c r="D182" s="6"/>
      <c r="E182" s="6"/>
      <c r="F182" s="6"/>
      <c r="G182" s="7" t="s">
        <v>36</v>
      </c>
      <c r="H182" s="7" t="s">
        <v>29</v>
      </c>
      <c r="I182" s="7" t="s">
        <v>137</v>
      </c>
      <c r="J182" s="7" t="s">
        <v>1713</v>
      </c>
      <c r="K182" s="9" t="s">
        <v>1714</v>
      </c>
      <c r="L182" s="7"/>
      <c r="M182" s="7" t="s">
        <v>50</v>
      </c>
      <c r="N182" s="7">
        <v>951476828</v>
      </c>
      <c r="O182" s="13">
        <v>866849060089300</v>
      </c>
      <c r="P182" s="13"/>
      <c r="Q182" s="7"/>
      <c r="R182" s="7"/>
      <c r="S182" s="7"/>
      <c r="T182" s="7"/>
      <c r="U182" s="7"/>
      <c r="V182" s="7"/>
      <c r="W182" s="7"/>
      <c r="X182" s="7" t="s">
        <v>140</v>
      </c>
      <c r="Y182" s="7"/>
      <c r="Z182" s="7"/>
      <c r="AA182" s="7" t="s">
        <v>1715</v>
      </c>
      <c r="AB182" s="7"/>
      <c r="AC182" s="7" t="s">
        <v>145</v>
      </c>
      <c r="AD182" s="7"/>
      <c r="AE182" s="7" t="s">
        <v>162</v>
      </c>
      <c r="AF182" s="7"/>
      <c r="AG182" s="7"/>
      <c r="AH182" s="8"/>
      <c r="AI182" s="7"/>
      <c r="AJ182" s="7" t="s">
        <v>107</v>
      </c>
      <c r="AK182" s="7" t="s">
        <v>109</v>
      </c>
      <c r="AL182" s="9" t="s">
        <v>341</v>
      </c>
      <c r="AM182" s="7" t="str">
        <f>VLOOKUP(AL182,Personal!$A$2:$I$300,2,FALSE)</f>
        <v>0000000735</v>
      </c>
      <c r="AN182" s="7" t="str">
        <f>VLOOKUP(AL182,Personal!$A$2:$I$300,3,FALSE)</f>
        <v>VELIZ CHUCO WILIAN</v>
      </c>
      <c r="AO182" s="7" t="str">
        <f>VLOOKUP(AL182,Personal!$A$2:$I$300,6,FALSE)</f>
        <v>Jardinero</v>
      </c>
      <c r="AP182" s="7" t="str">
        <f>VLOOKUP(AL182,Personal!$A$2:$I$300,7,FALSE)</f>
        <v>Mantenimiento</v>
      </c>
      <c r="AQ182" s="7" t="str">
        <f>VLOOKUP(AL182,Personal!$A$2:$I$300,8,FALSE)</f>
        <v>Mantenimiento</v>
      </c>
      <c r="AR182" s="7"/>
    </row>
    <row r="183" spans="2:44" x14ac:dyDescent="0.3">
      <c r="B183" s="6">
        <v>178</v>
      </c>
      <c r="C183" s="6"/>
      <c r="D183" s="6"/>
      <c r="E183" s="6"/>
      <c r="F183" s="6"/>
      <c r="G183" s="7" t="s">
        <v>33</v>
      </c>
      <c r="H183" s="7" t="s">
        <v>29</v>
      </c>
      <c r="I183" s="7" t="s">
        <v>48</v>
      </c>
      <c r="J183" s="7" t="s">
        <v>1113</v>
      </c>
      <c r="K183" s="10" t="s">
        <v>1716</v>
      </c>
      <c r="L183" s="7" t="s">
        <v>1114</v>
      </c>
      <c r="M183" s="7"/>
      <c r="N183" s="7"/>
      <c r="O183" s="13"/>
      <c r="P183" s="13"/>
      <c r="Q183" s="7"/>
      <c r="R183" s="7"/>
      <c r="S183" s="7" t="s">
        <v>1717</v>
      </c>
      <c r="T183" s="7"/>
      <c r="U183" s="7" t="s">
        <v>1503</v>
      </c>
      <c r="V183" s="7"/>
      <c r="W183" s="7" t="s">
        <v>1377</v>
      </c>
      <c r="X183" s="7" t="s">
        <v>55</v>
      </c>
      <c r="Y183" s="7" t="s">
        <v>89</v>
      </c>
      <c r="Z183" s="7" t="s">
        <v>117</v>
      </c>
      <c r="AA183" s="7" t="s">
        <v>60</v>
      </c>
      <c r="AB183" s="7"/>
      <c r="AC183" s="7" t="s">
        <v>234</v>
      </c>
      <c r="AD183" s="7"/>
      <c r="AE183" s="7" t="s">
        <v>88</v>
      </c>
      <c r="AF183" s="7" t="s">
        <v>169</v>
      </c>
      <c r="AG183" s="7" t="s">
        <v>174</v>
      </c>
      <c r="AH183" s="8"/>
      <c r="AI183" s="7"/>
      <c r="AJ183" s="7" t="s">
        <v>107</v>
      </c>
      <c r="AK183" s="7" t="s">
        <v>109</v>
      </c>
      <c r="AL183" s="9" t="s">
        <v>1718</v>
      </c>
      <c r="AM183" s="7" t="str">
        <f>VLOOKUP(AL183,Personal!$A$2:$I$300,2,FALSE)</f>
        <v>0000001709</v>
      </c>
      <c r="AN183" s="7" t="str">
        <f>VLOOKUP(AL183,Personal!$A$2:$I$300,3,FALSE)</f>
        <v>HUAMAN NUÑUBERO ROSARIO NICOLE</v>
      </c>
      <c r="AO183" s="7" t="str">
        <f>VLOOKUP(AL183,Personal!$A$2:$I$300,6,FALSE)</f>
        <v>Recepcionista Back Office</v>
      </c>
      <c r="AP183" s="7" t="str">
        <f>VLOOKUP(AL183,Personal!$A$2:$I$300,7,FALSE)</f>
        <v>Recepción</v>
      </c>
      <c r="AQ183" s="7" t="str">
        <f>VLOOKUP(AL183,Personal!$A$2:$I$300,8,FALSE)</f>
        <v>División de Habitaciones (Operaciones)</v>
      </c>
      <c r="AR183" s="89"/>
    </row>
    <row r="184" spans="2:44" x14ac:dyDescent="0.3">
      <c r="B184" s="6">
        <v>179</v>
      </c>
      <c r="C184" s="86">
        <v>46030</v>
      </c>
      <c r="D184" s="6"/>
      <c r="E184" s="6"/>
      <c r="F184" s="6" t="s">
        <v>1792</v>
      </c>
      <c r="G184" s="7" t="s">
        <v>36</v>
      </c>
      <c r="H184" s="7" t="s">
        <v>29</v>
      </c>
      <c r="I184" s="7" t="s">
        <v>125</v>
      </c>
      <c r="J184" s="7" t="s">
        <v>1700</v>
      </c>
      <c r="K184" s="10" t="s">
        <v>1741</v>
      </c>
      <c r="L184" s="7"/>
      <c r="M184" s="7" t="s">
        <v>50</v>
      </c>
      <c r="N184" s="7">
        <v>920450183</v>
      </c>
      <c r="O184" s="13">
        <v>354685617321187</v>
      </c>
      <c r="P184" s="13"/>
      <c r="Q184" s="7"/>
      <c r="R184" s="7"/>
      <c r="S184" s="7" t="s">
        <v>1742</v>
      </c>
      <c r="T184" s="7"/>
      <c r="U184" s="7"/>
      <c r="V184" s="7"/>
      <c r="W184" s="7"/>
      <c r="X184" s="7" t="s">
        <v>140</v>
      </c>
      <c r="Y184" s="7"/>
      <c r="Z184" s="7"/>
      <c r="AA184" s="7" t="s">
        <v>142</v>
      </c>
      <c r="AB184" s="7"/>
      <c r="AC184" s="7" t="s">
        <v>146</v>
      </c>
      <c r="AD184" s="7"/>
      <c r="AE184" s="7" t="s">
        <v>162</v>
      </c>
      <c r="AF184" s="7"/>
      <c r="AG184" s="7"/>
      <c r="AH184" s="8"/>
      <c r="AI184" s="7"/>
      <c r="AJ184" s="7" t="s">
        <v>107</v>
      </c>
      <c r="AK184" s="7" t="s">
        <v>109</v>
      </c>
      <c r="AL184" s="9" t="s">
        <v>1732</v>
      </c>
      <c r="AM184" s="7" t="str">
        <f>VLOOKUP(AL184,Personal!$A$2:$I$300,2,FALSE)</f>
        <v>0000000462</v>
      </c>
      <c r="AN184" s="7" t="str">
        <f>VLOOKUP(AL184,Personal!$A$2:$I$300,3,FALSE)</f>
        <v>ROMAN ZUÑIGA ANNIE PAOLA</v>
      </c>
      <c r="AO184" s="7" t="str">
        <f>VLOOKUP(AL184,Personal!$A$2:$I$300,6,FALSE)</f>
        <v>Gerente de Alimentos y Bebidas</v>
      </c>
      <c r="AP184" s="7" t="str">
        <f>VLOOKUP(AL184,Personal!$A$2:$I$300,7,FALSE)</f>
        <v>Gerencia A&amp;B</v>
      </c>
      <c r="AQ184" s="7" t="str">
        <f>VLOOKUP(AL184,Personal!$A$2:$I$300,8,FALSE)</f>
        <v>Alimentos y Bebidas</v>
      </c>
      <c r="AR184" s="7"/>
    </row>
    <row r="185" spans="2:44" x14ac:dyDescent="0.3">
      <c r="B185" s="6">
        <v>180</v>
      </c>
      <c r="C185" s="86">
        <v>46051</v>
      </c>
      <c r="D185" s="6"/>
      <c r="E185" s="6"/>
      <c r="F185" s="6" t="s">
        <v>1790</v>
      </c>
      <c r="G185" s="7" t="s">
        <v>36</v>
      </c>
      <c r="H185" s="7" t="s">
        <v>29</v>
      </c>
      <c r="I185" s="7" t="s">
        <v>125</v>
      </c>
      <c r="J185" s="7" t="s">
        <v>1700</v>
      </c>
      <c r="K185" s="10" t="s">
        <v>1746</v>
      </c>
      <c r="L185" s="7"/>
      <c r="M185" s="7" t="s">
        <v>50</v>
      </c>
      <c r="N185" s="7">
        <v>998302853</v>
      </c>
      <c r="O185" s="13">
        <v>354685617982269</v>
      </c>
      <c r="P185" s="13"/>
      <c r="Q185" s="7"/>
      <c r="R185" s="7"/>
      <c r="S185" s="7" t="s">
        <v>1747</v>
      </c>
      <c r="T185" s="7"/>
      <c r="U185" s="7"/>
      <c r="V185" s="7"/>
      <c r="W185" s="7"/>
      <c r="X185" s="7" t="s">
        <v>140</v>
      </c>
      <c r="Y185" s="7"/>
      <c r="Z185" s="7"/>
      <c r="AA185" s="7" t="s">
        <v>142</v>
      </c>
      <c r="AB185" s="7"/>
      <c r="AC185" s="7" t="s">
        <v>146</v>
      </c>
      <c r="AD185" s="7"/>
      <c r="AE185" s="7" t="s">
        <v>162</v>
      </c>
      <c r="AF185" s="7"/>
      <c r="AG185" s="7"/>
      <c r="AH185" s="8"/>
      <c r="AI185" s="7"/>
      <c r="AJ185" s="7" t="s">
        <v>107</v>
      </c>
      <c r="AK185" s="7" t="s">
        <v>109</v>
      </c>
      <c r="AL185" s="10" t="s">
        <v>500</v>
      </c>
      <c r="AM185" s="7">
        <f>VLOOKUP(AL185,Personal!$A$2:$I$300,2,FALSE)</f>
        <v>0</v>
      </c>
      <c r="AN185" s="7" t="str">
        <f>VLOOKUP(AL185,Personal!$A$2:$I$300,3,FALSE)</f>
        <v>Gerente de Turno</v>
      </c>
      <c r="AO185" s="7" t="str">
        <f>VLOOKUP(AL185,Personal!$A$2:$I$300,6,FALSE)</f>
        <v>Gerente de Turno</v>
      </c>
      <c r="AP185" s="7" t="str">
        <f>VLOOKUP(AL185,Personal!$A$2:$I$300,7,FALSE)</f>
        <v>Recepción</v>
      </c>
      <c r="AQ185" s="7" t="str">
        <f>VLOOKUP(AL185,Personal!$A$2:$I$300,8,FALSE)</f>
        <v>División de Habitaciones (Operaciones)</v>
      </c>
      <c r="AR185" s="89"/>
    </row>
    <row r="186" spans="2:44" x14ac:dyDescent="0.3">
      <c r="B186" s="6">
        <v>181</v>
      </c>
      <c r="C186" s="86">
        <v>46051</v>
      </c>
      <c r="D186" s="6"/>
      <c r="E186" s="6"/>
      <c r="F186" s="6" t="s">
        <v>1790</v>
      </c>
      <c r="G186" s="7" t="s">
        <v>36</v>
      </c>
      <c r="H186" s="7" t="s">
        <v>29</v>
      </c>
      <c r="I186" s="7" t="s">
        <v>125</v>
      </c>
      <c r="J186" s="7" t="s">
        <v>1700</v>
      </c>
      <c r="K186" s="10" t="s">
        <v>1749</v>
      </c>
      <c r="L186" s="7"/>
      <c r="M186" s="7" t="s">
        <v>50</v>
      </c>
      <c r="N186" s="7"/>
      <c r="O186" s="13">
        <v>354685617321229</v>
      </c>
      <c r="P186" s="13"/>
      <c r="Q186" s="7"/>
      <c r="R186" s="7"/>
      <c r="S186" s="7"/>
      <c r="T186" s="7"/>
      <c r="U186" s="7"/>
      <c r="V186" s="7"/>
      <c r="W186" s="7"/>
      <c r="X186" s="7" t="s">
        <v>140</v>
      </c>
      <c r="Y186" s="7"/>
      <c r="Z186" s="7"/>
      <c r="AA186" s="7" t="s">
        <v>142</v>
      </c>
      <c r="AB186" s="7"/>
      <c r="AC186" s="7" t="s">
        <v>146</v>
      </c>
      <c r="AD186" s="7"/>
      <c r="AE186" s="7" t="s">
        <v>162</v>
      </c>
      <c r="AF186" s="7"/>
      <c r="AG186" s="7"/>
      <c r="AH186" s="8"/>
      <c r="AI186" s="7"/>
      <c r="AJ186" s="7" t="s">
        <v>107</v>
      </c>
      <c r="AK186" s="113" t="s">
        <v>109</v>
      </c>
      <c r="AL186" s="9" t="s">
        <v>589</v>
      </c>
      <c r="AM186" s="7" t="str">
        <f>VLOOKUP(AL186,Personal!$A$2:$I$300,2,FALSE)</f>
        <v>0000001501</v>
      </c>
      <c r="AN186" s="7" t="str">
        <f>VLOOKUP(AL186,Personal!$A$2:$I$300,3,FALSE)</f>
        <v>YAMUNAQUE CASTILLO HECTOR ARTURO</v>
      </c>
      <c r="AO186" s="7" t="str">
        <f>VLOOKUP(AL186,Personal!$A$2:$I$300,6,FALSE)</f>
        <v>Gerente de Sistemas</v>
      </c>
      <c r="AP186" s="7" t="str">
        <f>VLOOKUP(AL186,Personal!$A$2:$I$300,7,FALSE)</f>
        <v xml:space="preserve">Tecnologias de Información </v>
      </c>
      <c r="AQ186" s="7" t="str">
        <f>VLOOKUP(AL186,Personal!$A$2:$I$300,8,FALSE)</f>
        <v xml:space="preserve">Tecnologias de Información </v>
      </c>
      <c r="AR186" s="7" t="s">
        <v>1845</v>
      </c>
    </row>
    <row r="187" spans="2:44" x14ac:dyDescent="0.3">
      <c r="B187" s="6">
        <v>182</v>
      </c>
      <c r="C187" s="86">
        <v>46051</v>
      </c>
      <c r="D187" s="6"/>
      <c r="E187" s="6"/>
      <c r="F187" s="6" t="s">
        <v>1790</v>
      </c>
      <c r="G187" s="7" t="s">
        <v>36</v>
      </c>
      <c r="H187" s="7" t="s">
        <v>29</v>
      </c>
      <c r="I187" s="7" t="s">
        <v>125</v>
      </c>
      <c r="J187" s="7" t="s">
        <v>1700</v>
      </c>
      <c r="K187" s="10" t="s">
        <v>1750</v>
      </c>
      <c r="L187" s="7"/>
      <c r="M187" s="7" t="s">
        <v>50</v>
      </c>
      <c r="N187" s="7"/>
      <c r="O187" s="13">
        <v>354685617321211</v>
      </c>
      <c r="P187" s="13"/>
      <c r="Q187" s="7"/>
      <c r="R187" s="7"/>
      <c r="S187" s="7"/>
      <c r="T187" s="7"/>
      <c r="U187" s="7"/>
      <c r="V187" s="7"/>
      <c r="W187" s="7"/>
      <c r="X187" s="7" t="s">
        <v>140</v>
      </c>
      <c r="Y187" s="7"/>
      <c r="Z187" s="7"/>
      <c r="AA187" s="7" t="s">
        <v>142</v>
      </c>
      <c r="AB187" s="7"/>
      <c r="AC187" s="7" t="s">
        <v>146</v>
      </c>
      <c r="AD187" s="7"/>
      <c r="AE187" s="7" t="s">
        <v>162</v>
      </c>
      <c r="AF187" s="7"/>
      <c r="AG187" s="7"/>
      <c r="AH187" s="8"/>
      <c r="AI187" s="7"/>
      <c r="AJ187" s="7" t="s">
        <v>107</v>
      </c>
      <c r="AK187" s="7" t="s">
        <v>178</v>
      </c>
      <c r="AL187" s="10" t="s">
        <v>1778</v>
      </c>
      <c r="AM187" s="7" t="e">
        <f>VLOOKUP(AL187,Personal!$A$2:$I$300,2,FALSE)</f>
        <v>#N/A</v>
      </c>
      <c r="AN187" s="7" t="e">
        <f>VLOOKUP(AL187,Personal!$A$2:$I$300,3,FALSE)</f>
        <v>#N/A</v>
      </c>
      <c r="AO187" s="7" t="e">
        <f>VLOOKUP(AL187,Personal!$A$2:$I$300,6,FALSE)</f>
        <v>#N/A</v>
      </c>
      <c r="AP187" s="7" t="e">
        <f>VLOOKUP(AL187,Personal!$A$2:$I$300,7,FALSE)</f>
        <v>#N/A</v>
      </c>
      <c r="AQ187" s="7" t="e">
        <f>VLOOKUP(AL187,Personal!$A$2:$I$300,8,FALSE)</f>
        <v>#N/A</v>
      </c>
      <c r="AR187" s="7" t="s">
        <v>1992</v>
      </c>
    </row>
    <row r="188" spans="2:44" x14ac:dyDescent="0.3">
      <c r="B188" s="6">
        <v>183</v>
      </c>
      <c r="C188" s="86">
        <v>46051</v>
      </c>
      <c r="D188" s="6"/>
      <c r="E188" s="6"/>
      <c r="F188" s="6" t="s">
        <v>1790</v>
      </c>
      <c r="G188" s="7" t="s">
        <v>36</v>
      </c>
      <c r="H188" s="7" t="s">
        <v>29</v>
      </c>
      <c r="I188" s="7" t="s">
        <v>125</v>
      </c>
      <c r="J188" s="7" t="s">
        <v>1700</v>
      </c>
      <c r="K188" s="10" t="s">
        <v>1751</v>
      </c>
      <c r="L188" s="7"/>
      <c r="M188" s="7" t="s">
        <v>50</v>
      </c>
      <c r="N188" s="7">
        <v>998306054</v>
      </c>
      <c r="O188" s="13">
        <v>354715604104088</v>
      </c>
      <c r="P188" s="13"/>
      <c r="Q188" s="7"/>
      <c r="R188" s="7"/>
      <c r="S188" s="7"/>
      <c r="T188" s="7"/>
      <c r="U188" s="7"/>
      <c r="V188" s="7"/>
      <c r="W188" s="7"/>
      <c r="X188" s="7" t="s">
        <v>140</v>
      </c>
      <c r="Y188" s="7"/>
      <c r="Z188" s="7"/>
      <c r="AA188" s="7" t="s">
        <v>142</v>
      </c>
      <c r="AB188" s="7"/>
      <c r="AC188" s="7" t="s">
        <v>146</v>
      </c>
      <c r="AD188" s="7"/>
      <c r="AE188" s="7" t="s">
        <v>162</v>
      </c>
      <c r="AF188" s="7"/>
      <c r="AG188" s="7"/>
      <c r="AH188" s="8"/>
      <c r="AI188" s="7"/>
      <c r="AJ188" s="7" t="s">
        <v>107</v>
      </c>
      <c r="AK188" s="7" t="s">
        <v>109</v>
      </c>
      <c r="AL188" s="9" t="s">
        <v>553</v>
      </c>
      <c r="AM188" s="7" t="str">
        <f>VLOOKUP(AL188,Personal!$A$2:$I$300,2,FALSE)</f>
        <v>0000001462</v>
      </c>
      <c r="AN188" s="7" t="str">
        <f>VLOOKUP(AL188,Personal!$A$2:$I$300,3,FALSE)</f>
        <v>HUAPAYA PEREZ LUIS ANGEL</v>
      </c>
      <c r="AO188" s="7" t="str">
        <f>VLOOKUP(AL188,Personal!$A$2:$I$300,6,FALSE)</f>
        <v>Supervisor de A&amp;B</v>
      </c>
      <c r="AP188" s="7" t="str">
        <f>VLOOKUP(AL188,Personal!$A$2:$I$300,7,FALSE)</f>
        <v>Room Service</v>
      </c>
      <c r="AQ188" s="7" t="str">
        <f>VLOOKUP(AL188,Personal!$A$2:$I$300,8,FALSE)</f>
        <v>Alimentos y Bebidas</v>
      </c>
      <c r="AR188" s="7" t="s">
        <v>1841</v>
      </c>
    </row>
    <row r="189" spans="2:44" x14ac:dyDescent="0.3">
      <c r="B189" s="6">
        <v>184</v>
      </c>
      <c r="C189" s="86">
        <v>46051</v>
      </c>
      <c r="D189" s="6"/>
      <c r="E189" s="6"/>
      <c r="F189" s="6" t="s">
        <v>1790</v>
      </c>
      <c r="G189" s="7" t="s">
        <v>36</v>
      </c>
      <c r="H189" s="7" t="s">
        <v>29</v>
      </c>
      <c r="I189" s="7" t="s">
        <v>125</v>
      </c>
      <c r="J189" s="7" t="s">
        <v>1700</v>
      </c>
      <c r="K189" s="10" t="s">
        <v>1752</v>
      </c>
      <c r="L189" s="7"/>
      <c r="M189" s="7" t="s">
        <v>50</v>
      </c>
      <c r="N189" s="7">
        <v>965644296</v>
      </c>
      <c r="O189" s="13">
        <v>354715602783594</v>
      </c>
      <c r="P189" s="13"/>
      <c r="Q189" s="7"/>
      <c r="R189" s="7"/>
      <c r="S189" s="7"/>
      <c r="T189" s="7"/>
      <c r="U189" s="7"/>
      <c r="V189" s="7"/>
      <c r="W189" s="7"/>
      <c r="X189" s="7" t="s">
        <v>140</v>
      </c>
      <c r="Y189" s="7"/>
      <c r="Z189" s="7"/>
      <c r="AA189" s="7" t="s">
        <v>142</v>
      </c>
      <c r="AB189" s="7"/>
      <c r="AC189" s="7" t="s">
        <v>146</v>
      </c>
      <c r="AD189" s="7" t="s">
        <v>148</v>
      </c>
      <c r="AE189" s="7" t="s">
        <v>162</v>
      </c>
      <c r="AF189" s="7"/>
      <c r="AG189" s="7"/>
      <c r="AH189" s="8"/>
      <c r="AI189" s="7"/>
      <c r="AJ189" s="7" t="s">
        <v>107</v>
      </c>
      <c r="AK189" s="7" t="s">
        <v>109</v>
      </c>
      <c r="AL189" s="9" t="s">
        <v>947</v>
      </c>
      <c r="AM189" s="7" t="str">
        <f>VLOOKUP(AL189,Personal!$A$2:$I$300,2,FALSE)</f>
        <v>0000001708</v>
      </c>
      <c r="AN189" s="7" t="str">
        <f>VLOOKUP(AL189,Personal!$A$2:$I$300,3,FALSE)</f>
        <v>PALACIOS CULQUI THALIA YARIM</v>
      </c>
      <c r="AO189" s="7" t="str">
        <f>VLOOKUP(AL189,Personal!$A$2:$I$300,6,FALSE)</f>
        <v>Jefe de Marketing</v>
      </c>
      <c r="AP189" s="7" t="str">
        <f>VLOOKUP(AL189,Personal!$A$2:$I$300,7,FALSE)</f>
        <v>Marketing</v>
      </c>
      <c r="AQ189" s="7" t="str">
        <f>VLOOKUP(AL189,Personal!$A$2:$I$300,8,FALSE)</f>
        <v>Ventas y Marketing</v>
      </c>
      <c r="AR189" s="7" t="s">
        <v>1914</v>
      </c>
    </row>
    <row r="190" spans="2:44" x14ac:dyDescent="0.3">
      <c r="B190" s="6">
        <v>185</v>
      </c>
      <c r="C190" s="86">
        <v>46051</v>
      </c>
      <c r="D190" s="6"/>
      <c r="E190" s="6"/>
      <c r="F190" s="6" t="s">
        <v>1790</v>
      </c>
      <c r="G190" s="7" t="s">
        <v>36</v>
      </c>
      <c r="H190" s="7" t="s">
        <v>29</v>
      </c>
      <c r="I190" s="7" t="s">
        <v>125</v>
      </c>
      <c r="J190" s="7" t="s">
        <v>1700</v>
      </c>
      <c r="K190" s="10" t="s">
        <v>1753</v>
      </c>
      <c r="L190" s="7"/>
      <c r="M190" s="7" t="s">
        <v>50</v>
      </c>
      <c r="N190" s="7">
        <v>939279594</v>
      </c>
      <c r="O190" s="13">
        <v>354685617961966</v>
      </c>
      <c r="P190" s="13"/>
      <c r="Q190" s="7"/>
      <c r="R190" s="7"/>
      <c r="S190" s="7"/>
      <c r="T190" s="7"/>
      <c r="U190" s="7"/>
      <c r="V190" s="7"/>
      <c r="W190" s="7"/>
      <c r="X190" s="7" t="s">
        <v>140</v>
      </c>
      <c r="Y190" s="7"/>
      <c r="Z190" s="7"/>
      <c r="AA190" s="7" t="s">
        <v>142</v>
      </c>
      <c r="AB190" s="7"/>
      <c r="AC190" s="7" t="s">
        <v>146</v>
      </c>
      <c r="AD190" s="7"/>
      <c r="AE190" s="7" t="s">
        <v>162</v>
      </c>
      <c r="AF190" s="7"/>
      <c r="AG190" s="7"/>
      <c r="AH190" s="8"/>
      <c r="AI190" s="7"/>
      <c r="AJ190" s="7" t="s">
        <v>107</v>
      </c>
      <c r="AK190" s="7" t="s">
        <v>109</v>
      </c>
      <c r="AL190" s="9" t="s">
        <v>1983</v>
      </c>
      <c r="AM190" s="7">
        <f>VLOOKUP(AL190,Personal!$A$2:$I$300,2,FALSE)</f>
        <v>0</v>
      </c>
      <c r="AN190" s="7" t="str">
        <f>VLOOKUP(AL190,Personal!$A$2:$I$300,3,FALSE)</f>
        <v>ALVARADO CHAVARRY JIMMY GERARDO</v>
      </c>
      <c r="AO190" s="7" t="str">
        <f>VLOOKUP(AL190,Personal!$A$2:$I$300,6,FALSE)</f>
        <v>Sub Contralor</v>
      </c>
      <c r="AP190" s="7" t="str">
        <f>VLOOKUP(AL190,Personal!$A$2:$I$300,7,FALSE)</f>
        <v>Contabilidad</v>
      </c>
      <c r="AQ190" s="7" t="str">
        <f>VLOOKUP(AL190,Personal!$A$2:$I$300,8,FALSE)</f>
        <v>Contraloría</v>
      </c>
      <c r="AR190" s="7"/>
    </row>
    <row r="191" spans="2:44" x14ac:dyDescent="0.3">
      <c r="B191" s="6">
        <v>186</v>
      </c>
      <c r="C191" s="86">
        <v>46051</v>
      </c>
      <c r="D191" s="6"/>
      <c r="E191" s="6"/>
      <c r="F191" s="6" t="s">
        <v>1790</v>
      </c>
      <c r="G191" s="7" t="s">
        <v>36</v>
      </c>
      <c r="H191" s="7" t="s">
        <v>29</v>
      </c>
      <c r="I191" s="7" t="s">
        <v>125</v>
      </c>
      <c r="J191" s="7" t="s">
        <v>1700</v>
      </c>
      <c r="K191" s="10" t="s">
        <v>1754</v>
      </c>
      <c r="L191" s="7"/>
      <c r="M191" s="7" t="s">
        <v>50</v>
      </c>
      <c r="N191" s="7"/>
      <c r="O191" s="13">
        <v>354715604101241</v>
      </c>
      <c r="P191" s="13"/>
      <c r="Q191" s="7"/>
      <c r="R191" s="7"/>
      <c r="S191" s="7"/>
      <c r="T191" s="7"/>
      <c r="U191" s="7"/>
      <c r="V191" s="7"/>
      <c r="W191" s="7"/>
      <c r="X191" s="7" t="s">
        <v>140</v>
      </c>
      <c r="Y191" s="7"/>
      <c r="Z191" s="7"/>
      <c r="AA191" s="7" t="s">
        <v>142</v>
      </c>
      <c r="AB191" s="7"/>
      <c r="AC191" s="7" t="s">
        <v>146</v>
      </c>
      <c r="AD191" s="7"/>
      <c r="AE191" s="7" t="s">
        <v>162</v>
      </c>
      <c r="AF191" s="7"/>
      <c r="AG191" s="7"/>
      <c r="AH191" s="8"/>
      <c r="AI191" s="7"/>
      <c r="AJ191" s="7" t="s">
        <v>107</v>
      </c>
      <c r="AK191" s="7" t="s">
        <v>178</v>
      </c>
      <c r="AL191" s="10" t="s">
        <v>1778</v>
      </c>
      <c r="AM191" s="7" t="e">
        <f>VLOOKUP(AL191,Personal!$A$2:$I$300,2,FALSE)</f>
        <v>#N/A</v>
      </c>
      <c r="AN191" s="7" t="e">
        <f>VLOOKUP(AL191,Personal!$A$2:$I$300,3,FALSE)</f>
        <v>#N/A</v>
      </c>
      <c r="AO191" s="7" t="e">
        <f>VLOOKUP(AL191,Personal!$A$2:$I$300,6,FALSE)</f>
        <v>#N/A</v>
      </c>
      <c r="AP191" s="7" t="e">
        <f>VLOOKUP(AL191,Personal!$A$2:$I$300,7,FALSE)</f>
        <v>#N/A</v>
      </c>
      <c r="AQ191" s="7" t="e">
        <f>VLOOKUP(AL191,Personal!$A$2:$I$300,8,FALSE)</f>
        <v>#N/A</v>
      </c>
      <c r="AR191" s="7" t="s">
        <v>1913</v>
      </c>
    </row>
    <row r="192" spans="2:44" x14ac:dyDescent="0.3">
      <c r="B192" s="6">
        <v>187</v>
      </c>
      <c r="C192" s="6"/>
      <c r="D192" s="6"/>
      <c r="E192" s="6"/>
      <c r="F192" s="6"/>
      <c r="G192" s="7" t="s">
        <v>36</v>
      </c>
      <c r="H192" s="7" t="s">
        <v>29</v>
      </c>
      <c r="I192" s="7" t="s">
        <v>1797</v>
      </c>
      <c r="J192" s="7" t="s">
        <v>1702</v>
      </c>
      <c r="K192" s="10" t="s">
        <v>1755</v>
      </c>
      <c r="L192" s="7"/>
      <c r="M192" s="7" t="s">
        <v>50</v>
      </c>
      <c r="N192" s="7">
        <v>951954496</v>
      </c>
      <c r="O192" s="13">
        <v>865451068744662</v>
      </c>
      <c r="P192" s="13">
        <v>865451068744670</v>
      </c>
      <c r="Q192" s="7"/>
      <c r="R192" s="7"/>
      <c r="S192" s="7"/>
      <c r="T192" s="7"/>
      <c r="U192" s="7"/>
      <c r="V192" s="7"/>
      <c r="W192" s="7"/>
      <c r="X192" s="7" t="s">
        <v>140</v>
      </c>
      <c r="Y192" s="7"/>
      <c r="Z192" s="7"/>
      <c r="AA192" s="7" t="s">
        <v>142</v>
      </c>
      <c r="AB192" s="7"/>
      <c r="AC192" s="7" t="s">
        <v>146</v>
      </c>
      <c r="AD192" s="7"/>
      <c r="AE192" s="7" t="s">
        <v>162</v>
      </c>
      <c r="AF192" s="7"/>
      <c r="AG192" s="7"/>
      <c r="AH192" s="8"/>
      <c r="AI192" s="7"/>
      <c r="AJ192" s="7" t="s">
        <v>107</v>
      </c>
      <c r="AK192" s="7" t="s">
        <v>177</v>
      </c>
      <c r="AL192" s="9" t="s">
        <v>288</v>
      </c>
      <c r="AM192" s="7" t="str">
        <f>VLOOKUP(AL192,Personal!$A$2:$I$300,2,FALSE)</f>
        <v>0000000269</v>
      </c>
      <c r="AN192" s="7" t="str">
        <f>VLOOKUP(AL192,Personal!$A$2:$I$300,3,FALSE)</f>
        <v>VEGA ARRATEA JAVIER VICTOR</v>
      </c>
      <c r="AO192" s="7" t="str">
        <f>VLOOKUP(AL192,Personal!$A$2:$I$300,6,FALSE)</f>
        <v>Supervisor Jr. de Steward</v>
      </c>
      <c r="AP192" s="7" t="str">
        <f>VLOOKUP(AL192,Personal!$A$2:$I$300,7,FALSE)</f>
        <v>Steward</v>
      </c>
      <c r="AQ192" s="7" t="str">
        <f>VLOOKUP(AL192,Personal!$A$2:$I$300,8,FALSE)</f>
        <v>Alimentos y Bebidas</v>
      </c>
      <c r="AR192" s="7" t="s">
        <v>1796</v>
      </c>
    </row>
    <row r="193" spans="2:44" x14ac:dyDescent="0.3">
      <c r="B193" s="6">
        <v>188</v>
      </c>
      <c r="C193" s="86">
        <v>46052</v>
      </c>
      <c r="D193" s="6"/>
      <c r="E193" s="6"/>
      <c r="F193" s="6" t="s">
        <v>1762</v>
      </c>
      <c r="G193" s="7" t="s">
        <v>36</v>
      </c>
      <c r="H193" s="7" t="s">
        <v>29</v>
      </c>
      <c r="I193" s="7" t="s">
        <v>125</v>
      </c>
      <c r="J193" s="7" t="s">
        <v>1763</v>
      </c>
      <c r="K193" s="10" t="s">
        <v>1764</v>
      </c>
      <c r="L193" s="7"/>
      <c r="M193" s="7" t="s">
        <v>50</v>
      </c>
      <c r="N193" s="7">
        <v>998308168</v>
      </c>
      <c r="O193" s="13">
        <v>351755486069192</v>
      </c>
      <c r="P193" s="13"/>
      <c r="Q193" s="7"/>
      <c r="R193" s="7"/>
      <c r="S193" s="7"/>
      <c r="T193" s="7"/>
      <c r="U193" s="7"/>
      <c r="V193" s="7"/>
      <c r="W193" s="7"/>
      <c r="X193" s="7" t="s">
        <v>140</v>
      </c>
      <c r="Y193" s="7"/>
      <c r="Z193" s="7"/>
      <c r="AA193" s="7" t="s">
        <v>142</v>
      </c>
      <c r="AB193" s="7"/>
      <c r="AC193" s="7" t="s">
        <v>146</v>
      </c>
      <c r="AD193" s="7"/>
      <c r="AE193" s="7" t="s">
        <v>162</v>
      </c>
      <c r="AF193" s="7"/>
      <c r="AG193" s="7"/>
      <c r="AH193" s="8"/>
      <c r="AI193" s="7"/>
      <c r="AJ193" s="7" t="s">
        <v>107</v>
      </c>
      <c r="AK193" s="54" t="s">
        <v>109</v>
      </c>
      <c r="AL193" s="9" t="s">
        <v>420</v>
      </c>
      <c r="AM193" s="7" t="str">
        <f>VLOOKUP(AL193,Personal!$A$2:$I$300,2,FALSE)</f>
        <v>0000001121</v>
      </c>
      <c r="AN193" s="7" t="str">
        <f>VLOOKUP(AL193,Personal!$A$2:$I$300,3,FALSE)</f>
        <v>VASQUEZ MORALES MARIELA IRAIS</v>
      </c>
      <c r="AO193" s="7" t="str">
        <f>VLOOKUP(AL193,Personal!$A$2:$I$300,6,FALSE)</f>
        <v>Gerente de Ventas Corporativas</v>
      </c>
      <c r="AP193" s="7" t="str">
        <f>VLOOKUP(AL193,Personal!$A$2:$I$300,7,FALSE)</f>
        <v>Ventas</v>
      </c>
      <c r="AQ193" s="7" t="str">
        <f>VLOOKUP(AL193,Personal!$A$2:$I$300,8,FALSE)</f>
        <v>Ventas y Marketing</v>
      </c>
      <c r="AR193" s="89"/>
    </row>
    <row r="194" spans="2:44" x14ac:dyDescent="0.3">
      <c r="B194" s="6">
        <v>189</v>
      </c>
      <c r="C194" s="86">
        <v>46052</v>
      </c>
      <c r="D194" s="6"/>
      <c r="E194" s="6"/>
      <c r="F194" s="6" t="s">
        <v>1762</v>
      </c>
      <c r="G194" s="7" t="s">
        <v>36</v>
      </c>
      <c r="H194" s="7" t="s">
        <v>29</v>
      </c>
      <c r="I194" s="7" t="s">
        <v>125</v>
      </c>
      <c r="J194" s="7" t="s">
        <v>1763</v>
      </c>
      <c r="K194" s="10" t="s">
        <v>1765</v>
      </c>
      <c r="L194" s="7"/>
      <c r="M194" s="7" t="s">
        <v>50</v>
      </c>
      <c r="N194" s="7">
        <v>951467930</v>
      </c>
      <c r="O194" s="13">
        <v>351755486056314</v>
      </c>
      <c r="P194" s="13"/>
      <c r="Q194" s="7"/>
      <c r="R194" s="7"/>
      <c r="S194" s="7"/>
      <c r="T194" s="7"/>
      <c r="U194" s="7"/>
      <c r="V194" s="7"/>
      <c r="W194" s="7"/>
      <c r="X194" s="7" t="s">
        <v>140</v>
      </c>
      <c r="Y194" s="7"/>
      <c r="Z194" s="7"/>
      <c r="AA194" s="7" t="s">
        <v>142</v>
      </c>
      <c r="AB194" s="7"/>
      <c r="AC194" s="7" t="s">
        <v>146</v>
      </c>
      <c r="AD194" s="7"/>
      <c r="AE194" s="7" t="s">
        <v>162</v>
      </c>
      <c r="AF194" s="7"/>
      <c r="AG194" s="7"/>
      <c r="AH194" s="8"/>
      <c r="AI194" s="7"/>
      <c r="AJ194" s="7" t="s">
        <v>107</v>
      </c>
      <c r="AK194" s="7" t="s">
        <v>109</v>
      </c>
      <c r="AL194" s="9" t="s">
        <v>1542</v>
      </c>
      <c r="AM194" s="7" t="str">
        <f>VLOOKUP(AL194,Personal!$A$2:$I$300,2,FALSE)</f>
        <v>0000001717</v>
      </c>
      <c r="AN194" s="7" t="str">
        <f>VLOOKUP(AL194,Personal!$A$2:$I$300,3,FALSE)</f>
        <v>QUISPILAYA FACHE DIANA KATHERINE</v>
      </c>
      <c r="AO194" s="7" t="str">
        <f>VLOOKUP(AL194,Personal!$A$2:$I$300,6,FALSE)</f>
        <v>Coordinador de Eventos</v>
      </c>
      <c r="AP194" s="7" t="str">
        <f>VLOOKUP(AL194,Personal!$A$2:$I$300,7,FALSE)</f>
        <v>Ventas</v>
      </c>
      <c r="AQ194" s="7" t="str">
        <f>VLOOKUP(AL194,Personal!$A$2:$I$300,8,FALSE)</f>
        <v>Ventas y Marketing</v>
      </c>
      <c r="AR194" s="89"/>
    </row>
    <row r="195" spans="2:44" x14ac:dyDescent="0.3">
      <c r="B195" s="6">
        <v>190</v>
      </c>
      <c r="C195" s="86">
        <v>46052</v>
      </c>
      <c r="D195" s="6"/>
      <c r="E195" s="6"/>
      <c r="F195" s="6" t="s">
        <v>1762</v>
      </c>
      <c r="G195" s="7" t="s">
        <v>36</v>
      </c>
      <c r="H195" s="7" t="s">
        <v>29</v>
      </c>
      <c r="I195" s="7" t="s">
        <v>125</v>
      </c>
      <c r="J195" s="7" t="s">
        <v>1763</v>
      </c>
      <c r="K195" s="10" t="s">
        <v>1766</v>
      </c>
      <c r="L195" s="7"/>
      <c r="M195" s="7" t="s">
        <v>50</v>
      </c>
      <c r="N195" s="7"/>
      <c r="O195" s="13">
        <v>351755486069523</v>
      </c>
      <c r="P195" s="13"/>
      <c r="Q195" s="7"/>
      <c r="R195" s="7"/>
      <c r="S195" s="7"/>
      <c r="T195" s="7"/>
      <c r="U195" s="7"/>
      <c r="V195" s="7"/>
      <c r="W195" s="7"/>
      <c r="X195" s="7" t="s">
        <v>140</v>
      </c>
      <c r="Y195" s="7"/>
      <c r="Z195" s="7"/>
      <c r="AA195" s="7" t="s">
        <v>142</v>
      </c>
      <c r="AB195" s="7"/>
      <c r="AC195" s="7" t="s">
        <v>146</v>
      </c>
      <c r="AD195" s="7"/>
      <c r="AE195" s="7" t="s">
        <v>162</v>
      </c>
      <c r="AF195" s="7"/>
      <c r="AG195" s="7"/>
      <c r="AH195" s="8"/>
      <c r="AI195" s="7"/>
      <c r="AJ195" s="7" t="s">
        <v>107</v>
      </c>
      <c r="AK195" s="7" t="s">
        <v>176</v>
      </c>
      <c r="AL195" s="10" t="s">
        <v>1748</v>
      </c>
      <c r="AM195" s="7">
        <f>VLOOKUP(AL195,Personal!$A$2:$I$300,2,FALSE)</f>
        <v>0</v>
      </c>
      <c r="AN195" s="7" t="str">
        <f>VLOOKUP(AL195,Personal!$A$2:$I$300,3,FALSE)</f>
        <v xml:space="preserve">Tecnologias de Información </v>
      </c>
      <c r="AO195" s="7" t="str">
        <f>VLOOKUP(AL195,Personal!$A$2:$I$300,6,FALSE)</f>
        <v xml:space="preserve">Tecnologias de Información </v>
      </c>
      <c r="AP195" s="7" t="str">
        <f>VLOOKUP(AL195,Personal!$A$2:$I$300,7,FALSE)</f>
        <v xml:space="preserve">Tecnologias de Información </v>
      </c>
      <c r="AQ195" s="7" t="str">
        <f>VLOOKUP(AL195,Personal!$A$2:$I$300,8,FALSE)</f>
        <v xml:space="preserve">Tecnologias de Información </v>
      </c>
      <c r="AR195" s="89"/>
    </row>
    <row r="196" spans="2:44" x14ac:dyDescent="0.3">
      <c r="B196" s="6">
        <v>191</v>
      </c>
      <c r="C196" s="86">
        <v>46052</v>
      </c>
      <c r="D196" s="6"/>
      <c r="E196" s="6"/>
      <c r="F196" s="6" t="s">
        <v>1762</v>
      </c>
      <c r="G196" s="7" t="s">
        <v>36</v>
      </c>
      <c r="H196" s="7" t="s">
        <v>29</v>
      </c>
      <c r="I196" s="7" t="s">
        <v>125</v>
      </c>
      <c r="J196" s="7" t="s">
        <v>1763</v>
      </c>
      <c r="K196" s="10" t="s">
        <v>1767</v>
      </c>
      <c r="L196" s="7"/>
      <c r="M196" s="7" t="s">
        <v>50</v>
      </c>
      <c r="N196" s="7">
        <v>971445118</v>
      </c>
      <c r="O196" s="13">
        <v>351755486069606</v>
      </c>
      <c r="P196" s="13"/>
      <c r="Q196" s="7"/>
      <c r="R196" s="7"/>
      <c r="S196" s="7"/>
      <c r="T196" s="7"/>
      <c r="U196" s="7"/>
      <c r="V196" s="7"/>
      <c r="W196" s="7"/>
      <c r="X196" s="7" t="s">
        <v>140</v>
      </c>
      <c r="Y196" s="7"/>
      <c r="Z196" s="7"/>
      <c r="AA196" s="7" t="s">
        <v>142</v>
      </c>
      <c r="AB196" s="7"/>
      <c r="AC196" s="7" t="s">
        <v>146</v>
      </c>
      <c r="AD196" s="7"/>
      <c r="AE196" s="7" t="s">
        <v>162</v>
      </c>
      <c r="AF196" s="7"/>
      <c r="AG196" s="7"/>
      <c r="AH196" s="8"/>
      <c r="AI196" s="7"/>
      <c r="AJ196" s="7" t="s">
        <v>107</v>
      </c>
      <c r="AK196" s="7" t="s">
        <v>109</v>
      </c>
      <c r="AL196" s="9" t="s">
        <v>379</v>
      </c>
      <c r="AM196" s="7" t="str">
        <f>VLOOKUP(AL196,Personal!$A$2:$I$300,2,FALSE)</f>
        <v>0000000868</v>
      </c>
      <c r="AN196" s="7" t="str">
        <f>VLOOKUP(AL196,Personal!$A$2:$I$300,3,FALSE)</f>
        <v>PECHING CHIONG KARINA JANET</v>
      </c>
      <c r="AO196" s="7" t="str">
        <f>VLOOKUP(AL196,Personal!$A$2:$I$300,6,FALSE)</f>
        <v>Gerenta de Reservas</v>
      </c>
      <c r="AP196" s="7" t="str">
        <f>VLOOKUP(AL196,Personal!$A$2:$I$300,7,FALSE)</f>
        <v>Reservas</v>
      </c>
      <c r="AQ196" s="7" t="str">
        <f>VLOOKUP(AL196,Personal!$A$2:$I$300,8,FALSE)</f>
        <v>Ventas y Marketing</v>
      </c>
      <c r="AR196" s="89"/>
    </row>
    <row r="197" spans="2:44" x14ac:dyDescent="0.3">
      <c r="B197" s="6">
        <v>192</v>
      </c>
      <c r="C197" s="86">
        <v>46052</v>
      </c>
      <c r="D197" s="6"/>
      <c r="E197" s="6"/>
      <c r="F197" s="6" t="s">
        <v>1762</v>
      </c>
      <c r="G197" s="7" t="s">
        <v>36</v>
      </c>
      <c r="H197" s="7" t="s">
        <v>29</v>
      </c>
      <c r="I197" s="7" t="s">
        <v>125</v>
      </c>
      <c r="J197" s="7" t="s">
        <v>1763</v>
      </c>
      <c r="K197" s="10" t="s">
        <v>1768</v>
      </c>
      <c r="L197" s="7"/>
      <c r="M197" s="7" t="s">
        <v>50</v>
      </c>
      <c r="N197" s="7">
        <v>951508202</v>
      </c>
      <c r="O197" s="13">
        <v>351755486069283</v>
      </c>
      <c r="P197" s="13"/>
      <c r="Q197" s="7"/>
      <c r="R197" s="7"/>
      <c r="S197" s="7"/>
      <c r="T197" s="7"/>
      <c r="U197" s="7"/>
      <c r="V197" s="7"/>
      <c r="W197" s="7"/>
      <c r="X197" s="7" t="s">
        <v>140</v>
      </c>
      <c r="Y197" s="7"/>
      <c r="Z197" s="7"/>
      <c r="AA197" s="7" t="s">
        <v>142</v>
      </c>
      <c r="AB197" s="7"/>
      <c r="AC197" s="7" t="s">
        <v>146</v>
      </c>
      <c r="AD197" s="7"/>
      <c r="AE197" s="7" t="s">
        <v>162</v>
      </c>
      <c r="AF197" s="7"/>
      <c r="AG197" s="7"/>
      <c r="AH197" s="8"/>
      <c r="AI197" s="7"/>
      <c r="AJ197" s="7" t="s">
        <v>107</v>
      </c>
      <c r="AK197" s="7" t="s">
        <v>109</v>
      </c>
      <c r="AL197" s="116" t="s">
        <v>345</v>
      </c>
      <c r="AM197" s="7" t="str">
        <f>VLOOKUP(AL197,Personal!$A$2:$I$300,2,FALSE)</f>
        <v>0000000736</v>
      </c>
      <c r="AN197" s="7" t="str">
        <f>VLOOKUP(AL197,Personal!$A$2:$I$300,3,FALSE)</f>
        <v>PACHAS DELGADO CARMEN ROSA</v>
      </c>
      <c r="AO197" s="7" t="str">
        <f>VLOOKUP(AL197,Personal!$A$2:$I$300,6,FALSE)</f>
        <v>Ejecutiva de Ventas</v>
      </c>
      <c r="AP197" s="7" t="str">
        <f>VLOOKUP(AL197,Personal!$A$2:$I$300,7,FALSE)</f>
        <v>Ventas</v>
      </c>
      <c r="AQ197" s="7" t="str">
        <f>VLOOKUP(AL197,Personal!$A$2:$I$300,8,FALSE)</f>
        <v>Ventas y Marketing</v>
      </c>
      <c r="AR197" s="89" t="s">
        <v>1949</v>
      </c>
    </row>
    <row r="198" spans="2:44" x14ac:dyDescent="0.3">
      <c r="B198" s="6">
        <v>193</v>
      </c>
      <c r="C198" s="86">
        <v>46052</v>
      </c>
      <c r="D198" s="6"/>
      <c r="E198" s="6"/>
      <c r="F198" s="6" t="s">
        <v>1762</v>
      </c>
      <c r="G198" s="7" t="s">
        <v>36</v>
      </c>
      <c r="H198" s="7" t="s">
        <v>29</v>
      </c>
      <c r="I198" s="7" t="s">
        <v>125</v>
      </c>
      <c r="J198" s="7" t="s">
        <v>1763</v>
      </c>
      <c r="K198" s="10" t="s">
        <v>1769</v>
      </c>
      <c r="L198" s="7"/>
      <c r="M198" s="7" t="s">
        <v>50</v>
      </c>
      <c r="N198" s="7">
        <v>998308408</v>
      </c>
      <c r="O198" s="13">
        <v>351755486057940</v>
      </c>
      <c r="P198" s="13"/>
      <c r="Q198" s="7"/>
      <c r="R198" s="7"/>
      <c r="S198" s="7"/>
      <c r="T198" s="7"/>
      <c r="U198" s="7"/>
      <c r="V198" s="7"/>
      <c r="W198" s="7"/>
      <c r="X198" s="7" t="s">
        <v>140</v>
      </c>
      <c r="Y198" s="7"/>
      <c r="Z198" s="7"/>
      <c r="AA198" s="7" t="s">
        <v>142</v>
      </c>
      <c r="AB198" s="7"/>
      <c r="AC198" s="7" t="s">
        <v>146</v>
      </c>
      <c r="AD198" s="7"/>
      <c r="AE198" s="7" t="s">
        <v>162</v>
      </c>
      <c r="AF198" s="7"/>
      <c r="AG198" s="7"/>
      <c r="AH198" s="8"/>
      <c r="AI198" s="7"/>
      <c r="AJ198" s="7" t="s">
        <v>107</v>
      </c>
      <c r="AK198" s="7" t="s">
        <v>109</v>
      </c>
      <c r="AL198" s="9">
        <v>12345678</v>
      </c>
      <c r="AM198" s="7">
        <f>VLOOKUP(AL198,Personal!$A$2:$I$300,2,FALSE)</f>
        <v>0</v>
      </c>
      <c r="AN198" s="7" t="str">
        <f>VLOOKUP(AL198,Personal!$A$2:$I$300,3,FALSE)</f>
        <v>HOZMA DIAZ NORMA CONSTANZA</v>
      </c>
      <c r="AO198" s="7" t="str">
        <f>VLOOKUP(AL198,Personal!$A$2:$I$300,6,FALSE)</f>
        <v>Directora de Ventas y Marketing</v>
      </c>
      <c r="AP198" s="7" t="str">
        <f>VLOOKUP(AL198,Personal!$A$2:$I$300,7,FALSE)</f>
        <v>Ventas</v>
      </c>
      <c r="AQ198" s="7" t="str">
        <f>VLOOKUP(AL198,Personal!$A$2:$I$300,8,FALSE)</f>
        <v>Ventas y Marketing</v>
      </c>
      <c r="AR198" s="7" t="s">
        <v>1845</v>
      </c>
    </row>
    <row r="199" spans="2:44" x14ac:dyDescent="0.3">
      <c r="B199" s="6">
        <v>194</v>
      </c>
      <c r="C199" s="86">
        <v>46052</v>
      </c>
      <c r="D199" s="6"/>
      <c r="E199" s="6"/>
      <c r="F199" s="6" t="s">
        <v>1762</v>
      </c>
      <c r="G199" s="7" t="s">
        <v>36</v>
      </c>
      <c r="H199" s="7" t="s">
        <v>29</v>
      </c>
      <c r="I199" s="7" t="s">
        <v>125</v>
      </c>
      <c r="J199" s="7" t="s">
        <v>1763</v>
      </c>
      <c r="K199" s="10" t="s">
        <v>1770</v>
      </c>
      <c r="L199" s="7"/>
      <c r="M199" s="7" t="s">
        <v>50</v>
      </c>
      <c r="N199" s="7">
        <v>968075713</v>
      </c>
      <c r="O199" s="13">
        <v>351755486054590</v>
      </c>
      <c r="P199" s="13"/>
      <c r="Q199" s="7"/>
      <c r="R199" s="7"/>
      <c r="S199" s="7"/>
      <c r="T199" s="7"/>
      <c r="U199" s="7"/>
      <c r="V199" s="7"/>
      <c r="W199" s="7"/>
      <c r="X199" s="7" t="s">
        <v>140</v>
      </c>
      <c r="Y199" s="7"/>
      <c r="Z199" s="7"/>
      <c r="AA199" s="7" t="s">
        <v>142</v>
      </c>
      <c r="AB199" s="7"/>
      <c r="AC199" s="7" t="s">
        <v>146</v>
      </c>
      <c r="AD199" s="7"/>
      <c r="AE199" s="7" t="s">
        <v>162</v>
      </c>
      <c r="AF199" s="7"/>
      <c r="AG199" s="7"/>
      <c r="AH199" s="8"/>
      <c r="AI199" s="7"/>
      <c r="AJ199" s="7" t="s">
        <v>107</v>
      </c>
      <c r="AK199" s="7" t="s">
        <v>109</v>
      </c>
      <c r="AL199" s="9" t="s">
        <v>589</v>
      </c>
      <c r="AM199" s="7" t="str">
        <f>VLOOKUP(AL199,Personal!$A$2:$I$300,2,FALSE)</f>
        <v>0000001501</v>
      </c>
      <c r="AN199" s="7" t="str">
        <f>VLOOKUP(AL199,Personal!$A$2:$I$300,3,FALSE)</f>
        <v>YAMUNAQUE CASTILLO HECTOR ARTURO</v>
      </c>
      <c r="AO199" s="7" t="str">
        <f>VLOOKUP(AL199,Personal!$A$2:$I$300,6,FALSE)</f>
        <v>Gerente de Sistemas</v>
      </c>
      <c r="AP199" s="7" t="str">
        <f>VLOOKUP(AL199,Personal!$A$2:$I$300,7,FALSE)</f>
        <v xml:space="preserve">Tecnologias de Información </v>
      </c>
      <c r="AQ199" s="7" t="str">
        <f>VLOOKUP(AL199,Personal!$A$2:$I$300,8,FALSE)</f>
        <v xml:space="preserve">Tecnologias de Información </v>
      </c>
      <c r="AR199" s="89"/>
    </row>
    <row r="200" spans="2:44" x14ac:dyDescent="0.3">
      <c r="B200" s="6">
        <v>195</v>
      </c>
      <c r="C200" s="86">
        <v>46052</v>
      </c>
      <c r="D200" s="6"/>
      <c r="E200" s="6"/>
      <c r="F200" s="6" t="s">
        <v>1762</v>
      </c>
      <c r="G200" s="7" t="s">
        <v>36</v>
      </c>
      <c r="H200" s="7" t="s">
        <v>29</v>
      </c>
      <c r="I200" s="7" t="s">
        <v>125</v>
      </c>
      <c r="J200" s="7" t="s">
        <v>1763</v>
      </c>
      <c r="K200" s="10" t="s">
        <v>1771</v>
      </c>
      <c r="L200" s="7"/>
      <c r="M200" s="7" t="s">
        <v>50</v>
      </c>
      <c r="N200" s="7">
        <v>998307721</v>
      </c>
      <c r="O200" s="13">
        <v>351755486062841</v>
      </c>
      <c r="P200" s="13"/>
      <c r="Q200" s="7"/>
      <c r="R200" s="7"/>
      <c r="S200" s="7"/>
      <c r="T200" s="7"/>
      <c r="U200" s="7"/>
      <c r="V200" s="7"/>
      <c r="W200" s="7"/>
      <c r="X200" s="7" t="s">
        <v>140</v>
      </c>
      <c r="Y200" s="7"/>
      <c r="Z200" s="7"/>
      <c r="AA200" s="7" t="s">
        <v>142</v>
      </c>
      <c r="AB200" s="7"/>
      <c r="AC200" s="7" t="s">
        <v>146</v>
      </c>
      <c r="AD200" s="7"/>
      <c r="AE200" s="7" t="s">
        <v>162</v>
      </c>
      <c r="AF200" s="7"/>
      <c r="AG200" s="7"/>
      <c r="AH200" s="8"/>
      <c r="AI200" s="7"/>
      <c r="AJ200" s="7" t="s">
        <v>107</v>
      </c>
      <c r="AK200" s="7" t="s">
        <v>109</v>
      </c>
      <c r="AL200" s="10" t="s">
        <v>2100</v>
      </c>
      <c r="AM200" s="7">
        <f>VLOOKUP(AL200,Personal!$A$2:$I$300,2,FALSE)</f>
        <v>0</v>
      </c>
      <c r="AN200" s="7" t="str">
        <f>VLOOKUP(AL200,Personal!$A$2:$I$300,3,FALSE)</f>
        <v>Empleado CyM Supervisor</v>
      </c>
      <c r="AO200" s="7" t="str">
        <f>VLOOKUP(AL200,Personal!$A$2:$I$300,6,FALSE)</f>
        <v>Empleado Puesto de Control</v>
      </c>
      <c r="AP200" s="7" t="str">
        <f>VLOOKUP(AL200,Personal!$A$2:$I$300,7,FALSE)</f>
        <v>Control y Monitoreo</v>
      </c>
      <c r="AQ200" s="7" t="str">
        <f>VLOOKUP(AL200,Personal!$A$2:$I$300,8,FALSE)</f>
        <v>Control y Monitoreo</v>
      </c>
      <c r="AR200" s="7" t="s">
        <v>1779</v>
      </c>
    </row>
    <row r="201" spans="2:44" x14ac:dyDescent="0.3">
      <c r="B201" s="6">
        <v>196</v>
      </c>
      <c r="C201" s="86">
        <v>46052</v>
      </c>
      <c r="D201" s="6"/>
      <c r="E201" s="6"/>
      <c r="F201" s="6" t="s">
        <v>1762</v>
      </c>
      <c r="G201" s="7" t="s">
        <v>36</v>
      </c>
      <c r="H201" s="7" t="s">
        <v>29</v>
      </c>
      <c r="I201" s="7" t="s">
        <v>125</v>
      </c>
      <c r="J201" s="7" t="s">
        <v>1763</v>
      </c>
      <c r="K201" s="10" t="s">
        <v>1772</v>
      </c>
      <c r="L201" s="7"/>
      <c r="M201" s="7" t="s">
        <v>50</v>
      </c>
      <c r="N201" s="7">
        <v>951498168</v>
      </c>
      <c r="O201" s="13">
        <v>351755486069580</v>
      </c>
      <c r="P201" s="13"/>
      <c r="Q201" s="7"/>
      <c r="R201" s="7"/>
      <c r="S201" s="7"/>
      <c r="T201" s="7"/>
      <c r="U201" s="7"/>
      <c r="V201" s="7"/>
      <c r="W201" s="7"/>
      <c r="X201" s="7" t="s">
        <v>140</v>
      </c>
      <c r="Y201" s="7"/>
      <c r="Z201" s="7"/>
      <c r="AA201" s="7" t="s">
        <v>142</v>
      </c>
      <c r="AB201" s="7"/>
      <c r="AC201" s="7" t="s">
        <v>146</v>
      </c>
      <c r="AD201" s="7"/>
      <c r="AE201" s="7" t="s">
        <v>162</v>
      </c>
      <c r="AF201" s="7"/>
      <c r="AG201" s="7"/>
      <c r="AH201" s="8"/>
      <c r="AI201" s="7"/>
      <c r="AJ201" s="7" t="s">
        <v>107</v>
      </c>
      <c r="AK201" s="7" t="s">
        <v>109</v>
      </c>
      <c r="AL201" s="9" t="s">
        <v>840</v>
      </c>
      <c r="AM201" s="7" t="str">
        <f>VLOOKUP(AL201,Personal!$A$2:$I$300,2,FALSE)</f>
        <v>0000001663</v>
      </c>
      <c r="AN201" s="7" t="str">
        <f>VLOOKUP(AL201,Personal!$A$2:$I$300,3,FALSE)</f>
        <v>LLACSAHUANGA VALENCIA EDITH</v>
      </c>
      <c r="AO201" s="7" t="str">
        <f>VLOOKUP(AL201,Personal!$A$2:$I$300,6,FALSE)</f>
        <v>Jefe de Housekeeping</v>
      </c>
      <c r="AP201" s="7" t="str">
        <f>VLOOKUP(AL201,Personal!$A$2:$I$300,7,FALSE)</f>
        <v xml:space="preserve">Housekeeping </v>
      </c>
      <c r="AQ201" s="7" t="str">
        <f>VLOOKUP(AL201,Personal!$A$2:$I$300,8,FALSE)</f>
        <v>División de Habitaciones (Operaciones)</v>
      </c>
      <c r="AR201" s="89"/>
    </row>
    <row r="202" spans="2:44" x14ac:dyDescent="0.3">
      <c r="B202" s="6">
        <v>197</v>
      </c>
      <c r="C202" s="86">
        <v>46052</v>
      </c>
      <c r="D202" s="6"/>
      <c r="E202" s="6"/>
      <c r="F202" s="6" t="s">
        <v>1762</v>
      </c>
      <c r="G202" s="7" t="s">
        <v>36</v>
      </c>
      <c r="H202" s="7" t="s">
        <v>29</v>
      </c>
      <c r="I202" s="7" t="s">
        <v>125</v>
      </c>
      <c r="J202" s="7" t="s">
        <v>1763</v>
      </c>
      <c r="K202" s="10" t="s">
        <v>1773</v>
      </c>
      <c r="L202" s="7"/>
      <c r="M202" s="7" t="s">
        <v>50</v>
      </c>
      <c r="N202" s="7">
        <v>998308422</v>
      </c>
      <c r="O202" s="13">
        <v>352859169459479</v>
      </c>
      <c r="P202" s="13"/>
      <c r="Q202" s="7"/>
      <c r="R202" s="7"/>
      <c r="S202" s="7"/>
      <c r="T202" s="7"/>
      <c r="U202" s="7"/>
      <c r="V202" s="7"/>
      <c r="W202" s="7"/>
      <c r="X202" s="7" t="s">
        <v>140</v>
      </c>
      <c r="Y202" s="7"/>
      <c r="Z202" s="7"/>
      <c r="AA202" s="7" t="s">
        <v>142</v>
      </c>
      <c r="AB202" s="7"/>
      <c r="AC202" s="7" t="s">
        <v>146</v>
      </c>
      <c r="AD202" s="7"/>
      <c r="AE202" s="7" t="s">
        <v>162</v>
      </c>
      <c r="AF202" s="7"/>
      <c r="AG202" s="7"/>
      <c r="AH202" s="8"/>
      <c r="AI202" s="7"/>
      <c r="AJ202" s="7" t="s">
        <v>107</v>
      </c>
      <c r="AK202" s="7" t="s">
        <v>109</v>
      </c>
      <c r="AL202" s="9" t="s">
        <v>372</v>
      </c>
      <c r="AM202" s="7" t="str">
        <f>VLOOKUP(AL202,Personal!$A$2:$I$300,2,FALSE)</f>
        <v>0000000844</v>
      </c>
      <c r="AN202" s="7" t="str">
        <f>VLOOKUP(AL202,Personal!$A$2:$I$300,3,FALSE)</f>
        <v>MENDIETA SOLANO WILLIAM JESUS</v>
      </c>
      <c r="AO202" s="7" t="str">
        <f>VLOOKUP(AL202,Personal!$A$2:$I$300,6,FALSE)</f>
        <v>Gerente de Control y Monitero</v>
      </c>
      <c r="AP202" s="7" t="str">
        <f>VLOOKUP(AL202,Personal!$A$2:$I$300,7,FALSE)</f>
        <v>Control y Monitoreo</v>
      </c>
      <c r="AQ202" s="7" t="str">
        <f>VLOOKUP(AL202,Personal!$A$2:$I$300,8,FALSE)</f>
        <v>Control y Monitoreo</v>
      </c>
      <c r="AR202" s="89"/>
    </row>
    <row r="203" spans="2:44" x14ac:dyDescent="0.3">
      <c r="B203" s="6">
        <v>198</v>
      </c>
      <c r="C203" s="86">
        <v>46052</v>
      </c>
      <c r="D203" s="6"/>
      <c r="E203" s="6"/>
      <c r="F203" s="6" t="s">
        <v>1762</v>
      </c>
      <c r="G203" s="7" t="s">
        <v>36</v>
      </c>
      <c r="H203" s="7" t="s">
        <v>29</v>
      </c>
      <c r="I203" s="7" t="s">
        <v>125</v>
      </c>
      <c r="J203" s="7" t="s">
        <v>1763</v>
      </c>
      <c r="K203" s="10" t="s">
        <v>1774</v>
      </c>
      <c r="L203" s="7"/>
      <c r="M203" s="7" t="s">
        <v>50</v>
      </c>
      <c r="N203" s="7">
        <v>938227149</v>
      </c>
      <c r="O203" s="13">
        <v>351755486068103</v>
      </c>
      <c r="P203" s="13"/>
      <c r="Q203" s="7"/>
      <c r="R203" s="7"/>
      <c r="S203" s="7"/>
      <c r="T203" s="7"/>
      <c r="U203" s="7"/>
      <c r="V203" s="7"/>
      <c r="W203" s="7"/>
      <c r="X203" s="7" t="s">
        <v>140</v>
      </c>
      <c r="Y203" s="7"/>
      <c r="Z203" s="7"/>
      <c r="AA203" s="7" t="s">
        <v>142</v>
      </c>
      <c r="AB203" s="7"/>
      <c r="AC203" s="7" t="s">
        <v>146</v>
      </c>
      <c r="AD203" s="7"/>
      <c r="AE203" s="7" t="s">
        <v>162</v>
      </c>
      <c r="AF203" s="7"/>
      <c r="AG203" s="7"/>
      <c r="AH203" s="8"/>
      <c r="AI203" s="7"/>
      <c r="AJ203" s="7" t="s">
        <v>107</v>
      </c>
      <c r="AK203" s="7" t="s">
        <v>109</v>
      </c>
      <c r="AL203" s="9" t="s">
        <v>614</v>
      </c>
      <c r="AM203" s="7" t="str">
        <f>VLOOKUP(AL203,Personal!$A$2:$I$300,2,FALSE)</f>
        <v>0000001516</v>
      </c>
      <c r="AN203" s="7" t="str">
        <f>VLOOKUP(AL203,Personal!$A$2:$I$300,3,FALSE)</f>
        <v>ROQUE SILVA TANIA MARYORI</v>
      </c>
      <c r="AO203" s="7" t="str">
        <f>VLOOKUP(AL203,Personal!$A$2:$I$300,6,FALSE)</f>
        <v>Agente de Reservas</v>
      </c>
      <c r="AP203" s="7" t="str">
        <f>VLOOKUP(AL203,Personal!$A$2:$I$300,7,FALSE)</f>
        <v>Reservas</v>
      </c>
      <c r="AQ203" s="7" t="str">
        <f>VLOOKUP(AL203,Personal!$A$2:$I$300,8,FALSE)</f>
        <v>Ventas y Marketing</v>
      </c>
      <c r="AR203" s="89"/>
    </row>
    <row r="204" spans="2:44" x14ac:dyDescent="0.3">
      <c r="B204" s="6">
        <v>199</v>
      </c>
      <c r="C204" s="86">
        <v>46052</v>
      </c>
      <c r="D204" s="6"/>
      <c r="E204" s="6"/>
      <c r="F204" s="6" t="s">
        <v>1762</v>
      </c>
      <c r="G204" s="7" t="s">
        <v>36</v>
      </c>
      <c r="H204" s="7" t="s">
        <v>29</v>
      </c>
      <c r="I204" s="7" t="s">
        <v>125</v>
      </c>
      <c r="J204" s="7" t="s">
        <v>1763</v>
      </c>
      <c r="K204" s="10" t="s">
        <v>1775</v>
      </c>
      <c r="L204" s="7"/>
      <c r="M204" s="7" t="s">
        <v>50</v>
      </c>
      <c r="N204" s="7">
        <v>937695632</v>
      </c>
      <c r="O204" s="13">
        <v>351755486069614</v>
      </c>
      <c r="P204" s="13"/>
      <c r="Q204" s="7"/>
      <c r="R204" s="7"/>
      <c r="S204" s="7"/>
      <c r="T204" s="7"/>
      <c r="U204" s="7"/>
      <c r="V204" s="7"/>
      <c r="W204" s="7"/>
      <c r="X204" s="7" t="s">
        <v>140</v>
      </c>
      <c r="Y204" s="7"/>
      <c r="Z204" s="7"/>
      <c r="AA204" s="7" t="s">
        <v>142</v>
      </c>
      <c r="AB204" s="7"/>
      <c r="AC204" s="7" t="s">
        <v>146</v>
      </c>
      <c r="AD204" s="7"/>
      <c r="AE204" s="7" t="s">
        <v>162</v>
      </c>
      <c r="AF204" s="7"/>
      <c r="AG204" s="7"/>
      <c r="AH204" s="8"/>
      <c r="AI204" s="7"/>
      <c r="AJ204" s="7" t="s">
        <v>107</v>
      </c>
      <c r="AK204" s="7" t="s">
        <v>109</v>
      </c>
      <c r="AL204" s="9" t="s">
        <v>709</v>
      </c>
      <c r="AM204" s="7" t="str">
        <f>VLOOKUP(AL204,Personal!$A$2:$I$300,2,FALSE)</f>
        <v>0000001580</v>
      </c>
      <c r="AN204" s="7" t="str">
        <f>VLOOKUP(AL204,Personal!$A$2:$I$300,3,FALSE)</f>
        <v>RAMOS MAGAN HANNA GRACE</v>
      </c>
      <c r="AO204" s="7" t="str">
        <f>VLOOKUP(AL204,Personal!$A$2:$I$300,6,FALSE)</f>
        <v>Asistente Administrativa Jr.</v>
      </c>
      <c r="AP204" s="7" t="str">
        <f>VLOOKUP(AL204,Personal!$A$2:$I$300,7,FALSE)</f>
        <v>Gerencia A&amp;B</v>
      </c>
      <c r="AQ204" s="7" t="str">
        <f>VLOOKUP(AL204,Personal!$A$2:$I$300,8,FALSE)</f>
        <v>Alimentos y Bebidas</v>
      </c>
      <c r="AR204" s="89"/>
    </row>
    <row r="205" spans="2:44" x14ac:dyDescent="0.3">
      <c r="B205" s="6">
        <v>200</v>
      </c>
      <c r="C205" s="86">
        <v>46052</v>
      </c>
      <c r="D205" s="6"/>
      <c r="E205" s="6"/>
      <c r="F205" s="6" t="s">
        <v>1762</v>
      </c>
      <c r="G205" s="7" t="s">
        <v>36</v>
      </c>
      <c r="H205" s="7" t="s">
        <v>29</v>
      </c>
      <c r="I205" s="7" t="s">
        <v>125</v>
      </c>
      <c r="J205" s="7" t="s">
        <v>1763</v>
      </c>
      <c r="K205" s="10" t="s">
        <v>1776</v>
      </c>
      <c r="L205" s="7"/>
      <c r="M205" s="7" t="s">
        <v>50</v>
      </c>
      <c r="N205" s="7">
        <v>951501442</v>
      </c>
      <c r="O205" s="13">
        <v>351755486069119</v>
      </c>
      <c r="P205" s="13"/>
      <c r="Q205" s="7"/>
      <c r="R205" s="7"/>
      <c r="S205" s="7"/>
      <c r="T205" s="7"/>
      <c r="U205" s="7"/>
      <c r="V205" s="7"/>
      <c r="W205" s="7"/>
      <c r="X205" s="7" t="s">
        <v>140</v>
      </c>
      <c r="Y205" s="7"/>
      <c r="Z205" s="7"/>
      <c r="AA205" s="7" t="s">
        <v>142</v>
      </c>
      <c r="AB205" s="7"/>
      <c r="AC205" s="7" t="s">
        <v>146</v>
      </c>
      <c r="AD205" s="7"/>
      <c r="AE205" s="7" t="s">
        <v>162</v>
      </c>
      <c r="AF205" s="7"/>
      <c r="AG205" s="7"/>
      <c r="AH205" s="8"/>
      <c r="AI205" s="7"/>
      <c r="AJ205" s="7" t="s">
        <v>107</v>
      </c>
      <c r="AK205" s="7" t="s">
        <v>109</v>
      </c>
      <c r="AL205" s="10" t="s">
        <v>1705</v>
      </c>
      <c r="AM205" s="7" t="str">
        <f>VLOOKUP(AL205,Personal!$A$2:$I$300,2,FALSE)</f>
        <v>Housekeeping</v>
      </c>
      <c r="AN205" s="7" t="str">
        <f>VLOOKUP(AL205,Personal!$A$2:$I$300,3,FALSE)</f>
        <v>Housekeeping</v>
      </c>
      <c r="AO205" s="7" t="str">
        <f>VLOOKUP(AL205,Personal!$A$2:$I$300,6,FALSE)</f>
        <v>Empleado de Housekeeping</v>
      </c>
      <c r="AP205" s="7" t="str">
        <f>VLOOKUP(AL205,Personal!$A$2:$I$300,7,FALSE)</f>
        <v xml:space="preserve">Housekeeping </v>
      </c>
      <c r="AQ205" s="7" t="str">
        <f>VLOOKUP(AL205,Personal!$A$2:$I$300,8,FALSE)</f>
        <v>División de Habitaciones (Operaciones)</v>
      </c>
      <c r="AR205" s="89"/>
    </row>
    <row r="206" spans="2:44" x14ac:dyDescent="0.3">
      <c r="B206" s="6">
        <v>201</v>
      </c>
      <c r="C206" s="86">
        <v>46052</v>
      </c>
      <c r="D206" s="6"/>
      <c r="E206" s="6"/>
      <c r="F206" s="6" t="s">
        <v>1762</v>
      </c>
      <c r="G206" s="7" t="s">
        <v>36</v>
      </c>
      <c r="H206" s="7" t="s">
        <v>29</v>
      </c>
      <c r="I206" s="7" t="s">
        <v>125</v>
      </c>
      <c r="J206" s="7" t="s">
        <v>1763</v>
      </c>
      <c r="K206" s="10" t="s">
        <v>1777</v>
      </c>
      <c r="L206" s="7"/>
      <c r="M206" s="7" t="s">
        <v>50</v>
      </c>
      <c r="N206" s="7">
        <v>979129791</v>
      </c>
      <c r="O206" s="13">
        <v>351755486064268</v>
      </c>
      <c r="P206" s="13"/>
      <c r="Q206" s="7"/>
      <c r="R206" s="7"/>
      <c r="S206" s="7"/>
      <c r="T206" s="7"/>
      <c r="U206" s="7"/>
      <c r="V206" s="7"/>
      <c r="W206" s="7"/>
      <c r="X206" s="7" t="s">
        <v>140</v>
      </c>
      <c r="Y206" s="7"/>
      <c r="Z206" s="7"/>
      <c r="AA206" s="7" t="s">
        <v>142</v>
      </c>
      <c r="AB206" s="7"/>
      <c r="AC206" s="7" t="s">
        <v>146</v>
      </c>
      <c r="AD206" s="7"/>
      <c r="AE206" s="7" t="s">
        <v>162</v>
      </c>
      <c r="AF206" s="7"/>
      <c r="AG206" s="7"/>
      <c r="AH206" s="8"/>
      <c r="AI206" s="7"/>
      <c r="AJ206" s="7" t="s">
        <v>107</v>
      </c>
      <c r="AK206" s="7" t="s">
        <v>109</v>
      </c>
      <c r="AL206" s="9" t="s">
        <v>416</v>
      </c>
      <c r="AM206" s="7" t="str">
        <f>VLOOKUP(AL206,Personal!$A$2:$I$300,2,FALSE)</f>
        <v>0000001110</v>
      </c>
      <c r="AN206" s="7" t="str">
        <f>VLOOKUP(AL206,Personal!$A$2:$I$300,3,FALSE)</f>
        <v>RAMIREZ MORALES CARLO MARIO</v>
      </c>
      <c r="AO206" s="7" t="str">
        <f>VLOOKUP(AL206,Personal!$A$2:$I$300,6,FALSE)</f>
        <v>Coordinador de Eventos</v>
      </c>
      <c r="AP206" s="7" t="str">
        <f>VLOOKUP(AL206,Personal!$A$2:$I$300,7,FALSE)</f>
        <v>Ventas</v>
      </c>
      <c r="AQ206" s="7" t="str">
        <f>VLOOKUP(AL206,Personal!$A$2:$I$300,8,FALSE)</f>
        <v>Ventas y Marketing</v>
      </c>
      <c r="AR206" s="89"/>
    </row>
    <row r="207" spans="2:44" x14ac:dyDescent="0.3">
      <c r="B207" s="6">
        <v>202</v>
      </c>
      <c r="C207" s="86">
        <v>46056</v>
      </c>
      <c r="D207" s="6"/>
      <c r="E207" s="6"/>
      <c r="F207" s="6" t="s">
        <v>1780</v>
      </c>
      <c r="G207" s="7" t="s">
        <v>36</v>
      </c>
      <c r="H207" s="7" t="s">
        <v>29</v>
      </c>
      <c r="I207" s="7" t="s">
        <v>125</v>
      </c>
      <c r="J207" s="7" t="s">
        <v>1763</v>
      </c>
      <c r="K207" s="10" t="s">
        <v>1781</v>
      </c>
      <c r="L207" s="7"/>
      <c r="M207" s="7" t="s">
        <v>50</v>
      </c>
      <c r="N207" s="7">
        <v>951472305</v>
      </c>
      <c r="O207" s="13">
        <v>351755486110103</v>
      </c>
      <c r="P207" s="13"/>
      <c r="Q207" s="7"/>
      <c r="R207" s="7"/>
      <c r="S207" s="7"/>
      <c r="T207" s="7"/>
      <c r="U207" s="7"/>
      <c r="V207" s="7"/>
      <c r="W207" s="7"/>
      <c r="X207" s="7" t="s">
        <v>140</v>
      </c>
      <c r="Y207" s="7"/>
      <c r="Z207" s="7"/>
      <c r="AA207" s="7" t="s">
        <v>142</v>
      </c>
      <c r="AB207" s="7"/>
      <c r="AC207" s="7" t="s">
        <v>146</v>
      </c>
      <c r="AD207" s="7"/>
      <c r="AE207" s="7" t="s">
        <v>162</v>
      </c>
      <c r="AF207" s="7"/>
      <c r="AG207" s="7"/>
      <c r="AH207" s="8"/>
      <c r="AI207" s="7"/>
      <c r="AJ207" s="7" t="s">
        <v>107</v>
      </c>
      <c r="AK207" s="7" t="s">
        <v>109</v>
      </c>
      <c r="AL207" s="9" t="s">
        <v>1537</v>
      </c>
      <c r="AM207" s="7" t="str">
        <f>VLOOKUP(AL207,Personal!$A$2:$I$300,2,FALSE)</f>
        <v>0000001714</v>
      </c>
      <c r="AN207" s="7" t="str">
        <f>VLOOKUP(AL207,Personal!$A$2:$I$300,3,FALSE)</f>
        <v>WONG COM MICHELLE ANDREA</v>
      </c>
      <c r="AO207" s="7" t="str">
        <f>VLOOKUP(AL207,Personal!$A$2:$I$300,6,FALSE)</f>
        <v>Coordinador de Eventos</v>
      </c>
      <c r="AP207" s="7" t="str">
        <f>VLOOKUP(AL207,Personal!$A$2:$I$300,7,FALSE)</f>
        <v>Ventas</v>
      </c>
      <c r="AQ207" s="7" t="str">
        <f>VLOOKUP(AL207,Personal!$A$2:$I$300,8,FALSE)</f>
        <v>Ventas y Marketing</v>
      </c>
      <c r="AR207" s="89"/>
    </row>
    <row r="208" spans="2:44" x14ac:dyDescent="0.3">
      <c r="B208" s="6">
        <v>203</v>
      </c>
      <c r="C208" s="86">
        <v>46056</v>
      </c>
      <c r="D208" s="6"/>
      <c r="E208" s="6"/>
      <c r="F208" s="6" t="s">
        <v>1780</v>
      </c>
      <c r="G208" s="7" t="s">
        <v>36</v>
      </c>
      <c r="H208" s="7" t="s">
        <v>29</v>
      </c>
      <c r="I208" s="7" t="s">
        <v>125</v>
      </c>
      <c r="J208" s="7" t="s">
        <v>1763</v>
      </c>
      <c r="K208" s="10" t="s">
        <v>1782</v>
      </c>
      <c r="L208" s="7"/>
      <c r="M208" s="7" t="s">
        <v>50</v>
      </c>
      <c r="N208" s="7">
        <v>948503559</v>
      </c>
      <c r="O208" s="13">
        <v>351755486112281</v>
      </c>
      <c r="P208" s="13"/>
      <c r="Q208" s="7"/>
      <c r="R208" s="7"/>
      <c r="S208" s="7"/>
      <c r="T208" s="7"/>
      <c r="U208" s="7"/>
      <c r="V208" s="7"/>
      <c r="W208" s="7"/>
      <c r="X208" s="7" t="s">
        <v>140</v>
      </c>
      <c r="Y208" s="7"/>
      <c r="Z208" s="7"/>
      <c r="AA208" s="7" t="s">
        <v>142</v>
      </c>
      <c r="AB208" s="7"/>
      <c r="AC208" s="7" t="s">
        <v>146</v>
      </c>
      <c r="AD208" s="7"/>
      <c r="AE208" s="7" t="s">
        <v>162</v>
      </c>
      <c r="AF208" s="7"/>
      <c r="AG208" s="7"/>
      <c r="AH208" s="8"/>
      <c r="AI208" s="7"/>
      <c r="AJ208" s="7" t="s">
        <v>107</v>
      </c>
      <c r="AK208" s="7" t="s">
        <v>109</v>
      </c>
      <c r="AL208" s="9" t="s">
        <v>518</v>
      </c>
      <c r="AM208" s="7" t="str">
        <f>VLOOKUP(AL208,Personal!$A$2:$I$300,2,FALSE)</f>
        <v>0000001207</v>
      </c>
      <c r="AN208" s="7" t="str">
        <f>VLOOKUP(AL208,Personal!$A$2:$I$300,3,FALSE)</f>
        <v>LOZADA PAREDES LIZBETH</v>
      </c>
      <c r="AO208" s="7" t="str">
        <f>VLOOKUP(AL208,Personal!$A$2:$I$300,6,FALSE)</f>
        <v xml:space="preserve">Ejecutiva de Eventos </v>
      </c>
      <c r="AP208" s="7" t="str">
        <f>VLOOKUP(AL208,Personal!$A$2:$I$300,7,FALSE)</f>
        <v>Ventas</v>
      </c>
      <c r="AQ208" s="7" t="str">
        <f>VLOOKUP(AL208,Personal!$A$2:$I$300,8,FALSE)</f>
        <v>Ventas y Marketing</v>
      </c>
      <c r="AR208" s="89"/>
    </row>
    <row r="209" spans="1:44" x14ac:dyDescent="0.3">
      <c r="B209" s="6">
        <v>204</v>
      </c>
      <c r="C209" s="86">
        <v>46058</v>
      </c>
      <c r="D209" s="6"/>
      <c r="E209" s="6"/>
      <c r="F209" s="6" t="s">
        <v>1791</v>
      </c>
      <c r="G209" s="7" t="s">
        <v>36</v>
      </c>
      <c r="H209" s="7" t="s">
        <v>29</v>
      </c>
      <c r="I209" s="7" t="s">
        <v>125</v>
      </c>
      <c r="J209" s="7" t="s">
        <v>1763</v>
      </c>
      <c r="K209" s="10" t="s">
        <v>1783</v>
      </c>
      <c r="L209" s="7"/>
      <c r="M209" s="7" t="s">
        <v>50</v>
      </c>
      <c r="N209" s="7">
        <v>948045093</v>
      </c>
      <c r="O209" s="13">
        <v>351755486659091</v>
      </c>
      <c r="P209" s="13"/>
      <c r="Q209" s="7"/>
      <c r="R209" s="7"/>
      <c r="S209" s="7"/>
      <c r="T209" s="7"/>
      <c r="U209" s="7"/>
      <c r="V209" s="7"/>
      <c r="W209" s="7"/>
      <c r="X209" s="7" t="s">
        <v>140</v>
      </c>
      <c r="Y209" s="7"/>
      <c r="Z209" s="7"/>
      <c r="AA209" s="7" t="s">
        <v>142</v>
      </c>
      <c r="AB209" s="7"/>
      <c r="AC209" s="7" t="s">
        <v>146</v>
      </c>
      <c r="AD209" s="7"/>
      <c r="AE209" s="7" t="s">
        <v>162</v>
      </c>
      <c r="AF209" s="7"/>
      <c r="AG209" s="7"/>
      <c r="AH209" s="8"/>
      <c r="AI209" s="7"/>
      <c r="AJ209" s="7" t="s">
        <v>107</v>
      </c>
      <c r="AK209" s="7" t="s">
        <v>109</v>
      </c>
      <c r="AL209" s="9" t="s">
        <v>1785</v>
      </c>
      <c r="AM209" s="7" t="str">
        <f>VLOOKUP(AL209,Personal!$A$2:$I$300,2,FALSE)</f>
        <v>0000001760</v>
      </c>
      <c r="AN209" s="7" t="str">
        <f>VLOOKUP(AL209,Personal!$A$2:$I$300,3,FALSE)</f>
        <v>CONDORI MORENO ELIZABETH CINTHIA</v>
      </c>
      <c r="AO209" s="7" t="str">
        <f>VLOOKUP(AL209,Personal!$A$2:$I$300,6,FALSE)</f>
        <v>Asistente de Calidad</v>
      </c>
      <c r="AP209" s="7" t="str">
        <f>VLOOKUP(AL209,Personal!$A$2:$I$300,7,FALSE)</f>
        <v>Calidad</v>
      </c>
      <c r="AQ209" s="7" t="str">
        <f>VLOOKUP(AL209,Personal!$A$2:$I$300,8,FALSE)</f>
        <v>Cocina</v>
      </c>
      <c r="AR209" s="7"/>
    </row>
    <row r="210" spans="1:44" x14ac:dyDescent="0.3">
      <c r="B210" s="6">
        <v>205</v>
      </c>
      <c r="C210" s="86">
        <v>46058</v>
      </c>
      <c r="D210" s="6"/>
      <c r="E210" s="6"/>
      <c r="F210" s="6" t="s">
        <v>1791</v>
      </c>
      <c r="G210" s="7" t="s">
        <v>36</v>
      </c>
      <c r="H210" s="7" t="s">
        <v>29</v>
      </c>
      <c r="I210" s="7" t="s">
        <v>125</v>
      </c>
      <c r="J210" s="7" t="s">
        <v>1763</v>
      </c>
      <c r="K210" s="10" t="s">
        <v>1784</v>
      </c>
      <c r="L210" s="7"/>
      <c r="M210" s="7" t="s">
        <v>50</v>
      </c>
      <c r="N210" s="7">
        <v>968431778</v>
      </c>
      <c r="O210" s="13">
        <v>351755486659414</v>
      </c>
      <c r="P210" s="13"/>
      <c r="Q210" s="7"/>
      <c r="R210" s="7"/>
      <c r="S210" s="7"/>
      <c r="T210" s="7"/>
      <c r="U210" s="7"/>
      <c r="V210" s="7"/>
      <c r="W210" s="7"/>
      <c r="X210" s="7" t="s">
        <v>140</v>
      </c>
      <c r="Y210" s="7"/>
      <c r="Z210" s="7"/>
      <c r="AA210" s="7" t="s">
        <v>142</v>
      </c>
      <c r="AB210" s="7"/>
      <c r="AC210" s="7" t="s">
        <v>146</v>
      </c>
      <c r="AD210" s="7"/>
      <c r="AE210" s="7" t="s">
        <v>162</v>
      </c>
      <c r="AF210" s="7"/>
      <c r="AG210" s="7"/>
      <c r="AH210" s="8"/>
      <c r="AI210" s="7"/>
      <c r="AJ210" s="7" t="s">
        <v>107</v>
      </c>
      <c r="AK210" s="7" t="s">
        <v>109</v>
      </c>
      <c r="AL210" s="9" t="s">
        <v>1574</v>
      </c>
      <c r="AM210" s="7" t="str">
        <f>VLOOKUP(AL210,Personal!$A$2:$I$300,2,FALSE)</f>
        <v>0000001236</v>
      </c>
      <c r="AN210" s="7" t="str">
        <f>VLOOKUP(AL210,Personal!$A$2:$I$300,3,FALSE)</f>
        <v>BAUTISTA CARDENAS MIGUEL ALEJANDRO</v>
      </c>
      <c r="AO210" s="7" t="str">
        <f>VLOOKUP(AL210,Personal!$A$2:$I$300,6,FALSE)</f>
        <v>Sub Chef</v>
      </c>
      <c r="AP210" s="7" t="str">
        <f>VLOOKUP(AL210,Personal!$A$2:$I$300,7,FALSE)</f>
        <v xml:space="preserve">Cocina La Locanda </v>
      </c>
      <c r="AQ210" s="7" t="str">
        <f>VLOOKUP(AL210,Personal!$A$2:$I$300,8,FALSE)</f>
        <v>Cocina</v>
      </c>
      <c r="AR210" s="7"/>
    </row>
    <row r="211" spans="1:44" x14ac:dyDescent="0.3">
      <c r="B211" s="6">
        <v>206</v>
      </c>
      <c r="C211" s="6"/>
      <c r="D211" s="6"/>
      <c r="E211" s="6"/>
      <c r="F211" s="6"/>
      <c r="G211" s="7" t="s">
        <v>36</v>
      </c>
      <c r="H211" s="7" t="s">
        <v>29</v>
      </c>
      <c r="I211" s="7" t="s">
        <v>1797</v>
      </c>
      <c r="J211" s="7" t="s">
        <v>1702</v>
      </c>
      <c r="K211" s="10" t="s">
        <v>1798</v>
      </c>
      <c r="L211" s="7"/>
      <c r="M211" s="7" t="s">
        <v>50</v>
      </c>
      <c r="N211" s="7">
        <v>951954496</v>
      </c>
      <c r="O211" s="13">
        <v>865451068883767</v>
      </c>
      <c r="P211" s="13">
        <v>865451068883775</v>
      </c>
      <c r="Q211" s="7"/>
      <c r="R211" s="7"/>
      <c r="S211" s="7"/>
      <c r="T211" s="7"/>
      <c r="U211" s="7"/>
      <c r="V211" s="7"/>
      <c r="W211" s="7"/>
      <c r="X211" s="7" t="s">
        <v>140</v>
      </c>
      <c r="Y211" s="7"/>
      <c r="Z211" s="7"/>
      <c r="AA211" s="7" t="s">
        <v>142</v>
      </c>
      <c r="AB211" s="7"/>
      <c r="AC211" s="7" t="s">
        <v>146</v>
      </c>
      <c r="AD211" s="7"/>
      <c r="AE211" s="7" t="s">
        <v>162</v>
      </c>
      <c r="AF211" s="7"/>
      <c r="AG211" s="7"/>
      <c r="AH211" s="8"/>
      <c r="AI211" s="7"/>
      <c r="AJ211" s="7" t="s">
        <v>107</v>
      </c>
      <c r="AK211" s="7" t="s">
        <v>109</v>
      </c>
      <c r="AL211" s="9" t="s">
        <v>288</v>
      </c>
      <c r="AM211" s="7" t="str">
        <f>VLOOKUP(AL211,Personal!$A$2:$I$300,2,FALSE)</f>
        <v>0000000269</v>
      </c>
      <c r="AN211" s="7" t="str">
        <f>VLOOKUP(AL211,Personal!$A$2:$I$300,3,FALSE)</f>
        <v>VEGA ARRATEA JAVIER VICTOR</v>
      </c>
      <c r="AO211" s="7" t="str">
        <f>VLOOKUP(AL211,Personal!$A$2:$I$300,6,FALSE)</f>
        <v>Supervisor Jr. de Steward</v>
      </c>
      <c r="AP211" s="7" t="str">
        <f>VLOOKUP(AL211,Personal!$A$2:$I$300,7,FALSE)</f>
        <v>Steward</v>
      </c>
      <c r="AQ211" s="7" t="str">
        <f>VLOOKUP(AL211,Personal!$A$2:$I$300,8,FALSE)</f>
        <v>Alimentos y Bebidas</v>
      </c>
      <c r="AR211" s="7" t="s">
        <v>1799</v>
      </c>
    </row>
    <row r="212" spans="1:44" x14ac:dyDescent="0.3">
      <c r="B212" s="6">
        <v>207</v>
      </c>
      <c r="C212" s="86">
        <v>46070</v>
      </c>
      <c r="D212" s="6"/>
      <c r="E212" s="6"/>
      <c r="F212" s="6"/>
      <c r="G212" s="7" t="s">
        <v>38</v>
      </c>
      <c r="H212" s="7" t="s">
        <v>38</v>
      </c>
      <c r="I212" s="7" t="s">
        <v>1805</v>
      </c>
      <c r="J212" s="7" t="s">
        <v>1806</v>
      </c>
      <c r="K212" s="10" t="s">
        <v>1807</v>
      </c>
      <c r="L212" s="7"/>
      <c r="M212" s="7"/>
      <c r="N212" s="7"/>
      <c r="O212" s="13"/>
      <c r="P212" s="13"/>
      <c r="Q212" s="7"/>
      <c r="R212" s="7"/>
      <c r="S212" s="7" t="s">
        <v>1808</v>
      </c>
      <c r="T212" s="7" t="s">
        <v>1809</v>
      </c>
      <c r="U212" s="7" t="s">
        <v>1810</v>
      </c>
      <c r="V212" s="7" t="s">
        <v>1811</v>
      </c>
      <c r="W212" s="7"/>
      <c r="X212" s="7" t="s">
        <v>1812</v>
      </c>
      <c r="Y212" s="7"/>
      <c r="Z212" s="7"/>
      <c r="AA212" s="7" t="s">
        <v>142</v>
      </c>
      <c r="AB212" s="7"/>
      <c r="AC212" s="7" t="s">
        <v>1813</v>
      </c>
      <c r="AD212" s="7"/>
      <c r="AE212" s="7" t="s">
        <v>1814</v>
      </c>
      <c r="AF212" s="7"/>
      <c r="AG212" s="7"/>
      <c r="AH212" s="8"/>
      <c r="AI212" s="7"/>
      <c r="AJ212" s="7" t="s">
        <v>107</v>
      </c>
      <c r="AK212" s="7" t="s">
        <v>109</v>
      </c>
      <c r="AL212" s="10" t="s">
        <v>1748</v>
      </c>
      <c r="AM212" s="7">
        <f>VLOOKUP(AL212,Personal!$A$2:$I$300,2,FALSE)</f>
        <v>0</v>
      </c>
      <c r="AN212" s="7" t="str">
        <f>VLOOKUP(AL212,Personal!$A$2:$I$300,3,FALSE)</f>
        <v xml:space="preserve">Tecnologias de Información </v>
      </c>
      <c r="AO212" s="7" t="str">
        <f>VLOOKUP(AL212,Personal!$A$2:$I$300,6,FALSE)</f>
        <v xml:space="preserve">Tecnologias de Información </v>
      </c>
      <c r="AP212" s="7" t="str">
        <f>VLOOKUP(AL212,Personal!$A$2:$I$300,7,FALSE)</f>
        <v xml:space="preserve">Tecnologias de Información </v>
      </c>
      <c r="AQ212" s="7" t="str">
        <f>VLOOKUP(AL212,Personal!$A$2:$I$300,8,FALSE)</f>
        <v xml:space="preserve">Tecnologias de Información </v>
      </c>
      <c r="AR212" s="123" t="s">
        <v>1969</v>
      </c>
    </row>
    <row r="213" spans="1:44" x14ac:dyDescent="0.3">
      <c r="B213" s="6">
        <v>208</v>
      </c>
      <c r="C213" s="6"/>
      <c r="D213" s="6"/>
      <c r="E213" s="6"/>
      <c r="F213" s="6"/>
      <c r="G213" s="7" t="s">
        <v>36</v>
      </c>
      <c r="H213" s="7" t="s">
        <v>29</v>
      </c>
      <c r="I213" s="7" t="s">
        <v>1820</v>
      </c>
      <c r="J213" s="7" t="s">
        <v>1821</v>
      </c>
      <c r="K213" s="10" t="s">
        <v>1822</v>
      </c>
      <c r="L213" s="7"/>
      <c r="M213" s="7" t="s">
        <v>50</v>
      </c>
      <c r="N213" s="7">
        <v>951485167</v>
      </c>
      <c r="O213" s="13">
        <v>861578070747160</v>
      </c>
      <c r="P213" s="13">
        <v>861578071147162</v>
      </c>
      <c r="Q213" s="7"/>
      <c r="R213" s="7"/>
      <c r="S213" s="7"/>
      <c r="T213" s="7"/>
      <c r="U213" s="7"/>
      <c r="V213" s="7"/>
      <c r="W213" s="7"/>
      <c r="X213" s="7" t="s">
        <v>140</v>
      </c>
      <c r="Y213" s="7"/>
      <c r="Z213" s="7"/>
      <c r="AA213" s="7" t="s">
        <v>142</v>
      </c>
      <c r="AB213" s="7"/>
      <c r="AC213" s="7" t="s">
        <v>146</v>
      </c>
      <c r="AD213" s="7"/>
      <c r="AE213" s="7" t="s">
        <v>162</v>
      </c>
      <c r="AF213" s="7"/>
      <c r="AG213" s="7"/>
      <c r="AH213" s="8"/>
      <c r="AI213" s="7"/>
      <c r="AJ213" s="7" t="s">
        <v>107</v>
      </c>
      <c r="AK213" s="7" t="s">
        <v>109</v>
      </c>
      <c r="AL213" s="9" t="s">
        <v>894</v>
      </c>
      <c r="AM213" s="7" t="str">
        <f>VLOOKUP(AL213,Personal!$A$2:$I$300,2,FALSE)</f>
        <v>0000001681</v>
      </c>
      <c r="AN213" s="7" t="str">
        <f>VLOOKUP(AL213,Personal!$A$2:$I$300,3,FALSE)</f>
        <v>FERNANDEZ CHOQUECAHUA MOISES</v>
      </c>
      <c r="AO213" s="7" t="str">
        <f>VLOOKUP(AL213,Personal!$A$2:$I$300,6,FALSE)</f>
        <v>Kenfix</v>
      </c>
      <c r="AP213" s="7" t="str">
        <f>VLOOKUP(AL213,Personal!$A$2:$I$300,7,FALSE)</f>
        <v>Mantenimiento</v>
      </c>
      <c r="AQ213" s="7" t="str">
        <f>VLOOKUP(AL213,Personal!$A$2:$I$300,8,FALSE)</f>
        <v>Mantenimiento</v>
      </c>
      <c r="AR213" s="7" t="s">
        <v>1823</v>
      </c>
    </row>
    <row r="214" spans="1:44" x14ac:dyDescent="0.3">
      <c r="B214" s="6">
        <v>209</v>
      </c>
      <c r="C214" s="6"/>
      <c r="D214" s="6"/>
      <c r="E214" s="6"/>
      <c r="F214" s="6"/>
      <c r="G214" s="7" t="s">
        <v>36</v>
      </c>
      <c r="H214" s="7" t="s">
        <v>29</v>
      </c>
      <c r="I214" s="7" t="s">
        <v>1820</v>
      </c>
      <c r="J214" s="7" t="s">
        <v>1821</v>
      </c>
      <c r="K214" s="10" t="s">
        <v>1824</v>
      </c>
      <c r="L214" s="7"/>
      <c r="M214" s="7" t="s">
        <v>51</v>
      </c>
      <c r="N214" s="7">
        <v>981640078</v>
      </c>
      <c r="O214" s="13">
        <v>861578070734465</v>
      </c>
      <c r="P214" s="13">
        <v>861578071134467</v>
      </c>
      <c r="Q214" s="7"/>
      <c r="R214" s="7"/>
      <c r="S214" s="7"/>
      <c r="T214" s="7"/>
      <c r="U214" s="7"/>
      <c r="V214" s="7"/>
      <c r="W214" s="7"/>
      <c r="X214" s="7" t="s">
        <v>140</v>
      </c>
      <c r="Y214" s="7"/>
      <c r="Z214" s="7"/>
      <c r="AA214" s="7" t="s">
        <v>142</v>
      </c>
      <c r="AB214" s="7"/>
      <c r="AC214" s="7" t="s">
        <v>146</v>
      </c>
      <c r="AD214" s="7"/>
      <c r="AE214" s="7" t="s">
        <v>162</v>
      </c>
      <c r="AF214" s="7"/>
      <c r="AG214" s="7"/>
      <c r="AH214" s="8"/>
      <c r="AI214" s="7"/>
      <c r="AJ214" s="7" t="s">
        <v>107</v>
      </c>
      <c r="AK214" s="7" t="s">
        <v>109</v>
      </c>
      <c r="AL214" s="9" t="s">
        <v>269</v>
      </c>
      <c r="AM214" s="7" t="str">
        <f>VLOOKUP(AL214,Personal!$A$2:$I$300,2,FALSE)</f>
        <v>0000000086</v>
      </c>
      <c r="AN214" s="7" t="str">
        <f>VLOOKUP(AL214,Personal!$A$2:$I$300,3,FALSE)</f>
        <v>MOTA CASTRO JIM EDUARDO</v>
      </c>
      <c r="AO214" s="7" t="str">
        <f>VLOOKUP(AL214,Personal!$A$2:$I$300,6,FALSE)</f>
        <v>Auditor de Ingresos</v>
      </c>
      <c r="AP214" s="7" t="str">
        <f>VLOOKUP(AL214,Personal!$A$2:$I$300,7,FALSE)</f>
        <v>Auditoría de Ingresos</v>
      </c>
      <c r="AQ214" s="7" t="str">
        <f>VLOOKUP(AL214,Personal!$A$2:$I$300,8,FALSE)</f>
        <v>Contraloría</v>
      </c>
      <c r="AR214" s="7" t="s">
        <v>1853</v>
      </c>
    </row>
    <row r="215" spans="1:44" x14ac:dyDescent="0.3">
      <c r="B215" s="6">
        <v>210</v>
      </c>
      <c r="C215" s="6"/>
      <c r="D215" s="6"/>
      <c r="E215" s="6"/>
      <c r="F215" s="6"/>
      <c r="G215" s="7" t="s">
        <v>36</v>
      </c>
      <c r="H215" s="7" t="s">
        <v>29</v>
      </c>
      <c r="I215" s="7" t="s">
        <v>1797</v>
      </c>
      <c r="J215" s="7" t="s">
        <v>1702</v>
      </c>
      <c r="K215" s="10" t="s">
        <v>1829</v>
      </c>
      <c r="L215" s="7"/>
      <c r="M215" s="7" t="s">
        <v>50</v>
      </c>
      <c r="N215" s="7">
        <v>920450123</v>
      </c>
      <c r="O215" s="13">
        <v>862480064845804</v>
      </c>
      <c r="P215" s="13">
        <v>862480064845812</v>
      </c>
      <c r="Q215" s="7"/>
      <c r="R215" s="7"/>
      <c r="S215" s="7"/>
      <c r="T215" s="7"/>
      <c r="U215" s="7"/>
      <c r="V215" s="7"/>
      <c r="W215" s="7"/>
      <c r="X215" s="7" t="s">
        <v>140</v>
      </c>
      <c r="Y215" s="7"/>
      <c r="Z215" s="7"/>
      <c r="AA215" s="7" t="s">
        <v>142</v>
      </c>
      <c r="AB215" s="7"/>
      <c r="AC215" s="7" t="s">
        <v>146</v>
      </c>
      <c r="AD215" s="7"/>
      <c r="AE215" s="7" t="s">
        <v>162</v>
      </c>
      <c r="AF215" s="7"/>
      <c r="AG215" s="7"/>
      <c r="AH215" s="8"/>
      <c r="AI215" s="7"/>
      <c r="AJ215" s="7" t="s">
        <v>107</v>
      </c>
      <c r="AK215" s="7" t="s">
        <v>109</v>
      </c>
      <c r="AL215" s="9" t="s">
        <v>1825</v>
      </c>
      <c r="AM215" s="7" t="str">
        <f>VLOOKUP(AL215,Personal!$A$2:$I$300,2,FALSE)</f>
        <v>0000P00761</v>
      </c>
      <c r="AN215" s="7" t="str">
        <f>VLOOKUP(AL215,Personal!$A$2:$I$300,3,FALSE)</f>
        <v>NOLASCO CUNYARACHE GABRIELA FLOR</v>
      </c>
      <c r="AO215" s="7" t="str">
        <f>VLOOKUP(AL215,Personal!$A$2:$I$300,6,FALSE)</f>
        <v>Practicante de Mantenimiento</v>
      </c>
      <c r="AP215" s="7" t="str">
        <f>VLOOKUP(AL215,Personal!$A$2:$I$300,7,FALSE)</f>
        <v>Mantenimiento</v>
      </c>
      <c r="AQ215" s="7" t="str">
        <f>VLOOKUP(AL215,Personal!$A$2:$I$300,8,FALSE)</f>
        <v>Mantenimiento</v>
      </c>
      <c r="AR215" s="7" t="s">
        <v>1828</v>
      </c>
    </row>
    <row r="216" spans="1:44" x14ac:dyDescent="0.3">
      <c r="B216" s="6">
        <v>211</v>
      </c>
      <c r="C216" s="6"/>
      <c r="D216" s="6"/>
      <c r="E216" s="6"/>
      <c r="F216" s="6"/>
      <c r="G216" s="7" t="s">
        <v>36</v>
      </c>
      <c r="H216" s="7" t="s">
        <v>29</v>
      </c>
      <c r="I216" s="7" t="s">
        <v>1797</v>
      </c>
      <c r="J216" s="7" t="s">
        <v>1702</v>
      </c>
      <c r="K216" s="10" t="s">
        <v>1830</v>
      </c>
      <c r="L216" s="7"/>
      <c r="M216" s="7" t="s">
        <v>50</v>
      </c>
      <c r="N216" s="7">
        <v>951488107</v>
      </c>
      <c r="O216" s="13">
        <v>865451068729481</v>
      </c>
      <c r="P216" s="13">
        <v>865451068729499</v>
      </c>
      <c r="Q216" s="7"/>
      <c r="R216" s="7"/>
      <c r="S216" s="7"/>
      <c r="T216" s="7"/>
      <c r="U216" s="7"/>
      <c r="V216" s="7"/>
      <c r="W216" s="7"/>
      <c r="X216" s="7" t="s">
        <v>140</v>
      </c>
      <c r="Y216" s="7"/>
      <c r="Z216" s="7"/>
      <c r="AA216" s="7" t="s">
        <v>142</v>
      </c>
      <c r="AB216" s="7"/>
      <c r="AC216" s="7" t="s">
        <v>146</v>
      </c>
      <c r="AD216" s="7"/>
      <c r="AE216" s="7" t="s">
        <v>162</v>
      </c>
      <c r="AF216" s="7"/>
      <c r="AG216" s="7"/>
      <c r="AH216" s="8"/>
      <c r="AI216" s="7"/>
      <c r="AJ216" s="7" t="s">
        <v>107</v>
      </c>
      <c r="AK216" s="7" t="s">
        <v>109</v>
      </c>
      <c r="AL216" s="9" t="s">
        <v>278</v>
      </c>
      <c r="AM216" s="7" t="str">
        <f>VLOOKUP(AL216,Personal!$A$2:$I$300,2,FALSE)</f>
        <v>Lavandería</v>
      </c>
      <c r="AN216" s="7" t="str">
        <f>VLOOKUP(AL216,Personal!$A$2:$I$300,3,FALSE)</f>
        <v>Lavandería</v>
      </c>
      <c r="AO216" s="7" t="str">
        <f>VLOOKUP(AL216,Personal!$A$2:$I$300,6,FALSE)</f>
        <v>Empleado de Lavanderia</v>
      </c>
      <c r="AP216" s="7" t="str">
        <f>VLOOKUP(AL216,Personal!$A$2:$I$300,7,FALSE)</f>
        <v>Lavandería</v>
      </c>
      <c r="AQ216" s="7" t="str">
        <f>VLOOKUP(AL216,Personal!$A$2:$I$300,8,FALSE)</f>
        <v>División de Habitaciones (Operaciones)</v>
      </c>
      <c r="AR216" s="7" t="s">
        <v>1831</v>
      </c>
    </row>
    <row r="217" spans="1:44" x14ac:dyDescent="0.3">
      <c r="B217" s="6">
        <v>212</v>
      </c>
      <c r="C217" s="6"/>
      <c r="D217" s="6"/>
      <c r="E217" s="6"/>
      <c r="F217" s="6"/>
      <c r="G217" s="7" t="s">
        <v>36</v>
      </c>
      <c r="H217" s="7" t="s">
        <v>29</v>
      </c>
      <c r="I217" s="7" t="s">
        <v>125</v>
      </c>
      <c r="J217" s="7" t="s">
        <v>1700</v>
      </c>
      <c r="K217" s="10" t="s">
        <v>1838</v>
      </c>
      <c r="L217" s="7"/>
      <c r="M217" s="7" t="s">
        <v>50</v>
      </c>
      <c r="N217" s="7">
        <v>965999258</v>
      </c>
      <c r="O217" s="13">
        <v>353384837598318</v>
      </c>
      <c r="P217" s="13"/>
      <c r="Q217" s="7"/>
      <c r="R217" s="7"/>
      <c r="S217" s="7"/>
      <c r="T217" s="7"/>
      <c r="U217" s="7"/>
      <c r="V217" s="7"/>
      <c r="W217" s="7"/>
      <c r="X217" s="7" t="s">
        <v>140</v>
      </c>
      <c r="Y217" s="7"/>
      <c r="Z217" s="7"/>
      <c r="AA217" s="7" t="s">
        <v>142</v>
      </c>
      <c r="AB217" s="7"/>
      <c r="AC217" s="7" t="s">
        <v>146</v>
      </c>
      <c r="AD217" s="7"/>
      <c r="AE217" s="7" t="s">
        <v>162</v>
      </c>
      <c r="AF217" s="7"/>
      <c r="AG217" s="7"/>
      <c r="AH217" s="8"/>
      <c r="AI217" s="7"/>
      <c r="AJ217" s="7" t="s">
        <v>107</v>
      </c>
      <c r="AK217" s="7" t="s">
        <v>109</v>
      </c>
      <c r="AL217" s="9" t="s">
        <v>1833</v>
      </c>
      <c r="AM217" s="7" t="str">
        <f>VLOOKUP(AL217,Personal!$A$2:$I$300,2,FALSE)</f>
        <v>0000001577</v>
      </c>
      <c r="AN217" s="7" t="str">
        <f>VLOOKUP(AL217,Personal!$A$2:$I$300,3,FALSE)</f>
        <v>RAFAELO LORENZO ANA ROSA</v>
      </c>
      <c r="AO217" s="7" t="str">
        <f>VLOOKUP(AL217,Personal!$A$2:$I$300,6,FALSE)</f>
        <v>Asistente de Coordinación</v>
      </c>
      <c r="AP217" s="7" t="str">
        <f>VLOOKUP(AL217,Personal!$A$2:$I$300,7,FALSE)</f>
        <v>Ventas</v>
      </c>
      <c r="AQ217" s="7" t="str">
        <f>VLOOKUP(AL217,Personal!$A$2:$I$300,8,FALSE)</f>
        <v>Ventas y Marketing</v>
      </c>
      <c r="AR217" s="7" t="s">
        <v>1839</v>
      </c>
    </row>
    <row r="218" spans="1:44" x14ac:dyDescent="0.3">
      <c r="B218" s="6">
        <v>213</v>
      </c>
      <c r="C218" s="6"/>
      <c r="D218" s="6"/>
      <c r="E218" s="6"/>
      <c r="F218" s="6"/>
      <c r="G218" s="7" t="s">
        <v>36</v>
      </c>
      <c r="H218" s="7" t="s">
        <v>29</v>
      </c>
      <c r="I218" s="7" t="s">
        <v>1797</v>
      </c>
      <c r="J218" s="7" t="s">
        <v>1710</v>
      </c>
      <c r="K218" s="10" t="s">
        <v>1843</v>
      </c>
      <c r="L218" s="7"/>
      <c r="M218" s="7" t="s">
        <v>50</v>
      </c>
      <c r="N218" s="7">
        <v>998307463</v>
      </c>
      <c r="O218" s="13">
        <v>862805074036004</v>
      </c>
      <c r="P218" s="13">
        <v>862805074036012</v>
      </c>
      <c r="Q218" s="7"/>
      <c r="R218" s="7"/>
      <c r="S218" s="7"/>
      <c r="T218" s="7"/>
      <c r="U218" s="7"/>
      <c r="V218" s="7"/>
      <c r="W218" s="7"/>
      <c r="X218" s="7" t="s">
        <v>140</v>
      </c>
      <c r="Y218" s="7"/>
      <c r="Z218" s="7"/>
      <c r="AA218" s="7" t="s">
        <v>142</v>
      </c>
      <c r="AB218" s="7"/>
      <c r="AC218" s="7" t="s">
        <v>146</v>
      </c>
      <c r="AD218" s="7"/>
      <c r="AE218" s="7" t="s">
        <v>162</v>
      </c>
      <c r="AF218" s="7"/>
      <c r="AG218" s="7"/>
      <c r="AH218" s="8"/>
      <c r="AI218" s="7"/>
      <c r="AJ218" s="7" t="s">
        <v>107</v>
      </c>
      <c r="AK218" s="7" t="s">
        <v>109</v>
      </c>
      <c r="AL218" s="9" t="s">
        <v>453</v>
      </c>
      <c r="AM218" s="7">
        <f>VLOOKUP(AL218,Personal!$A$2:$I$300,2,FALSE)</f>
        <v>0</v>
      </c>
      <c r="AN218" s="7" t="str">
        <f>VLOOKUP(AL218,Personal!$A$2:$I$300,3,FALSE)</f>
        <v>Room Service</v>
      </c>
      <c r="AO218" s="7" t="str">
        <f>VLOOKUP(AL218,Personal!$A$2:$I$300,6,FALSE)</f>
        <v xml:space="preserve">Consejero Gastronómico </v>
      </c>
      <c r="AP218" s="7" t="str">
        <f>VLOOKUP(AL218,Personal!$A$2:$I$300,7,FALSE)</f>
        <v>Room Service</v>
      </c>
      <c r="AQ218" s="7" t="str">
        <f>VLOOKUP(AL218,Personal!$A$2:$I$300,8,FALSE)</f>
        <v>Alimentos y Bebidas</v>
      </c>
      <c r="AR218" s="7" t="s">
        <v>1950</v>
      </c>
    </row>
    <row r="219" spans="1:44" x14ac:dyDescent="0.3">
      <c r="A219" s="87"/>
      <c r="B219" s="6">
        <v>214</v>
      </c>
      <c r="C219" s="6"/>
      <c r="D219" s="6"/>
      <c r="E219" s="6"/>
      <c r="F219" s="6"/>
      <c r="G219" s="7" t="s">
        <v>36</v>
      </c>
      <c r="H219" s="7" t="s">
        <v>29</v>
      </c>
      <c r="I219" s="7" t="s">
        <v>137</v>
      </c>
      <c r="J219" s="7" t="s">
        <v>1846</v>
      </c>
      <c r="K219" s="9" t="s">
        <v>1847</v>
      </c>
      <c r="L219" s="7"/>
      <c r="M219" s="7" t="s">
        <v>50</v>
      </c>
      <c r="N219" s="7">
        <v>951507986</v>
      </c>
      <c r="O219" s="13">
        <v>866849060091884</v>
      </c>
      <c r="P219" s="13"/>
      <c r="Q219" s="7"/>
      <c r="R219" s="7"/>
      <c r="S219" s="7"/>
      <c r="T219" s="7"/>
      <c r="U219" s="7"/>
      <c r="V219" s="7"/>
      <c r="W219" s="7"/>
      <c r="X219" s="7" t="s">
        <v>140</v>
      </c>
      <c r="Y219" s="7"/>
      <c r="Z219" s="7"/>
      <c r="AA219" s="7" t="s">
        <v>1715</v>
      </c>
      <c r="AB219" s="7"/>
      <c r="AC219" s="7" t="s">
        <v>145</v>
      </c>
      <c r="AD219" s="7"/>
      <c r="AE219" s="7" t="s">
        <v>162</v>
      </c>
      <c r="AF219" s="7"/>
      <c r="AG219" s="7"/>
      <c r="AH219" s="8"/>
      <c r="AI219" s="7"/>
      <c r="AJ219" s="7" t="s">
        <v>107</v>
      </c>
      <c r="AK219" s="7" t="s">
        <v>109</v>
      </c>
      <c r="AL219" s="9" t="s">
        <v>798</v>
      </c>
      <c r="AM219" s="7" t="str">
        <f>VLOOKUP(AL219,Personal!$A$2:$I$300,2,FALSE)</f>
        <v>0000001648</v>
      </c>
      <c r="AN219" s="7" t="str">
        <f>VLOOKUP(AL219,Personal!$A$2:$I$300,3,FALSE)</f>
        <v>CHAFALOTE MAURICIO CESAR HUGO</v>
      </c>
      <c r="AO219" s="7" t="str">
        <f>VLOOKUP(AL219,Personal!$A$2:$I$300,6,FALSE)</f>
        <v>Técnico Sanitario</v>
      </c>
      <c r="AP219" s="7" t="str">
        <f>VLOOKUP(AL219,Personal!$A$2:$I$300,7,FALSE)</f>
        <v>Mantenimiento</v>
      </c>
      <c r="AQ219" s="7" t="str">
        <f>VLOOKUP(AL219,Personal!$A$2:$I$300,8,FALSE)</f>
        <v>Mantenimiento</v>
      </c>
      <c r="AR219" s="7" t="s">
        <v>1849</v>
      </c>
    </row>
    <row r="220" spans="1:44" x14ac:dyDescent="0.3">
      <c r="A220" s="87"/>
      <c r="B220" s="6">
        <v>215</v>
      </c>
      <c r="C220" s="6"/>
      <c r="D220" s="6"/>
      <c r="E220" s="6"/>
      <c r="F220" s="6"/>
      <c r="G220" s="7" t="s">
        <v>36</v>
      </c>
      <c r="H220" s="7" t="s">
        <v>29</v>
      </c>
      <c r="I220" s="7" t="s">
        <v>125</v>
      </c>
      <c r="J220" s="7" t="s">
        <v>1700</v>
      </c>
      <c r="K220" s="10" t="s">
        <v>1848</v>
      </c>
      <c r="L220" s="7"/>
      <c r="M220" s="7" t="s">
        <v>50</v>
      </c>
      <c r="N220" s="7">
        <v>939732352</v>
      </c>
      <c r="O220" s="13">
        <v>353384837594689</v>
      </c>
      <c r="P220" s="13"/>
      <c r="Q220" s="7"/>
      <c r="R220" s="7"/>
      <c r="S220" s="7"/>
      <c r="T220" s="7"/>
      <c r="U220" s="7"/>
      <c r="V220" s="7"/>
      <c r="W220" s="7"/>
      <c r="X220" s="7" t="s">
        <v>140</v>
      </c>
      <c r="Y220" s="7"/>
      <c r="Z220" s="7"/>
      <c r="AA220" s="7" t="s">
        <v>142</v>
      </c>
      <c r="AB220" s="7"/>
      <c r="AC220" s="7" t="s">
        <v>146</v>
      </c>
      <c r="AD220" s="7"/>
      <c r="AE220" s="7" t="s">
        <v>162</v>
      </c>
      <c r="AF220" s="7"/>
      <c r="AG220" s="7"/>
      <c r="AH220" s="8"/>
      <c r="AI220" s="7"/>
      <c r="AJ220" s="7" t="s">
        <v>107</v>
      </c>
      <c r="AK220" s="7" t="s">
        <v>109</v>
      </c>
      <c r="AL220" s="9" t="s">
        <v>601</v>
      </c>
      <c r="AM220" s="7" t="str">
        <f>VLOOKUP(AL220,Personal!$A$2:$I$300,2,FALSE)</f>
        <v>0000001511</v>
      </c>
      <c r="AN220" s="7" t="str">
        <f>VLOOKUP(AL220,Personal!$A$2:$I$300,3,FALSE)</f>
        <v>HINOSTROZA TOCCAS MIGUEL ANGEL</v>
      </c>
      <c r="AO220" s="7" t="str">
        <f>VLOOKUP(AL220,Personal!$A$2:$I$300,6,FALSE)</f>
        <v>Supervisor Cocina Producción</v>
      </c>
      <c r="AP220" s="7" t="str">
        <f>VLOOKUP(AL220,Personal!$A$2:$I$300,7,FALSE)</f>
        <v xml:space="preserve">Cocina Producción </v>
      </c>
      <c r="AQ220" s="7" t="str">
        <f>VLOOKUP(AL220,Personal!$A$2:$I$300,8,FALSE)</f>
        <v>Cocina</v>
      </c>
      <c r="AR220" s="7" t="s">
        <v>1850</v>
      </c>
    </row>
    <row r="221" spans="1:44" x14ac:dyDescent="0.3">
      <c r="B221" s="6">
        <v>216</v>
      </c>
      <c r="C221" s="6"/>
      <c r="D221" s="6"/>
      <c r="E221" s="6"/>
      <c r="F221" s="6"/>
      <c r="G221" s="7" t="s">
        <v>36</v>
      </c>
      <c r="H221" s="7" t="s">
        <v>29</v>
      </c>
      <c r="I221" s="7" t="s">
        <v>125</v>
      </c>
      <c r="J221" s="7" t="s">
        <v>1700</v>
      </c>
      <c r="K221" s="10" t="s">
        <v>1852</v>
      </c>
      <c r="L221" s="7"/>
      <c r="M221" s="7" t="s">
        <v>50</v>
      </c>
      <c r="N221" s="7">
        <v>998307528</v>
      </c>
      <c r="O221" s="13">
        <v>353384835439390</v>
      </c>
      <c r="P221" s="13"/>
      <c r="Q221" s="7"/>
      <c r="R221" s="7"/>
      <c r="S221" s="7"/>
      <c r="T221" s="7"/>
      <c r="U221" s="7"/>
      <c r="V221" s="7"/>
      <c r="W221" s="7"/>
      <c r="X221" s="7" t="s">
        <v>140</v>
      </c>
      <c r="Y221" s="7"/>
      <c r="Z221" s="7"/>
      <c r="AA221" s="7" t="s">
        <v>142</v>
      </c>
      <c r="AB221" s="7"/>
      <c r="AC221" s="7" t="s">
        <v>146</v>
      </c>
      <c r="AD221" s="7"/>
      <c r="AE221" s="7" t="s">
        <v>162</v>
      </c>
      <c r="AF221" s="7"/>
      <c r="AG221" s="7"/>
      <c r="AH221" s="8"/>
      <c r="AI221" s="7"/>
      <c r="AJ221" s="7" t="s">
        <v>107</v>
      </c>
      <c r="AK221" s="7" t="s">
        <v>109</v>
      </c>
      <c r="AL221" s="9" t="s">
        <v>664</v>
      </c>
      <c r="AM221" s="7" t="str">
        <f>VLOOKUP(AL221,Personal!$A$2:$I$300,2,FALSE)</f>
        <v>0000001557</v>
      </c>
      <c r="AN221" s="7" t="str">
        <f>VLOOKUP(AL221,Personal!$A$2:$I$300,3,FALSE)</f>
        <v>CARBAJAL SANDOVAL KARIN GEORGHET</v>
      </c>
      <c r="AO221" s="7" t="str">
        <f>VLOOKUP(AL221,Personal!$A$2:$I$300,6,FALSE)</f>
        <v>Enfermera</v>
      </c>
      <c r="AP221" s="7" t="str">
        <f>VLOOKUP(AL221,Personal!$A$2:$I$300,7,FALSE)</f>
        <v>Personas y Cultura</v>
      </c>
      <c r="AQ221" s="7" t="str">
        <f>VLOOKUP(AL221,Personal!$A$2:$I$300,8,FALSE)</f>
        <v>Personas y Cultura</v>
      </c>
      <c r="AR221" s="7" t="s">
        <v>1851</v>
      </c>
    </row>
    <row r="222" spans="1:44" x14ac:dyDescent="0.3">
      <c r="B222" s="6">
        <v>217</v>
      </c>
      <c r="C222" s="6"/>
      <c r="D222" s="6"/>
      <c r="E222" s="6"/>
      <c r="F222" s="6"/>
      <c r="G222" s="7" t="s">
        <v>36</v>
      </c>
      <c r="H222" s="7" t="s">
        <v>29</v>
      </c>
      <c r="I222" s="7" t="s">
        <v>1797</v>
      </c>
      <c r="J222" s="7" t="s">
        <v>1702</v>
      </c>
      <c r="K222" s="10" t="s">
        <v>1854</v>
      </c>
      <c r="L222" s="7"/>
      <c r="M222" s="7" t="s">
        <v>50</v>
      </c>
      <c r="N222" s="7">
        <v>974171056</v>
      </c>
      <c r="O222" s="13">
        <v>865451068740967</v>
      </c>
      <c r="P222" s="13">
        <v>865451068740975</v>
      </c>
      <c r="Q222" s="7"/>
      <c r="R222" s="7"/>
      <c r="S222" s="7"/>
      <c r="T222" s="7"/>
      <c r="U222" s="7"/>
      <c r="V222" s="7"/>
      <c r="W222" s="7"/>
      <c r="X222" s="7" t="s">
        <v>140</v>
      </c>
      <c r="Y222" s="7"/>
      <c r="Z222" s="7"/>
      <c r="AA222" s="7" t="s">
        <v>142</v>
      </c>
      <c r="AB222" s="7"/>
      <c r="AC222" s="7" t="s">
        <v>146</v>
      </c>
      <c r="AD222" s="7"/>
      <c r="AE222" s="7" t="s">
        <v>162</v>
      </c>
      <c r="AF222" s="7"/>
      <c r="AG222" s="7"/>
      <c r="AH222" s="8"/>
      <c r="AI222" s="7"/>
      <c r="AJ222" s="7" t="s">
        <v>107</v>
      </c>
      <c r="AK222" s="7" t="s">
        <v>109</v>
      </c>
      <c r="AL222" s="9" t="s">
        <v>863</v>
      </c>
      <c r="AM222" s="7" t="str">
        <f>VLOOKUP(AL222,Personal!$A$2:$I$300,2,FALSE)</f>
        <v>0000001670</v>
      </c>
      <c r="AN222" s="7" t="str">
        <f>VLOOKUP(AL222,Personal!$A$2:$I$300,3,FALSE)</f>
        <v>CARRERA PALACIOS ROSALIA RENE</v>
      </c>
      <c r="AO222" s="7" t="str">
        <f>VLOOKUP(AL222,Personal!$A$2:$I$300,6,FALSE)</f>
        <v>Asistente de Personas y Cultura</v>
      </c>
      <c r="AP222" s="7" t="str">
        <f>VLOOKUP(AL222,Personal!$A$2:$I$300,7,FALSE)</f>
        <v>Personas y Cultura</v>
      </c>
      <c r="AQ222" s="7" t="str">
        <f>VLOOKUP(AL222,Personal!$A$2:$I$300,8,FALSE)</f>
        <v>Personas y Cultura</v>
      </c>
      <c r="AR222" s="7"/>
    </row>
    <row r="223" spans="1:44" x14ac:dyDescent="0.3">
      <c r="B223" s="6">
        <v>218</v>
      </c>
      <c r="C223" s="6"/>
      <c r="D223" s="6"/>
      <c r="E223" s="6"/>
      <c r="F223" s="6"/>
      <c r="G223" s="7" t="s">
        <v>36</v>
      </c>
      <c r="H223" s="7" t="s">
        <v>29</v>
      </c>
      <c r="I223" s="7" t="s">
        <v>1797</v>
      </c>
      <c r="J223" s="7" t="s">
        <v>1702</v>
      </c>
      <c r="K223" s="10" t="s">
        <v>1855</v>
      </c>
      <c r="L223" s="7"/>
      <c r="M223" s="7" t="s">
        <v>50</v>
      </c>
      <c r="N223" s="7">
        <v>951514974</v>
      </c>
      <c r="O223" s="13">
        <v>865451068876548</v>
      </c>
      <c r="P223" s="13">
        <v>865451068876555</v>
      </c>
      <c r="Q223" s="7"/>
      <c r="R223" s="7"/>
      <c r="S223" s="7"/>
      <c r="T223" s="7"/>
      <c r="U223" s="7"/>
      <c r="V223" s="7"/>
      <c r="W223" s="7"/>
      <c r="X223" s="7" t="s">
        <v>140</v>
      </c>
      <c r="Y223" s="7"/>
      <c r="Z223" s="7"/>
      <c r="AA223" s="7" t="s">
        <v>142</v>
      </c>
      <c r="AB223" s="7"/>
      <c r="AC223" s="7" t="s">
        <v>146</v>
      </c>
      <c r="AD223" s="7"/>
      <c r="AE223" s="7" t="s">
        <v>162</v>
      </c>
      <c r="AF223" s="7"/>
      <c r="AG223" s="7"/>
      <c r="AH223" s="8"/>
      <c r="AI223" s="7"/>
      <c r="AJ223" s="7" t="s">
        <v>107</v>
      </c>
      <c r="AK223" s="7" t="s">
        <v>109</v>
      </c>
      <c r="AL223" s="10" t="s">
        <v>1989</v>
      </c>
      <c r="AM223" s="7">
        <f>VLOOKUP(AL223,Personal!$A$2:$I$300,2,FALSE)</f>
        <v>0</v>
      </c>
      <c r="AN223" s="7" t="str">
        <f>VLOOKUP(AL223,Personal!$A$2:$I$300,3,FALSE)</f>
        <v>Limpieza Publica</v>
      </c>
      <c r="AO223" s="7" t="str">
        <f>VLOOKUP(AL223,Personal!$A$2:$I$300,6,FALSE)</f>
        <v>Empleado de Limpieza</v>
      </c>
      <c r="AP223" s="7" t="str">
        <f>VLOOKUP(AL223,Personal!$A$2:$I$300,7,FALSE)</f>
        <v>Limpieza</v>
      </c>
      <c r="AQ223" s="7" t="str">
        <f>VLOOKUP(AL223,Personal!$A$2:$I$300,8,FALSE)</f>
        <v>División de Habitaciones (Operaciones)</v>
      </c>
      <c r="AR223" s="7" t="s">
        <v>1856</v>
      </c>
    </row>
    <row r="224" spans="1:44" x14ac:dyDescent="0.3">
      <c r="B224" s="6">
        <v>219</v>
      </c>
      <c r="C224" s="6"/>
      <c r="D224" s="6"/>
      <c r="E224" s="6"/>
      <c r="F224" s="6"/>
      <c r="G224" s="7" t="s">
        <v>36</v>
      </c>
      <c r="H224" s="7" t="s">
        <v>29</v>
      </c>
      <c r="I224" s="7" t="s">
        <v>1797</v>
      </c>
      <c r="J224" s="7" t="s">
        <v>1702</v>
      </c>
      <c r="K224" s="10" t="s">
        <v>1863</v>
      </c>
      <c r="L224" s="7"/>
      <c r="M224" s="7" t="s">
        <v>50</v>
      </c>
      <c r="N224" s="7">
        <v>951500713</v>
      </c>
      <c r="O224" s="13">
        <v>865451068714426</v>
      </c>
      <c r="P224" s="13">
        <v>865451068714434</v>
      </c>
      <c r="Q224" s="7"/>
      <c r="R224" s="7"/>
      <c r="S224" s="7"/>
      <c r="T224" s="7"/>
      <c r="U224" s="7"/>
      <c r="V224" s="7"/>
      <c r="W224" s="7"/>
      <c r="X224" s="7" t="s">
        <v>140</v>
      </c>
      <c r="Y224" s="7"/>
      <c r="Z224" s="7"/>
      <c r="AA224" s="7" t="s">
        <v>142</v>
      </c>
      <c r="AB224" s="7"/>
      <c r="AC224" s="7" t="s">
        <v>146</v>
      </c>
      <c r="AD224" s="7"/>
      <c r="AE224" s="7" t="s">
        <v>162</v>
      </c>
      <c r="AF224" s="7"/>
      <c r="AG224" s="7"/>
      <c r="AH224" s="8"/>
      <c r="AI224" s="7"/>
      <c r="AJ224" s="7" t="s">
        <v>107</v>
      </c>
      <c r="AK224" s="7" t="s">
        <v>109</v>
      </c>
      <c r="AL224" s="9" t="s">
        <v>1858</v>
      </c>
      <c r="AM224" s="7" t="str">
        <f>VLOOKUP(AL224,Personal!$A$2:$I$300,2,FALSE)</f>
        <v>0000001775</v>
      </c>
      <c r="AN224" s="7" t="str">
        <f>VLOOKUP(AL224,Personal!$A$2:$I$300,3,FALSE)</f>
        <v>VARGAS PINTO DIANA VERÓNICA</v>
      </c>
      <c r="AO224" s="7" t="str">
        <f>VLOOKUP(AL224,Personal!$A$2:$I$300,6,FALSE)</f>
        <v xml:space="preserve">Ejecutiva de Eventos </v>
      </c>
      <c r="AP224" s="7" t="str">
        <f>VLOOKUP(AL224,Personal!$A$2:$I$300,7,FALSE)</f>
        <v>Ventas</v>
      </c>
      <c r="AQ224" s="7" t="str">
        <f>VLOOKUP(AL224,Personal!$A$2:$I$300,8,FALSE)</f>
        <v>Ventas y Marketing</v>
      </c>
      <c r="AR224" s="7"/>
    </row>
    <row r="225" spans="2:44" x14ac:dyDescent="0.3">
      <c r="B225" s="6">
        <v>220</v>
      </c>
      <c r="C225" s="6"/>
      <c r="D225" s="6"/>
      <c r="E225" s="6"/>
      <c r="F225" s="6"/>
      <c r="G225" s="7" t="s">
        <v>33</v>
      </c>
      <c r="H225" s="7" t="s">
        <v>29</v>
      </c>
      <c r="I225" s="7" t="s">
        <v>47</v>
      </c>
      <c r="J225" s="7" t="s">
        <v>1866</v>
      </c>
      <c r="K225" s="10" t="s">
        <v>1867</v>
      </c>
      <c r="L225" s="7"/>
      <c r="M225" s="7"/>
      <c r="N225" s="7"/>
      <c r="O225" s="13"/>
      <c r="P225" s="13"/>
      <c r="Q225" s="7"/>
      <c r="R225" s="7"/>
      <c r="S225" s="7"/>
      <c r="T225" s="7"/>
      <c r="U225" s="7"/>
      <c r="V225" s="7" t="s">
        <v>1869</v>
      </c>
      <c r="W225" s="7" t="s">
        <v>1869</v>
      </c>
      <c r="X225" s="7" t="s">
        <v>55</v>
      </c>
      <c r="Y225" s="7"/>
      <c r="Z225" s="7"/>
      <c r="AA225" s="7" t="s">
        <v>65</v>
      </c>
      <c r="AB225" s="7"/>
      <c r="AC225" s="7" t="s">
        <v>79</v>
      </c>
      <c r="AD225" s="7"/>
      <c r="AE225" s="7" t="s">
        <v>88</v>
      </c>
      <c r="AF225" s="7" t="s">
        <v>170</v>
      </c>
      <c r="AG225" s="7" t="s">
        <v>175</v>
      </c>
      <c r="AH225" s="8"/>
      <c r="AI225" s="7"/>
      <c r="AJ225" s="7" t="s">
        <v>107</v>
      </c>
      <c r="AK225" s="7" t="s">
        <v>109</v>
      </c>
      <c r="AL225" s="9" t="s">
        <v>1868</v>
      </c>
      <c r="AM225" s="7">
        <f>VLOOKUP(AL225,Personal!$A$2:$I$300,2,FALSE)</f>
        <v>0</v>
      </c>
      <c r="AN225" s="7" t="str">
        <f>VLOOKUP(AL225,Personal!$A$2:$I$300,3,FALSE)</f>
        <v xml:space="preserve">Tecnologias de Información </v>
      </c>
      <c r="AO225" s="7" t="str">
        <f>VLOOKUP(AL225,Personal!$A$2:$I$300,6,FALSE)</f>
        <v xml:space="preserve">Tecnologias de Información </v>
      </c>
      <c r="AP225" s="7" t="str">
        <f>VLOOKUP(AL225,Personal!$A$2:$I$300,7,FALSE)</f>
        <v xml:space="preserve">Tecnologias de Información </v>
      </c>
      <c r="AQ225" s="7" t="str">
        <f>VLOOKUP(AL225,Personal!$A$2:$I$300,8,FALSE)</f>
        <v xml:space="preserve">Tecnologias de Información </v>
      </c>
      <c r="AR225" s="7"/>
    </row>
    <row r="226" spans="2:44" x14ac:dyDescent="0.3">
      <c r="B226" s="6">
        <v>221</v>
      </c>
      <c r="C226" s="6"/>
      <c r="D226" s="6"/>
      <c r="E226" s="6"/>
      <c r="F226" s="6"/>
      <c r="G226" s="7" t="s">
        <v>33</v>
      </c>
      <c r="H226" s="7" t="s">
        <v>29</v>
      </c>
      <c r="I226" s="7" t="s">
        <v>48</v>
      </c>
      <c r="J226" s="7" t="s">
        <v>1871</v>
      </c>
      <c r="K226" s="10" t="s">
        <v>1870</v>
      </c>
      <c r="L226" s="7"/>
      <c r="M226" s="7"/>
      <c r="N226" s="7"/>
      <c r="O226" s="13"/>
      <c r="P226" s="13"/>
      <c r="Q226" s="7"/>
      <c r="R226" s="7"/>
      <c r="S226" s="7"/>
      <c r="T226" s="7"/>
      <c r="U226" s="7"/>
      <c r="V226" s="7"/>
      <c r="W226" s="7" t="s">
        <v>1944</v>
      </c>
      <c r="X226" s="7" t="s">
        <v>53</v>
      </c>
      <c r="Y226" s="7"/>
      <c r="Z226" s="7"/>
      <c r="AA226" s="7" t="s">
        <v>63</v>
      </c>
      <c r="AB226" s="7"/>
      <c r="AC226" s="7" t="s">
        <v>77</v>
      </c>
      <c r="AD226" s="7"/>
      <c r="AE226" s="7" t="s">
        <v>88</v>
      </c>
      <c r="AF226" s="7" t="s">
        <v>170</v>
      </c>
      <c r="AG226" s="7" t="s">
        <v>175</v>
      </c>
      <c r="AH226" s="8"/>
      <c r="AI226" s="7"/>
      <c r="AJ226" s="7" t="s">
        <v>107</v>
      </c>
      <c r="AK226" s="7" t="s">
        <v>109</v>
      </c>
      <c r="AL226" s="9">
        <v>73178717</v>
      </c>
      <c r="AM226" s="7" t="str">
        <f>VLOOKUP(AL226,Personal!$A$2:$I$300,2,FALSE)</f>
        <v>0000001605</v>
      </c>
      <c r="AN226" s="7" t="str">
        <f>VLOOKUP(AL226,Personal!$A$2:$I$300,3,FALSE)</f>
        <v>ALEGRE ANGELES FERNANDA LUCIA</v>
      </c>
      <c r="AO226" s="7" t="str">
        <f>VLOOKUP(AL226,Personal!$A$2:$I$300,6,FALSE)</f>
        <v>Jefa de Aseguramiento de Calidad</v>
      </c>
      <c r="AP226" s="7" t="str">
        <f>VLOOKUP(AL226,Personal!$A$2:$I$300,7,FALSE)</f>
        <v>Calidad</v>
      </c>
      <c r="AQ226" s="7" t="str">
        <f>VLOOKUP(AL226,Personal!$A$2:$I$300,8,FALSE)</f>
        <v>Cocina</v>
      </c>
      <c r="AR226" s="7"/>
    </row>
    <row r="227" spans="2:44" x14ac:dyDescent="0.3">
      <c r="B227" s="6">
        <v>222</v>
      </c>
      <c r="C227" s="6"/>
      <c r="D227" s="6"/>
      <c r="E227" s="6"/>
      <c r="F227" s="6"/>
      <c r="G227" s="7" t="s">
        <v>33</v>
      </c>
      <c r="H227" s="7" t="s">
        <v>29</v>
      </c>
      <c r="I227" s="7" t="s">
        <v>47</v>
      </c>
      <c r="J227" s="7" t="s">
        <v>1866</v>
      </c>
      <c r="K227" s="10" t="s">
        <v>1873</v>
      </c>
      <c r="L227" s="7"/>
      <c r="M227" s="7"/>
      <c r="N227" s="7"/>
      <c r="O227" s="13"/>
      <c r="P227" s="13"/>
      <c r="Q227" s="7"/>
      <c r="R227" s="7"/>
      <c r="S227" s="7"/>
      <c r="T227" s="7"/>
      <c r="U227" s="7"/>
      <c r="V227" s="7" t="s">
        <v>1874</v>
      </c>
      <c r="W227" s="7" t="s">
        <v>1874</v>
      </c>
      <c r="X227" s="7" t="s">
        <v>55</v>
      </c>
      <c r="Y227" s="7"/>
      <c r="Z227" s="7"/>
      <c r="AA227" s="7" t="s">
        <v>65</v>
      </c>
      <c r="AB227" s="7"/>
      <c r="AC227" s="7" t="s">
        <v>79</v>
      </c>
      <c r="AD227" s="7"/>
      <c r="AE227" s="7" t="s">
        <v>88</v>
      </c>
      <c r="AF227" s="7" t="s">
        <v>170</v>
      </c>
      <c r="AG227" s="7" t="s">
        <v>175</v>
      </c>
      <c r="AH227" s="8"/>
      <c r="AI227" s="7"/>
      <c r="AJ227" s="7" t="s">
        <v>107</v>
      </c>
      <c r="AK227" s="7" t="s">
        <v>109</v>
      </c>
      <c r="AL227" s="10" t="s">
        <v>1868</v>
      </c>
      <c r="AM227" s="7">
        <f>VLOOKUP(AL227,Personal!$A$2:$I$300,2,FALSE)</f>
        <v>0</v>
      </c>
      <c r="AN227" s="7" t="str">
        <f>VLOOKUP(AL227,Personal!$A$2:$I$300,3,FALSE)</f>
        <v xml:space="preserve">Tecnologias de Información </v>
      </c>
      <c r="AO227" s="7" t="str">
        <f>VLOOKUP(AL227,Personal!$A$2:$I$300,6,FALSE)</f>
        <v xml:space="preserve">Tecnologias de Información </v>
      </c>
      <c r="AP227" s="7" t="str">
        <f>VLOOKUP(AL227,Personal!$A$2:$I$300,7,FALSE)</f>
        <v xml:space="preserve">Tecnologias de Información </v>
      </c>
      <c r="AQ227" s="7" t="str">
        <f>VLOOKUP(AL227,Personal!$A$2:$I$300,8,FALSE)</f>
        <v xml:space="preserve">Tecnologias de Información </v>
      </c>
      <c r="AR227" s="7"/>
    </row>
    <row r="228" spans="2:44" x14ac:dyDescent="0.3">
      <c r="B228" s="6">
        <v>223</v>
      </c>
      <c r="C228" s="6"/>
      <c r="D228" s="6"/>
      <c r="E228" s="6"/>
      <c r="F228" s="6"/>
      <c r="G228" s="7" t="s">
        <v>1671</v>
      </c>
      <c r="H228" s="7" t="s">
        <v>29</v>
      </c>
      <c r="I228" s="7" t="s">
        <v>1672</v>
      </c>
      <c r="J228" s="7" t="s">
        <v>1890</v>
      </c>
      <c r="K228" s="10" t="s">
        <v>1891</v>
      </c>
      <c r="L228" s="105" t="s">
        <v>1903</v>
      </c>
      <c r="M228" s="7"/>
      <c r="N228" s="7"/>
      <c r="O228" s="13"/>
      <c r="P228" s="13"/>
      <c r="Q228" s="7"/>
      <c r="R228" s="7"/>
      <c r="S228" s="7"/>
      <c r="T228" s="7"/>
      <c r="U228" s="7" t="s">
        <v>2037</v>
      </c>
      <c r="V228" s="7"/>
      <c r="W228" s="7"/>
      <c r="X228" s="7" t="s">
        <v>1895</v>
      </c>
      <c r="Y228" s="7"/>
      <c r="Z228" s="7" t="s">
        <v>117</v>
      </c>
      <c r="AA228" s="7" t="s">
        <v>63</v>
      </c>
      <c r="AB228" s="7"/>
      <c r="AC228" s="7" t="s">
        <v>77</v>
      </c>
      <c r="AD228" s="7"/>
      <c r="AE228" s="7" t="s">
        <v>1896</v>
      </c>
      <c r="AF228" s="7" t="s">
        <v>170</v>
      </c>
      <c r="AG228" s="7"/>
      <c r="AH228" s="8"/>
      <c r="AI228" s="7"/>
      <c r="AJ228" s="7" t="s">
        <v>107</v>
      </c>
      <c r="AK228" s="7" t="s">
        <v>109</v>
      </c>
      <c r="AL228" s="10" t="s">
        <v>2038</v>
      </c>
      <c r="AM228" s="7">
        <f>VLOOKUP(AL228,Personal!$A$2:$I$300,2,FALSE)</f>
        <v>0</v>
      </c>
      <c r="AN228" s="7" t="str">
        <f>VLOOKUP(AL228,Personal!$A$2:$I$300,3,FALSE)</f>
        <v>Caja La Fondue</v>
      </c>
      <c r="AO228" s="7" t="str">
        <f>VLOOKUP(AL228,Personal!$A$2:$I$300,6,FALSE)</f>
        <v>Caja La Fondue</v>
      </c>
      <c r="AP228" s="7" t="str">
        <f>VLOOKUP(AL228,Personal!$A$2:$I$300,7,FALSE)</f>
        <v>La Fondue</v>
      </c>
      <c r="AQ228" s="7" t="str">
        <f>VLOOKUP(AL228,Personal!$A$2:$I$300,8,FALSE)</f>
        <v>Alimentos y Bebidas</v>
      </c>
      <c r="AR228" s="7" t="s">
        <v>2038</v>
      </c>
    </row>
    <row r="229" spans="2:44" x14ac:dyDescent="0.3">
      <c r="B229" s="6">
        <v>224</v>
      </c>
      <c r="C229" s="6"/>
      <c r="D229" s="6"/>
      <c r="E229" s="6"/>
      <c r="F229" s="6"/>
      <c r="G229" s="7" t="s">
        <v>1671</v>
      </c>
      <c r="H229" s="7" t="s">
        <v>29</v>
      </c>
      <c r="I229" s="7" t="s">
        <v>1672</v>
      </c>
      <c r="J229" s="7" t="s">
        <v>1890</v>
      </c>
      <c r="K229" s="10" t="s">
        <v>1892</v>
      </c>
      <c r="L229" s="105" t="s">
        <v>1903</v>
      </c>
      <c r="M229" s="7"/>
      <c r="N229" s="7"/>
      <c r="O229" s="13"/>
      <c r="P229" s="13"/>
      <c r="Q229" s="7"/>
      <c r="R229" s="7"/>
      <c r="S229" s="7"/>
      <c r="T229" s="7"/>
      <c r="U229" s="7" t="s">
        <v>1894</v>
      </c>
      <c r="V229" s="7"/>
      <c r="W229" s="7"/>
      <c r="X229" s="7" t="s">
        <v>1895</v>
      </c>
      <c r="Y229" s="7"/>
      <c r="Z229" s="7" t="s">
        <v>117</v>
      </c>
      <c r="AA229" s="7" t="s">
        <v>63</v>
      </c>
      <c r="AB229" s="7"/>
      <c r="AC229" s="7" t="s">
        <v>77</v>
      </c>
      <c r="AD229" s="7"/>
      <c r="AE229" s="7" t="s">
        <v>1896</v>
      </c>
      <c r="AF229" s="7" t="s">
        <v>170</v>
      </c>
      <c r="AG229" s="7"/>
      <c r="AH229" s="8"/>
      <c r="AI229" s="7"/>
      <c r="AJ229" s="7" t="s">
        <v>107</v>
      </c>
      <c r="AK229" s="7" t="s">
        <v>109</v>
      </c>
      <c r="AL229" s="10" t="s">
        <v>2039</v>
      </c>
      <c r="AM229" s="7">
        <f>VLOOKUP(AL229,Personal!$A$2:$I$300,2,FALSE)</f>
        <v>0</v>
      </c>
      <c r="AN229" s="7" t="str">
        <f>VLOOKUP(AL229,Personal!$A$2:$I$300,3,FALSE)</f>
        <v>Caja Le Café</v>
      </c>
      <c r="AO229" s="7" t="str">
        <f>VLOOKUP(AL229,Personal!$A$2:$I$300,6,FALSE)</f>
        <v>Caja Le Café</v>
      </c>
      <c r="AP229" s="7" t="str">
        <f>VLOOKUP(AL229,Personal!$A$2:$I$300,7,FALSE)</f>
        <v>Le Café</v>
      </c>
      <c r="AQ229" s="7" t="str">
        <f>VLOOKUP(AL229,Personal!$A$2:$I$300,8,FALSE)</f>
        <v>Alimentos y Bebidas</v>
      </c>
      <c r="AR229" s="7" t="s">
        <v>2039</v>
      </c>
    </row>
    <row r="230" spans="2:44" x14ac:dyDescent="0.3">
      <c r="B230" s="6">
        <v>225</v>
      </c>
      <c r="C230" s="6"/>
      <c r="D230" s="6"/>
      <c r="E230" s="6"/>
      <c r="F230" s="6"/>
      <c r="G230" s="7" t="s">
        <v>1671</v>
      </c>
      <c r="H230" s="7" t="s">
        <v>29</v>
      </c>
      <c r="I230" s="7" t="s">
        <v>1672</v>
      </c>
      <c r="J230" s="7" t="s">
        <v>1890</v>
      </c>
      <c r="K230" s="10" t="s">
        <v>1897</v>
      </c>
      <c r="L230" s="105" t="s">
        <v>1903</v>
      </c>
      <c r="M230" s="7"/>
      <c r="N230" s="7"/>
      <c r="O230" s="13"/>
      <c r="P230" s="13"/>
      <c r="Q230" s="7"/>
      <c r="R230" s="7"/>
      <c r="S230" s="7"/>
      <c r="T230" s="7"/>
      <c r="U230" s="7" t="s">
        <v>2036</v>
      </c>
      <c r="V230" s="7"/>
      <c r="W230" s="7"/>
      <c r="X230" s="7" t="s">
        <v>1895</v>
      </c>
      <c r="Y230" s="7"/>
      <c r="Z230" s="7" t="s">
        <v>117</v>
      </c>
      <c r="AA230" s="7" t="s">
        <v>63</v>
      </c>
      <c r="AB230" s="7"/>
      <c r="AC230" s="7" t="s">
        <v>77</v>
      </c>
      <c r="AD230" s="7"/>
      <c r="AE230" s="7" t="s">
        <v>1896</v>
      </c>
      <c r="AF230" s="7" t="s">
        <v>170</v>
      </c>
      <c r="AG230" s="7"/>
      <c r="AH230" s="8"/>
      <c r="AI230" s="7"/>
      <c r="AJ230" s="7" t="s">
        <v>107</v>
      </c>
      <c r="AK230" s="7" t="s">
        <v>109</v>
      </c>
      <c r="AL230" s="10" t="s">
        <v>1967</v>
      </c>
      <c r="AM230" s="7">
        <f>VLOOKUP(AL230,Personal!$A$2:$I$300,2,FALSE)</f>
        <v>0</v>
      </c>
      <c r="AN230" s="7" t="str">
        <f>VLOOKUP(AL230,Personal!$A$2:$I$300,3,FALSE)</f>
        <v>Caja Room Service</v>
      </c>
      <c r="AO230" s="7" t="str">
        <f>VLOOKUP(AL230,Personal!$A$2:$I$300,6,FALSE)</f>
        <v>Caja Room Service</v>
      </c>
      <c r="AP230" s="7" t="str">
        <f>VLOOKUP(AL230,Personal!$A$2:$I$300,7,FALSE)</f>
        <v>Room Service</v>
      </c>
      <c r="AQ230" s="7" t="str">
        <f>VLOOKUP(AL230,Personal!$A$2:$I$300,8,FALSE)</f>
        <v>Alimentos y Bebidas</v>
      </c>
      <c r="AR230" s="7" t="s">
        <v>1967</v>
      </c>
    </row>
    <row r="231" spans="2:44" x14ac:dyDescent="0.3">
      <c r="B231" s="6">
        <v>226</v>
      </c>
      <c r="C231" s="6"/>
      <c r="D231" s="6"/>
      <c r="E231" s="6"/>
      <c r="F231" s="6"/>
      <c r="G231" s="7" t="s">
        <v>1671</v>
      </c>
      <c r="H231" s="7" t="s">
        <v>29</v>
      </c>
      <c r="I231" s="7" t="s">
        <v>1672</v>
      </c>
      <c r="J231" s="7" t="s">
        <v>1890</v>
      </c>
      <c r="K231" s="10" t="s">
        <v>1898</v>
      </c>
      <c r="L231" s="105" t="s">
        <v>1903</v>
      </c>
      <c r="M231" s="7"/>
      <c r="N231" s="7"/>
      <c r="O231" s="13"/>
      <c r="P231" s="13"/>
      <c r="Q231" s="7"/>
      <c r="R231" s="7"/>
      <c r="S231" s="7"/>
      <c r="T231" s="7"/>
      <c r="U231" s="7" t="s">
        <v>1968</v>
      </c>
      <c r="V231" s="7"/>
      <c r="W231" s="7"/>
      <c r="X231" s="7" t="s">
        <v>1895</v>
      </c>
      <c r="Y231" s="7"/>
      <c r="Z231" s="7" t="s">
        <v>117</v>
      </c>
      <c r="AA231" s="7" t="s">
        <v>63</v>
      </c>
      <c r="AB231" s="7"/>
      <c r="AC231" s="7" t="s">
        <v>77</v>
      </c>
      <c r="AD231" s="7"/>
      <c r="AE231" s="7" t="s">
        <v>1896</v>
      </c>
      <c r="AF231" s="7" t="s">
        <v>170</v>
      </c>
      <c r="AG231" s="7"/>
      <c r="AH231" s="8"/>
      <c r="AI231" s="7"/>
      <c r="AJ231" s="7" t="s">
        <v>107</v>
      </c>
      <c r="AK231" s="7" t="s">
        <v>109</v>
      </c>
      <c r="AL231" s="10" t="s">
        <v>387</v>
      </c>
      <c r="AM231" s="7">
        <f>VLOOKUP(AL231,Personal!$A$2:$I$300,2,FALSE)</f>
        <v>0</v>
      </c>
      <c r="AN231" s="7" t="str">
        <f>VLOOKUP(AL231,Personal!$A$2:$I$300,3,FALSE)</f>
        <v>Banquetes</v>
      </c>
      <c r="AO231" s="7" t="str">
        <f>VLOOKUP(AL231,Personal!$A$2:$I$300,6,FALSE)</f>
        <v>Banquetes</v>
      </c>
      <c r="AP231" s="7" t="str">
        <f>VLOOKUP(AL231,Personal!$A$2:$I$300,7,FALSE)</f>
        <v>Banquetes</v>
      </c>
      <c r="AQ231" s="7" t="str">
        <f>VLOOKUP(AL231,Personal!$A$2:$I$300,8,FALSE)</f>
        <v>Alimentos y Bebidas</v>
      </c>
      <c r="AR231" s="7" t="s">
        <v>387</v>
      </c>
    </row>
    <row r="232" spans="2:44" x14ac:dyDescent="0.3">
      <c r="B232" s="6">
        <v>227</v>
      </c>
      <c r="C232" s="6"/>
      <c r="D232" s="6"/>
      <c r="E232" s="6"/>
      <c r="F232" s="6"/>
      <c r="G232" s="7" t="s">
        <v>1671</v>
      </c>
      <c r="H232" s="7" t="s">
        <v>29</v>
      </c>
      <c r="I232" s="7" t="s">
        <v>1672</v>
      </c>
      <c r="J232" s="7" t="s">
        <v>1890</v>
      </c>
      <c r="K232" s="10" t="s">
        <v>1899</v>
      </c>
      <c r="L232" s="105" t="s">
        <v>1903</v>
      </c>
      <c r="M232" s="7"/>
      <c r="N232" s="7"/>
      <c r="O232" s="13"/>
      <c r="P232" s="13"/>
      <c r="Q232" s="7"/>
      <c r="R232" s="7"/>
      <c r="S232" s="7"/>
      <c r="T232" s="7"/>
      <c r="U232" s="7"/>
      <c r="V232" s="7"/>
      <c r="W232" s="7"/>
      <c r="X232" s="7" t="s">
        <v>1895</v>
      </c>
      <c r="Y232" s="7"/>
      <c r="Z232" s="7" t="s">
        <v>117</v>
      </c>
      <c r="AA232" s="7" t="s">
        <v>63</v>
      </c>
      <c r="AB232" s="7"/>
      <c r="AC232" s="7" t="s">
        <v>77</v>
      </c>
      <c r="AD232" s="7"/>
      <c r="AE232" s="7" t="s">
        <v>1896</v>
      </c>
      <c r="AF232" s="7" t="s">
        <v>170</v>
      </c>
      <c r="AG232" s="7"/>
      <c r="AH232" s="8"/>
      <c r="AI232" s="7"/>
      <c r="AJ232" s="7" t="s">
        <v>107</v>
      </c>
      <c r="AK232" s="7" t="s">
        <v>176</v>
      </c>
      <c r="AL232" s="10" t="s">
        <v>1748</v>
      </c>
      <c r="AM232" s="7">
        <f>VLOOKUP(AL232,Personal!$A$2:$I$300,2,FALSE)</f>
        <v>0</v>
      </c>
      <c r="AN232" s="7" t="str">
        <f>VLOOKUP(AL232,Personal!$A$2:$I$300,3,FALSE)</f>
        <v xml:space="preserve">Tecnologias de Información </v>
      </c>
      <c r="AO232" s="7" t="str">
        <f>VLOOKUP(AL232,Personal!$A$2:$I$300,6,FALSE)</f>
        <v xml:space="preserve">Tecnologias de Información </v>
      </c>
      <c r="AP232" s="7" t="str">
        <f>VLOOKUP(AL232,Personal!$A$2:$I$300,7,FALSE)</f>
        <v xml:space="preserve">Tecnologias de Información </v>
      </c>
      <c r="AQ232" s="7" t="str">
        <f>VLOOKUP(AL232,Personal!$A$2:$I$300,8,FALSE)</f>
        <v xml:space="preserve">Tecnologias de Información </v>
      </c>
      <c r="AR232" s="7" t="s">
        <v>2043</v>
      </c>
    </row>
    <row r="233" spans="2:44" x14ac:dyDescent="0.3">
      <c r="B233" s="6">
        <v>228</v>
      </c>
      <c r="C233" s="6"/>
      <c r="D233" s="6"/>
      <c r="E233" s="6"/>
      <c r="F233" s="6"/>
      <c r="G233" s="7" t="s">
        <v>1671</v>
      </c>
      <c r="H233" s="7" t="s">
        <v>29</v>
      </c>
      <c r="I233" s="7" t="s">
        <v>1672</v>
      </c>
      <c r="J233" s="7" t="s">
        <v>1890</v>
      </c>
      <c r="K233" s="10" t="s">
        <v>1900</v>
      </c>
      <c r="L233" s="105" t="s">
        <v>1903</v>
      </c>
      <c r="M233" s="7"/>
      <c r="N233" s="7"/>
      <c r="O233" s="13"/>
      <c r="P233" s="13"/>
      <c r="Q233" s="7"/>
      <c r="R233" s="7"/>
      <c r="S233" s="7"/>
      <c r="T233" s="7"/>
      <c r="U233" s="7" t="s">
        <v>2033</v>
      </c>
      <c r="V233" s="7"/>
      <c r="W233" s="7"/>
      <c r="X233" s="7" t="s">
        <v>1895</v>
      </c>
      <c r="Y233" s="7"/>
      <c r="Z233" s="7" t="s">
        <v>117</v>
      </c>
      <c r="AA233" s="7" t="s">
        <v>63</v>
      </c>
      <c r="AB233" s="7"/>
      <c r="AC233" s="7" t="s">
        <v>77</v>
      </c>
      <c r="AD233" s="7"/>
      <c r="AE233" s="7" t="s">
        <v>1896</v>
      </c>
      <c r="AF233" s="7" t="s">
        <v>170</v>
      </c>
      <c r="AG233" s="7"/>
      <c r="AH233" s="8"/>
      <c r="AI233" s="7"/>
      <c r="AJ233" s="7" t="s">
        <v>107</v>
      </c>
      <c r="AK233" s="7" t="s">
        <v>109</v>
      </c>
      <c r="AL233" s="10" t="s">
        <v>2040</v>
      </c>
      <c r="AM233" s="7">
        <f>VLOOKUP(AL233,Personal!$A$2:$I$300,2,FALSE)</f>
        <v>0</v>
      </c>
      <c r="AN233" s="7" t="str">
        <f>VLOOKUP(AL233,Personal!$A$2:$I$300,3,FALSE)</f>
        <v>Caja Lobby Bar</v>
      </c>
      <c r="AO233" s="7" t="str">
        <f>VLOOKUP(AL233,Personal!$A$2:$I$300,6,FALSE)</f>
        <v>Caja Lobby Bar</v>
      </c>
      <c r="AP233" s="7" t="str">
        <f>VLOOKUP(AL233,Personal!$A$2:$I$300,7,FALSE)</f>
        <v>Lobby Bar</v>
      </c>
      <c r="AQ233" s="7" t="str">
        <f>VLOOKUP(AL233,Personal!$A$2:$I$300,8,FALSE)</f>
        <v>Alimentos y Bebidas</v>
      </c>
      <c r="AR233" s="7" t="s">
        <v>2040</v>
      </c>
    </row>
    <row r="234" spans="2:44" x14ac:dyDescent="0.3">
      <c r="B234" s="6">
        <v>229</v>
      </c>
      <c r="C234" s="6"/>
      <c r="D234" s="6"/>
      <c r="E234" s="6"/>
      <c r="F234" s="6"/>
      <c r="G234" s="7" t="s">
        <v>1671</v>
      </c>
      <c r="H234" s="7" t="s">
        <v>29</v>
      </c>
      <c r="I234" s="7" t="s">
        <v>1672</v>
      </c>
      <c r="J234" s="7" t="s">
        <v>1890</v>
      </c>
      <c r="K234" s="10" t="s">
        <v>1901</v>
      </c>
      <c r="L234" s="105" t="s">
        <v>1903</v>
      </c>
      <c r="M234" s="7"/>
      <c r="N234" s="7"/>
      <c r="O234" s="13"/>
      <c r="P234" s="13"/>
      <c r="Q234" s="7"/>
      <c r="R234" s="7"/>
      <c r="S234" s="7"/>
      <c r="T234" s="7"/>
      <c r="U234" s="7" t="s">
        <v>2035</v>
      </c>
      <c r="V234" s="7"/>
      <c r="W234" s="7"/>
      <c r="X234" s="7" t="s">
        <v>1895</v>
      </c>
      <c r="Y234" s="7"/>
      <c r="Z234" s="7" t="s">
        <v>117</v>
      </c>
      <c r="AA234" s="7" t="s">
        <v>63</v>
      </c>
      <c r="AB234" s="7"/>
      <c r="AC234" s="7" t="s">
        <v>77</v>
      </c>
      <c r="AD234" s="7"/>
      <c r="AE234" s="7" t="s">
        <v>1896</v>
      </c>
      <c r="AF234" s="7" t="s">
        <v>170</v>
      </c>
      <c r="AG234" s="7"/>
      <c r="AH234" s="8"/>
      <c r="AI234" s="7"/>
      <c r="AJ234" s="7" t="s">
        <v>107</v>
      </c>
      <c r="AK234" s="7" t="s">
        <v>109</v>
      </c>
      <c r="AL234" s="10" t="s">
        <v>2041</v>
      </c>
      <c r="AM234" s="7">
        <f>VLOOKUP(AL234,Personal!$A$2:$I$300,2,FALSE)</f>
        <v>0</v>
      </c>
      <c r="AN234" s="7" t="str">
        <f>VLOOKUP(AL234,Personal!$A$2:$I$300,3,FALSE)</f>
        <v>Caja La Locanda</v>
      </c>
      <c r="AO234" s="7" t="str">
        <f>VLOOKUP(AL234,Personal!$A$2:$I$300,6,FALSE)</f>
        <v>Caja La Locanda</v>
      </c>
      <c r="AP234" s="7" t="str">
        <f>VLOOKUP(AL234,Personal!$A$2:$I$300,7,FALSE)</f>
        <v>La Locanda</v>
      </c>
      <c r="AQ234" s="7" t="str">
        <f>VLOOKUP(AL234,Personal!$A$2:$I$300,8,FALSE)</f>
        <v>Alimentos y Bebidas</v>
      </c>
      <c r="AR234" s="7" t="s">
        <v>2041</v>
      </c>
    </row>
    <row r="235" spans="2:44" x14ac:dyDescent="0.3">
      <c r="B235" s="6">
        <v>230</v>
      </c>
      <c r="C235" s="6"/>
      <c r="D235" s="6"/>
      <c r="E235" s="6"/>
      <c r="F235" s="6"/>
      <c r="G235" s="7" t="s">
        <v>1671</v>
      </c>
      <c r="H235" s="7" t="s">
        <v>29</v>
      </c>
      <c r="I235" s="7" t="s">
        <v>1672</v>
      </c>
      <c r="J235" s="7" t="s">
        <v>1890</v>
      </c>
      <c r="K235" s="10" t="s">
        <v>1902</v>
      </c>
      <c r="L235" s="105" t="s">
        <v>1903</v>
      </c>
      <c r="M235" s="7"/>
      <c r="N235" s="7"/>
      <c r="O235" s="13"/>
      <c r="P235" s="13"/>
      <c r="Q235" s="7"/>
      <c r="R235" s="7"/>
      <c r="S235" s="7"/>
      <c r="T235" s="7"/>
      <c r="U235" s="7"/>
      <c r="V235" s="7"/>
      <c r="W235" s="7"/>
      <c r="X235" s="7" t="s">
        <v>1895</v>
      </c>
      <c r="Y235" s="7"/>
      <c r="Z235" s="7" t="s">
        <v>117</v>
      </c>
      <c r="AA235" s="7" t="s">
        <v>63</v>
      </c>
      <c r="AB235" s="7"/>
      <c r="AC235" s="7" t="s">
        <v>77</v>
      </c>
      <c r="AD235" s="7"/>
      <c r="AE235" s="7" t="s">
        <v>1896</v>
      </c>
      <c r="AF235" s="7" t="s">
        <v>170</v>
      </c>
      <c r="AG235" s="7"/>
      <c r="AH235" s="8"/>
      <c r="AI235" s="7"/>
      <c r="AJ235" s="7" t="s">
        <v>107</v>
      </c>
      <c r="AK235" s="7" t="s">
        <v>176</v>
      </c>
      <c r="AL235" s="10" t="s">
        <v>1748</v>
      </c>
      <c r="AM235" s="7">
        <f>VLOOKUP(AL235,Personal!$A$2:$I$300,2,FALSE)</f>
        <v>0</v>
      </c>
      <c r="AN235" s="7" t="str">
        <f>VLOOKUP(AL235,Personal!$A$2:$I$300,3,FALSE)</f>
        <v xml:space="preserve">Tecnologias de Información </v>
      </c>
      <c r="AO235" s="7" t="str">
        <f>VLOOKUP(AL235,Personal!$A$2:$I$300,6,FALSE)</f>
        <v xml:space="preserve">Tecnologias de Información </v>
      </c>
      <c r="AP235" s="7" t="str">
        <f>VLOOKUP(AL235,Personal!$A$2:$I$300,7,FALSE)</f>
        <v xml:space="preserve">Tecnologias de Información </v>
      </c>
      <c r="AQ235" s="7" t="str">
        <f>VLOOKUP(AL235,Personal!$A$2:$I$300,8,FALSE)</f>
        <v xml:space="preserve">Tecnologias de Información </v>
      </c>
      <c r="AR235" s="7" t="s">
        <v>2044</v>
      </c>
    </row>
    <row r="236" spans="2:44" x14ac:dyDescent="0.3">
      <c r="B236" s="6">
        <v>231</v>
      </c>
      <c r="C236" s="6"/>
      <c r="D236" s="6"/>
      <c r="E236" s="6"/>
      <c r="F236" s="6"/>
      <c r="G236" s="7" t="s">
        <v>33</v>
      </c>
      <c r="H236" s="7" t="s">
        <v>38</v>
      </c>
      <c r="I236" s="7" t="s">
        <v>46</v>
      </c>
      <c r="J236" s="7" t="s">
        <v>193</v>
      </c>
      <c r="K236" s="10" t="s">
        <v>1904</v>
      </c>
      <c r="L236" s="7" t="s">
        <v>1290</v>
      </c>
      <c r="M236" s="7"/>
      <c r="N236" s="7"/>
      <c r="O236" s="13"/>
      <c r="P236" s="13"/>
      <c r="Q236" s="7"/>
      <c r="R236" s="7"/>
      <c r="S236" s="7"/>
      <c r="T236" s="7"/>
      <c r="U236" s="7" t="s">
        <v>1996</v>
      </c>
      <c r="V236" s="7"/>
      <c r="W236" s="7" t="s">
        <v>1905</v>
      </c>
      <c r="X236" s="7" t="s">
        <v>54</v>
      </c>
      <c r="Y236" s="7" t="s">
        <v>89</v>
      </c>
      <c r="Z236" s="7" t="s">
        <v>117</v>
      </c>
      <c r="AA236" s="7" t="s">
        <v>58</v>
      </c>
      <c r="AB236" s="7"/>
      <c r="AC236" s="7" t="s">
        <v>234</v>
      </c>
      <c r="AD236" s="7"/>
      <c r="AE236" s="7" t="s">
        <v>88</v>
      </c>
      <c r="AF236" s="7" t="s">
        <v>170</v>
      </c>
      <c r="AG236" s="7"/>
      <c r="AH236" s="8"/>
      <c r="AI236" s="7"/>
      <c r="AJ236" s="7" t="s">
        <v>107</v>
      </c>
      <c r="AK236" s="7" t="s">
        <v>109</v>
      </c>
      <c r="AL236" s="10" t="s">
        <v>1748</v>
      </c>
      <c r="AM236" s="7">
        <f>VLOOKUP(AL236,Personal!$A$2:$I$300,2,FALSE)</f>
        <v>0</v>
      </c>
      <c r="AN236" s="7" t="str">
        <f>VLOOKUP(AL236,Personal!$A$2:$I$300,3,FALSE)</f>
        <v xml:space="preserve">Tecnologias de Información </v>
      </c>
      <c r="AO236" s="7" t="str">
        <f>VLOOKUP(AL236,Personal!$A$2:$I$300,6,FALSE)</f>
        <v xml:space="preserve">Tecnologias de Información </v>
      </c>
      <c r="AP236" s="7" t="str">
        <f>VLOOKUP(AL236,Personal!$A$2:$I$300,7,FALSE)</f>
        <v xml:space="preserve">Tecnologias de Información </v>
      </c>
      <c r="AQ236" s="7" t="str">
        <f>VLOOKUP(AL236,Personal!$A$2:$I$300,8,FALSE)</f>
        <v xml:space="preserve">Tecnologias de Información </v>
      </c>
      <c r="AR236" s="123" t="s">
        <v>1997</v>
      </c>
    </row>
    <row r="237" spans="2:44" x14ac:dyDescent="0.3">
      <c r="B237" s="6">
        <v>232</v>
      </c>
      <c r="C237" s="6"/>
      <c r="D237" s="6"/>
      <c r="E237" s="6"/>
      <c r="F237" s="6"/>
      <c r="G237" s="7" t="s">
        <v>36</v>
      </c>
      <c r="H237" s="7" t="s">
        <v>29</v>
      </c>
      <c r="I237" s="7" t="s">
        <v>1797</v>
      </c>
      <c r="J237" s="7" t="s">
        <v>1702</v>
      </c>
      <c r="K237" s="10" t="s">
        <v>1909</v>
      </c>
      <c r="L237" s="7"/>
      <c r="M237" s="7" t="s">
        <v>50</v>
      </c>
      <c r="N237" s="7">
        <v>951476508</v>
      </c>
      <c r="O237" s="13">
        <v>861578070738912</v>
      </c>
      <c r="P237" s="13">
        <v>861578071138914</v>
      </c>
      <c r="Q237" s="7"/>
      <c r="R237" s="7"/>
      <c r="S237" s="7"/>
      <c r="T237" s="7"/>
      <c r="U237" s="7"/>
      <c r="V237" s="7"/>
      <c r="W237" s="7"/>
      <c r="X237" s="7" t="s">
        <v>140</v>
      </c>
      <c r="Y237" s="7"/>
      <c r="Z237" s="7"/>
      <c r="AA237" s="7" t="s">
        <v>142</v>
      </c>
      <c r="AB237" s="7"/>
      <c r="AC237" s="7" t="s">
        <v>146</v>
      </c>
      <c r="AD237" s="7"/>
      <c r="AE237" s="7" t="s">
        <v>162</v>
      </c>
      <c r="AF237" s="7"/>
      <c r="AG237" s="7"/>
      <c r="AH237" s="8"/>
      <c r="AI237" s="7"/>
      <c r="AJ237" s="7" t="s">
        <v>107</v>
      </c>
      <c r="AK237" s="7" t="s">
        <v>109</v>
      </c>
      <c r="AL237" s="9" t="s">
        <v>1908</v>
      </c>
      <c r="AM237" s="7" t="str">
        <f>VLOOKUP(AL237,Personal!$A$2:$I$300,2,FALSE)</f>
        <v>0000001780</v>
      </c>
      <c r="AN237" s="7" t="str">
        <f>VLOOKUP(AL237,Personal!$A$2:$I$300,3,FALSE)</f>
        <v>CHUYES MENDOZA CLAUDIA ELIZABETH</v>
      </c>
      <c r="AO237" s="7" t="str">
        <f>VLOOKUP(AL237,Personal!$A$2:$I$300,6,FALSE)</f>
        <v xml:space="preserve">Ejecutiva de Eventos </v>
      </c>
      <c r="AP237" s="7" t="str">
        <f>VLOOKUP(AL237,Personal!$A$2:$I$300,7,FALSE)</f>
        <v>Ventas</v>
      </c>
      <c r="AQ237" s="7" t="str">
        <f>VLOOKUP(AL237,Personal!$A$2:$I$300,8,FALSE)</f>
        <v>Ventas y Marketing</v>
      </c>
      <c r="AR237" s="7" t="s">
        <v>1910</v>
      </c>
    </row>
    <row r="238" spans="2:44" x14ac:dyDescent="0.3">
      <c r="B238" s="6">
        <v>233</v>
      </c>
      <c r="C238" s="6"/>
      <c r="D238" s="6"/>
      <c r="E238" s="6"/>
      <c r="F238" s="6"/>
      <c r="G238" s="7" t="s">
        <v>36</v>
      </c>
      <c r="H238" s="7" t="s">
        <v>29</v>
      </c>
      <c r="I238" s="7" t="s">
        <v>125</v>
      </c>
      <c r="J238" s="7" t="s">
        <v>1700</v>
      </c>
      <c r="K238" s="10" t="s">
        <v>1936</v>
      </c>
      <c r="L238" s="7"/>
      <c r="M238" s="7" t="s">
        <v>50</v>
      </c>
      <c r="N238" s="7">
        <v>998302563</v>
      </c>
      <c r="O238" s="13">
        <v>353384837596783</v>
      </c>
      <c r="P238" s="13"/>
      <c r="Q238" s="7"/>
      <c r="R238" s="7"/>
      <c r="S238" s="7"/>
      <c r="T238" s="7"/>
      <c r="U238" s="7"/>
      <c r="V238" s="7"/>
      <c r="W238" s="7"/>
      <c r="X238" s="7" t="s">
        <v>140</v>
      </c>
      <c r="Y238" s="7"/>
      <c r="Z238" s="7"/>
      <c r="AA238" s="7" t="s">
        <v>142</v>
      </c>
      <c r="AB238" s="7"/>
      <c r="AC238" s="7" t="s">
        <v>146</v>
      </c>
      <c r="AD238" s="7"/>
      <c r="AE238" s="7" t="s">
        <v>162</v>
      </c>
      <c r="AF238" s="7"/>
      <c r="AG238" s="7"/>
      <c r="AH238" s="8"/>
      <c r="AI238" s="7"/>
      <c r="AJ238" s="7" t="s">
        <v>107</v>
      </c>
      <c r="AK238" s="7" t="s">
        <v>109</v>
      </c>
      <c r="AL238" s="9" t="s">
        <v>728</v>
      </c>
      <c r="AM238" s="7" t="str">
        <f>VLOOKUP(AL238,Personal!$A$2:$I$300,2,FALSE)</f>
        <v>0000001596</v>
      </c>
      <c r="AN238" s="7" t="str">
        <f>VLOOKUP(AL238,Personal!$A$2:$I$300,3,FALSE)</f>
        <v>GARCIA HERRERA YAZMIN MILAGROS</v>
      </c>
      <c r="AO238" s="7" t="str">
        <f>VLOOKUP(AL238,Personal!$A$2:$I$300,6,FALSE)</f>
        <v xml:space="preserve">Consejero Gastronómico </v>
      </c>
      <c r="AP238" s="7" t="str">
        <f>VLOOKUP(AL238,Personal!$A$2:$I$300,7,FALSE)</f>
        <v>Banquetes</v>
      </c>
      <c r="AQ238" s="7" t="str">
        <f>VLOOKUP(AL238,Personal!$A$2:$I$300,8,FALSE)</f>
        <v>Alimentos y Bebidas</v>
      </c>
      <c r="AR238" s="7" t="s">
        <v>1937</v>
      </c>
    </row>
    <row r="239" spans="2:44" x14ac:dyDescent="0.3">
      <c r="B239" s="6">
        <v>234</v>
      </c>
      <c r="C239" s="6"/>
      <c r="D239" s="6"/>
      <c r="E239" s="6"/>
      <c r="F239" s="6"/>
      <c r="G239" s="7" t="s">
        <v>36</v>
      </c>
      <c r="H239" s="7" t="s">
        <v>29</v>
      </c>
      <c r="I239" s="7" t="s">
        <v>138</v>
      </c>
      <c r="J239" s="7" t="s">
        <v>1942</v>
      </c>
      <c r="K239" s="10" t="s">
        <v>1943</v>
      </c>
      <c r="L239" s="7"/>
      <c r="M239" s="7" t="s">
        <v>50</v>
      </c>
      <c r="N239" s="7">
        <v>966568745</v>
      </c>
      <c r="O239" s="13">
        <v>359626455688878</v>
      </c>
      <c r="P239" s="13">
        <v>359626455714906</v>
      </c>
      <c r="Q239" s="7"/>
      <c r="R239" s="7"/>
      <c r="S239" s="7"/>
      <c r="T239" s="7"/>
      <c r="U239" s="7"/>
      <c r="V239" s="7"/>
      <c r="W239" s="7"/>
      <c r="X239" s="7" t="s">
        <v>140</v>
      </c>
      <c r="Y239" s="7"/>
      <c r="Z239" s="7"/>
      <c r="AA239" s="7" t="s">
        <v>142</v>
      </c>
      <c r="AB239" s="7"/>
      <c r="AC239" s="7" t="s">
        <v>146</v>
      </c>
      <c r="AD239" s="7"/>
      <c r="AE239" s="7" t="s">
        <v>163</v>
      </c>
      <c r="AF239" s="7"/>
      <c r="AG239" s="7"/>
      <c r="AH239" s="8"/>
      <c r="AI239" s="7"/>
      <c r="AJ239" s="7" t="s">
        <v>107</v>
      </c>
      <c r="AK239" s="7" t="s">
        <v>109</v>
      </c>
      <c r="AL239" s="9" t="s">
        <v>260</v>
      </c>
      <c r="AM239" s="7" t="str">
        <f>VLOOKUP(AL239,Personal!$A$2:$I$300,2,FALSE)</f>
        <v>0000F00011</v>
      </c>
      <c r="AN239" s="7" t="str">
        <f>VLOOKUP(AL239,Personal!$A$2:$I$300,3,FALSE)</f>
        <v>CASTRO MORA NELLY YOLANDA</v>
      </c>
      <c r="AO239" s="7" t="str">
        <f>VLOOKUP(AL239,Personal!$A$2:$I$300,6,FALSE)</f>
        <v>Gerente de Compras Regional</v>
      </c>
      <c r="AP239" s="7" t="str">
        <f>VLOOKUP(AL239,Personal!$A$2:$I$300,7,FALSE)</f>
        <v>Compras</v>
      </c>
      <c r="AQ239" s="7" t="str">
        <f>VLOOKUP(AL239,Personal!$A$2:$I$300,8,FALSE)</f>
        <v>Compras</v>
      </c>
      <c r="AR239" s="7"/>
    </row>
    <row r="240" spans="2:44" x14ac:dyDescent="0.3">
      <c r="B240" s="6">
        <v>235</v>
      </c>
      <c r="C240" s="6"/>
      <c r="D240" s="6"/>
      <c r="E240" s="6"/>
      <c r="F240" s="6"/>
      <c r="G240" s="7" t="s">
        <v>36</v>
      </c>
      <c r="H240" s="7" t="s">
        <v>29</v>
      </c>
      <c r="I240" s="7" t="s">
        <v>125</v>
      </c>
      <c r="J240" s="7" t="s">
        <v>1700</v>
      </c>
      <c r="K240" s="10" t="s">
        <v>1947</v>
      </c>
      <c r="L240" s="7"/>
      <c r="M240" s="7" t="s">
        <v>50</v>
      </c>
      <c r="N240" s="7">
        <v>951988553</v>
      </c>
      <c r="O240" s="13">
        <v>353384837598516</v>
      </c>
      <c r="P240" s="13"/>
      <c r="Q240" s="7"/>
      <c r="R240" s="7"/>
      <c r="S240" s="7"/>
      <c r="T240" s="7"/>
      <c r="U240" s="7"/>
      <c r="V240" s="7"/>
      <c r="W240" s="7"/>
      <c r="X240" s="7" t="s">
        <v>140</v>
      </c>
      <c r="Y240" s="7"/>
      <c r="Z240" s="7"/>
      <c r="AA240" s="7" t="s">
        <v>142</v>
      </c>
      <c r="AB240" s="7"/>
      <c r="AC240" s="7" t="s">
        <v>146</v>
      </c>
      <c r="AD240" s="7"/>
      <c r="AE240" s="7" t="s">
        <v>162</v>
      </c>
      <c r="AF240" s="7" t="s">
        <v>170</v>
      </c>
      <c r="AG240" s="7"/>
      <c r="AH240" s="8"/>
      <c r="AI240" s="7"/>
      <c r="AJ240" s="7" t="s">
        <v>107</v>
      </c>
      <c r="AK240" s="7" t="s">
        <v>109</v>
      </c>
      <c r="AL240" s="9" t="s">
        <v>556</v>
      </c>
      <c r="AM240" s="7" t="str">
        <f>VLOOKUP(AL240,Personal!$A$2:$I$300,2,FALSE)</f>
        <v>0000001463</v>
      </c>
      <c r="AN240" s="7" t="str">
        <f>VLOOKUP(AL240,Personal!$A$2:$I$300,3,FALSE)</f>
        <v>OREJUELA OLIVARES ANGELA ROSA</v>
      </c>
      <c r="AO240" s="7" t="str">
        <f>VLOOKUP(AL240,Personal!$A$2:$I$300,6,FALSE)</f>
        <v>Consierge</v>
      </c>
      <c r="AP240" s="7" t="str">
        <f>VLOOKUP(AL240,Personal!$A$2:$I$300,7,FALSE)</f>
        <v>Banquetes</v>
      </c>
      <c r="AQ240" s="7" t="str">
        <f>VLOOKUP(AL240,Personal!$A$2:$I$300,8,FALSE)</f>
        <v>Alimentos y Bebidas</v>
      </c>
      <c r="AR240" s="7" t="s">
        <v>1948</v>
      </c>
    </row>
    <row r="241" spans="2:44" x14ac:dyDescent="0.3">
      <c r="B241" s="6">
        <v>236</v>
      </c>
      <c r="C241" s="6"/>
      <c r="D241" s="6"/>
      <c r="E241" s="6"/>
      <c r="F241" s="6"/>
      <c r="G241" s="7" t="s">
        <v>36</v>
      </c>
      <c r="H241" s="7" t="s">
        <v>29</v>
      </c>
      <c r="I241" s="7" t="s">
        <v>1820</v>
      </c>
      <c r="J241" s="7" t="s">
        <v>1952</v>
      </c>
      <c r="K241" s="10" t="s">
        <v>1951</v>
      </c>
      <c r="L241" s="7"/>
      <c r="M241" s="7" t="s">
        <v>50</v>
      </c>
      <c r="N241" s="7">
        <v>939345654</v>
      </c>
      <c r="O241" s="13">
        <v>861578070735959</v>
      </c>
      <c r="P241" s="13">
        <v>86157807113595</v>
      </c>
      <c r="Q241" s="7"/>
      <c r="R241" s="7"/>
      <c r="S241" s="7"/>
      <c r="T241" s="7"/>
      <c r="U241" s="7"/>
      <c r="V241" s="7"/>
      <c r="W241" s="7"/>
      <c r="X241" s="7" t="s">
        <v>140</v>
      </c>
      <c r="Y241" s="7"/>
      <c r="Z241" s="7"/>
      <c r="AA241" s="7" t="s">
        <v>142</v>
      </c>
      <c r="AB241" s="7"/>
      <c r="AC241" s="7" t="s">
        <v>146</v>
      </c>
      <c r="AD241" s="7"/>
      <c r="AE241" s="7" t="s">
        <v>162</v>
      </c>
      <c r="AF241" s="7" t="s">
        <v>170</v>
      </c>
      <c r="AG241" s="7"/>
      <c r="AH241" s="8"/>
      <c r="AI241" s="7"/>
      <c r="AJ241" s="7" t="s">
        <v>107</v>
      </c>
      <c r="AK241" s="7" t="s">
        <v>109</v>
      </c>
      <c r="AL241" s="10">
        <v>75315987</v>
      </c>
      <c r="AM241" s="7">
        <f>VLOOKUP(AL241,Personal!$A$2:$I$300,2,FALSE)</f>
        <v>0</v>
      </c>
      <c r="AN241" s="7" t="str">
        <f>VLOOKUP(AL241,Personal!$A$2:$I$300,3,FALSE)</f>
        <v>LEME DE OLIVEIRA VICTOR</v>
      </c>
      <c r="AO241" s="7" t="str">
        <f>VLOOKUP(AL241,Personal!$A$2:$I$300,6,FALSE)</f>
        <v>Sous Chef Ejecutivo</v>
      </c>
      <c r="AP241" s="7" t="str">
        <f>VLOOKUP(AL241,Personal!$A$2:$I$300,7,FALSE)</f>
        <v>Cocina</v>
      </c>
      <c r="AQ241" s="7" t="str">
        <f>VLOOKUP(AL241,Personal!$A$2:$I$300,8,FALSE)</f>
        <v>Cocina</v>
      </c>
      <c r="AR241" s="7" t="s">
        <v>1954</v>
      </c>
    </row>
    <row r="242" spans="2:44" x14ac:dyDescent="0.3">
      <c r="B242" s="6">
        <v>237</v>
      </c>
      <c r="C242" s="6"/>
      <c r="D242" s="6"/>
      <c r="E242" s="6"/>
      <c r="F242" s="6"/>
      <c r="G242" s="7" t="s">
        <v>34</v>
      </c>
      <c r="H242" s="7" t="s">
        <v>29</v>
      </c>
      <c r="I242" s="7" t="s">
        <v>47</v>
      </c>
      <c r="J242" s="7" t="s">
        <v>1961</v>
      </c>
      <c r="K242" s="10" t="s">
        <v>1962</v>
      </c>
      <c r="L242" s="7"/>
      <c r="M242" s="7"/>
      <c r="N242" s="7"/>
      <c r="O242" s="13"/>
      <c r="P242" s="13"/>
      <c r="Q242" s="7"/>
      <c r="R242" s="7"/>
      <c r="S242" s="7"/>
      <c r="T242" s="7"/>
      <c r="U242" s="7"/>
      <c r="V242" s="7"/>
      <c r="W242" s="7" t="s">
        <v>1963</v>
      </c>
      <c r="X242" s="7" t="s">
        <v>55</v>
      </c>
      <c r="Y242" s="7" t="s">
        <v>102</v>
      </c>
      <c r="Z242" s="7" t="s">
        <v>117</v>
      </c>
      <c r="AA242" s="7" t="s">
        <v>71</v>
      </c>
      <c r="AB242" s="7"/>
      <c r="AC242" s="7" t="s">
        <v>79</v>
      </c>
      <c r="AD242" s="7"/>
      <c r="AE242" s="7" t="s">
        <v>88</v>
      </c>
      <c r="AF242" s="7" t="s">
        <v>169</v>
      </c>
      <c r="AG242" s="7" t="s">
        <v>175</v>
      </c>
      <c r="AH242" s="8"/>
      <c r="AI242" s="7"/>
      <c r="AJ242" s="7" t="s">
        <v>107</v>
      </c>
      <c r="AK242" s="7" t="s">
        <v>109</v>
      </c>
      <c r="AL242" s="10">
        <v>12345678</v>
      </c>
      <c r="AM242" s="7">
        <f>VLOOKUP(AL242,Personal!$A$2:$I$300,2,FALSE)</f>
        <v>0</v>
      </c>
      <c r="AN242" s="7" t="str">
        <f>VLOOKUP(AL242,Personal!$A$2:$I$300,3,FALSE)</f>
        <v>HOZMA DIAZ NORMA CONSTANZA</v>
      </c>
      <c r="AO242" s="7" t="str">
        <f>VLOOKUP(AL242,Personal!$A$2:$I$300,6,FALSE)</f>
        <v>Directora de Ventas y Marketing</v>
      </c>
      <c r="AP242" s="7" t="str">
        <f>VLOOKUP(AL242,Personal!$A$2:$I$300,7,FALSE)</f>
        <v>Ventas</v>
      </c>
      <c r="AQ242" s="7" t="str">
        <f>VLOOKUP(AL242,Personal!$A$2:$I$300,8,FALSE)</f>
        <v>Ventas y Marketing</v>
      </c>
      <c r="AR242" s="7" t="s">
        <v>1964</v>
      </c>
    </row>
    <row r="243" spans="2:44" x14ac:dyDescent="0.3">
      <c r="B243" s="6">
        <v>238</v>
      </c>
      <c r="C243" s="6"/>
      <c r="D243" s="6"/>
      <c r="E243" s="6"/>
      <c r="F243" s="6"/>
      <c r="G243" s="7" t="s">
        <v>33</v>
      </c>
      <c r="H243" s="7" t="s">
        <v>29</v>
      </c>
      <c r="I243" s="7" t="s">
        <v>48</v>
      </c>
      <c r="J243" s="7" t="s">
        <v>1965</v>
      </c>
      <c r="K243" s="10" t="s">
        <v>1966</v>
      </c>
      <c r="L243" s="7"/>
      <c r="M243" s="7"/>
      <c r="N243" s="7"/>
      <c r="O243" s="13"/>
      <c r="P243" s="13"/>
      <c r="Q243" s="7"/>
      <c r="R243" s="7"/>
      <c r="S243" s="7"/>
      <c r="T243" s="7"/>
      <c r="U243" s="7"/>
      <c r="V243" s="7"/>
      <c r="W243" s="7" t="s">
        <v>1405</v>
      </c>
      <c r="X243" s="7" t="s">
        <v>55</v>
      </c>
      <c r="Y243" s="7" t="s">
        <v>101</v>
      </c>
      <c r="Z243" s="7" t="s">
        <v>117</v>
      </c>
      <c r="AA243" s="7" t="s">
        <v>71</v>
      </c>
      <c r="AB243" s="7"/>
      <c r="AC243" s="7" t="s">
        <v>79</v>
      </c>
      <c r="AD243" s="7"/>
      <c r="AE243" s="7" t="s">
        <v>88</v>
      </c>
      <c r="AF243" s="7" t="s">
        <v>169</v>
      </c>
      <c r="AG243" s="7" t="s">
        <v>175</v>
      </c>
      <c r="AH243" s="8"/>
      <c r="AI243" s="7"/>
      <c r="AJ243" s="7" t="s">
        <v>107</v>
      </c>
      <c r="AK243" s="7" t="s">
        <v>109</v>
      </c>
      <c r="AL243" s="9" t="s">
        <v>351</v>
      </c>
      <c r="AM243" s="7" t="str">
        <f>VLOOKUP(AL243,Personal!$A$2:$I$300,2,FALSE)</f>
        <v>0000000772</v>
      </c>
      <c r="AN243" s="7" t="str">
        <f>VLOOKUP(AL243,Personal!$A$2:$I$300,3,FALSE)</f>
        <v>CARHUANCOTA CHAVEZ ANDRES ALBERTO</v>
      </c>
      <c r="AO243" s="7" t="str">
        <f>VLOOKUP(AL243,Personal!$A$2:$I$300,6,FALSE)</f>
        <v>Asistente Senior de Contabilidad</v>
      </c>
      <c r="AP243" s="7" t="str">
        <f>VLOOKUP(AL243,Personal!$A$2:$I$300,7,FALSE)</f>
        <v>Contabilidad</v>
      </c>
      <c r="AQ243" s="7" t="str">
        <f>VLOOKUP(AL243,Personal!$A$2:$I$300,8,FALSE)</f>
        <v>Contraloría</v>
      </c>
      <c r="AR243" s="7"/>
    </row>
    <row r="244" spans="2:44" x14ac:dyDescent="0.3">
      <c r="B244" s="6">
        <v>239</v>
      </c>
      <c r="C244" s="6"/>
      <c r="D244" s="6"/>
      <c r="E244" s="6"/>
      <c r="F244" s="6"/>
      <c r="G244" s="7" t="s">
        <v>38</v>
      </c>
      <c r="H244" s="7" t="s">
        <v>38</v>
      </c>
      <c r="I244" s="7" t="s">
        <v>1972</v>
      </c>
      <c r="J244" s="7" t="s">
        <v>1974</v>
      </c>
      <c r="K244" s="10" t="s">
        <v>1975</v>
      </c>
      <c r="L244" s="7" t="s">
        <v>1976</v>
      </c>
      <c r="M244" s="7"/>
      <c r="N244" s="7"/>
      <c r="O244" s="13"/>
      <c r="P244" s="13"/>
      <c r="Q244" s="7"/>
      <c r="R244" s="7"/>
      <c r="S244" s="7"/>
      <c r="T244" s="7"/>
      <c r="U244" s="7" t="s">
        <v>1971</v>
      </c>
      <c r="V244" s="7"/>
      <c r="W244" s="7"/>
      <c r="X244" s="7"/>
      <c r="Y244" s="7"/>
      <c r="Z244" s="7"/>
      <c r="AA244" s="7" t="s">
        <v>142</v>
      </c>
      <c r="AB244" s="7"/>
      <c r="AC244" s="7" t="s">
        <v>1973</v>
      </c>
      <c r="AD244" s="7"/>
      <c r="AE244" s="7"/>
      <c r="AF244" s="7"/>
      <c r="AG244" s="7"/>
      <c r="AH244" s="8"/>
      <c r="AI244" s="7"/>
      <c r="AJ244" s="7" t="s">
        <v>107</v>
      </c>
      <c r="AK244" s="7" t="s">
        <v>109</v>
      </c>
      <c r="AL244" s="10" t="s">
        <v>1748</v>
      </c>
      <c r="AM244" s="7">
        <f>VLOOKUP(AL244,Personal!$A$2:$I$300,2,FALSE)</f>
        <v>0</v>
      </c>
      <c r="AN244" s="7" t="str">
        <f>VLOOKUP(AL244,Personal!$A$2:$I$300,3,FALSE)</f>
        <v xml:space="preserve">Tecnologias de Información </v>
      </c>
      <c r="AO244" s="7" t="str">
        <f>VLOOKUP(AL244,Personal!$A$2:$I$300,6,FALSE)</f>
        <v xml:space="preserve">Tecnologias de Información </v>
      </c>
      <c r="AP244" s="7" t="str">
        <f>VLOOKUP(AL244,Personal!$A$2:$I$300,7,FALSE)</f>
        <v xml:space="preserve">Tecnologias de Información </v>
      </c>
      <c r="AQ244" s="7" t="str">
        <f>VLOOKUP(AL244,Personal!$A$2:$I$300,8,FALSE)</f>
        <v xml:space="preserve">Tecnologias de Información </v>
      </c>
      <c r="AR244" s="123" t="s">
        <v>1970</v>
      </c>
    </row>
    <row r="245" spans="2:44" x14ac:dyDescent="0.3">
      <c r="B245" s="6">
        <v>240</v>
      </c>
      <c r="C245" s="6"/>
      <c r="D245" s="6"/>
      <c r="E245" s="6"/>
      <c r="F245" s="6"/>
      <c r="G245" s="7" t="s">
        <v>36</v>
      </c>
      <c r="H245" s="7" t="s">
        <v>29</v>
      </c>
      <c r="I245" s="7" t="s">
        <v>1797</v>
      </c>
      <c r="J245" s="7" t="s">
        <v>1702</v>
      </c>
      <c r="K245" s="10" t="s">
        <v>1987</v>
      </c>
      <c r="L245" s="7"/>
      <c r="M245" s="7" t="s">
        <v>50</v>
      </c>
      <c r="N245" s="7">
        <v>951489642</v>
      </c>
      <c r="O245" s="13">
        <v>865451068889889</v>
      </c>
      <c r="P245" s="13">
        <v>865451068889897</v>
      </c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 t="s">
        <v>142</v>
      </c>
      <c r="AB245" s="7"/>
      <c r="AC245" s="7" t="s">
        <v>146</v>
      </c>
      <c r="AD245" s="7"/>
      <c r="AE245" s="7" t="s">
        <v>162</v>
      </c>
      <c r="AF245" s="7" t="s">
        <v>170</v>
      </c>
      <c r="AG245" s="7"/>
      <c r="AH245" s="8"/>
      <c r="AI245" s="7"/>
      <c r="AJ245" s="7" t="s">
        <v>107</v>
      </c>
      <c r="AK245" s="7" t="s">
        <v>109</v>
      </c>
      <c r="AL245" s="9" t="s">
        <v>265</v>
      </c>
      <c r="AM245" s="7" t="str">
        <f>VLOOKUP(AL245,Personal!$A$2:$I$300,2,FALSE)</f>
        <v>0000000037</v>
      </c>
      <c r="AN245" s="7" t="str">
        <f>VLOOKUP(AL245,Personal!$A$2:$I$300,3,FALSE)</f>
        <v>OBARA AVI JUAN FERNANDO</v>
      </c>
      <c r="AO245" s="7" t="str">
        <f>VLOOKUP(AL245,Personal!$A$2:$I$300,6,FALSE)</f>
        <v>Gerente de Compras</v>
      </c>
      <c r="AP245" s="7" t="str">
        <f>VLOOKUP(AL245,Personal!$A$2:$I$300,7,FALSE)</f>
        <v>Compras</v>
      </c>
      <c r="AQ245" s="7" t="str">
        <f>VLOOKUP(AL245,Personal!$A$2:$I$300,8,FALSE)</f>
        <v>Compras</v>
      </c>
      <c r="AR245" s="7" t="s">
        <v>1988</v>
      </c>
    </row>
    <row r="246" spans="2:44" x14ac:dyDescent="0.3">
      <c r="B246" s="6">
        <v>241</v>
      </c>
      <c r="C246" s="6"/>
      <c r="D246" s="6"/>
      <c r="E246" s="6"/>
      <c r="F246" s="6"/>
      <c r="G246" s="7" t="s">
        <v>36</v>
      </c>
      <c r="H246" s="7" t="s">
        <v>29</v>
      </c>
      <c r="I246" s="7" t="s">
        <v>1797</v>
      </c>
      <c r="J246" s="7" t="s">
        <v>1702</v>
      </c>
      <c r="K246" s="10" t="s">
        <v>1991</v>
      </c>
      <c r="L246" s="7"/>
      <c r="M246" s="7" t="s">
        <v>50</v>
      </c>
      <c r="N246" s="7">
        <v>951460326</v>
      </c>
      <c r="O246" s="13">
        <v>862448066334804</v>
      </c>
      <c r="P246" s="13">
        <v>862448066334812</v>
      </c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 t="s">
        <v>142</v>
      </c>
      <c r="AB246" s="7"/>
      <c r="AC246" s="7" t="s">
        <v>146</v>
      </c>
      <c r="AD246" s="7"/>
      <c r="AE246" s="7" t="s">
        <v>162</v>
      </c>
      <c r="AF246" s="7" t="s">
        <v>170</v>
      </c>
      <c r="AG246" s="7"/>
      <c r="AH246" s="8"/>
      <c r="AI246" s="7"/>
      <c r="AJ246" s="7" t="s">
        <v>107</v>
      </c>
      <c r="AK246" s="7" t="s">
        <v>109</v>
      </c>
      <c r="AL246" s="9" t="s">
        <v>486</v>
      </c>
      <c r="AM246" s="7" t="str">
        <f>VLOOKUP(AL246,Personal!$A$2:$I$300,2,FALSE)</f>
        <v>0000001406</v>
      </c>
      <c r="AN246" s="7" t="str">
        <f>VLOOKUP(AL246,Personal!$A$2:$I$300,3,FALSE)</f>
        <v>CORDOVA ESTRADA JESUS MARTIN</v>
      </c>
      <c r="AO246" s="7" t="str">
        <f>VLOOKUP(AL246,Personal!$A$2:$I$300,6,FALSE)</f>
        <v>Bodeguero</v>
      </c>
      <c r="AP246" s="7" t="str">
        <f>VLOOKUP(AL246,Personal!$A$2:$I$300,7,FALSE)</f>
        <v>Bodegas</v>
      </c>
      <c r="AQ246" s="7" t="str">
        <f>VLOOKUP(AL246,Personal!$A$2:$I$300,8,FALSE)</f>
        <v>Contraloría</v>
      </c>
      <c r="AR246" s="7"/>
    </row>
    <row r="247" spans="2:44" x14ac:dyDescent="0.3">
      <c r="B247" s="6">
        <v>242</v>
      </c>
      <c r="C247" s="6"/>
      <c r="D247" s="6"/>
      <c r="E247" s="6"/>
      <c r="F247" s="6"/>
      <c r="G247" s="7" t="s">
        <v>33</v>
      </c>
      <c r="H247" s="7" t="s">
        <v>38</v>
      </c>
      <c r="I247" s="7" t="s">
        <v>46</v>
      </c>
      <c r="J247" s="7" t="s">
        <v>193</v>
      </c>
      <c r="K247" s="10" t="s">
        <v>2000</v>
      </c>
      <c r="L247" s="7" t="s">
        <v>1290</v>
      </c>
      <c r="M247" s="7"/>
      <c r="N247" s="7"/>
      <c r="O247" s="13"/>
      <c r="P247" s="13"/>
      <c r="Q247" s="7"/>
      <c r="R247" s="7"/>
      <c r="S247" s="7" t="s">
        <v>2003</v>
      </c>
      <c r="T247" s="7"/>
      <c r="U247" s="7" t="s">
        <v>1169</v>
      </c>
      <c r="V247" s="7"/>
      <c r="W247" s="7" t="s">
        <v>2001</v>
      </c>
      <c r="X247" s="7" t="s">
        <v>54</v>
      </c>
      <c r="Y247" s="7" t="s">
        <v>89</v>
      </c>
      <c r="Z247" s="7" t="s">
        <v>117</v>
      </c>
      <c r="AA247" s="7" t="s">
        <v>58</v>
      </c>
      <c r="AB247" s="7"/>
      <c r="AC247" s="7" t="s">
        <v>75</v>
      </c>
      <c r="AD247" s="7"/>
      <c r="AE247" s="7" t="s">
        <v>1210</v>
      </c>
      <c r="AF247" s="7" t="s">
        <v>170</v>
      </c>
      <c r="AG247" s="7"/>
      <c r="AH247" s="8"/>
      <c r="AI247" s="7"/>
      <c r="AJ247" s="7" t="s">
        <v>107</v>
      </c>
      <c r="AK247" s="7" t="s">
        <v>109</v>
      </c>
      <c r="AL247" s="10" t="s">
        <v>1748</v>
      </c>
      <c r="AM247" s="7">
        <f>VLOOKUP(AL247,Personal!$A$2:$I$300,2,FALSE)</f>
        <v>0</v>
      </c>
      <c r="AN247" s="7" t="str">
        <f>VLOOKUP(AL247,Personal!$A$2:$I$300,3,FALSE)</f>
        <v xml:space="preserve">Tecnologias de Información </v>
      </c>
      <c r="AO247" s="7" t="str">
        <f>VLOOKUP(AL247,Personal!$A$2:$I$300,6,FALSE)</f>
        <v xml:space="preserve">Tecnologias de Información </v>
      </c>
      <c r="AP247" s="7" t="str">
        <f>VLOOKUP(AL247,Personal!$A$2:$I$300,7,FALSE)</f>
        <v xml:space="preserve">Tecnologias de Información </v>
      </c>
      <c r="AQ247" s="7" t="str">
        <f>VLOOKUP(AL247,Personal!$A$2:$I$300,8,FALSE)</f>
        <v xml:space="preserve">Tecnologias de Información </v>
      </c>
      <c r="AR247" s="7" t="s">
        <v>2002</v>
      </c>
    </row>
    <row r="248" spans="2:44" x14ac:dyDescent="0.3">
      <c r="B248" s="6">
        <v>243</v>
      </c>
      <c r="C248" s="6"/>
      <c r="D248" s="6"/>
      <c r="E248" s="6"/>
      <c r="F248" s="6"/>
      <c r="G248" s="7" t="s">
        <v>38</v>
      </c>
      <c r="H248" s="7" t="s">
        <v>38</v>
      </c>
      <c r="I248" s="7" t="s">
        <v>48</v>
      </c>
      <c r="J248" s="7" t="s">
        <v>2082</v>
      </c>
      <c r="K248" s="10" t="s">
        <v>2004</v>
      </c>
      <c r="L248" s="7"/>
      <c r="M248" s="7"/>
      <c r="N248" s="7"/>
      <c r="O248" s="13"/>
      <c r="P248" s="13"/>
      <c r="Q248" s="7"/>
      <c r="R248" s="7"/>
      <c r="S248" s="7" t="s">
        <v>2005</v>
      </c>
      <c r="T248" s="7"/>
      <c r="U248" s="7" t="s">
        <v>2006</v>
      </c>
      <c r="V248" s="7"/>
      <c r="W248" s="7" t="s">
        <v>2007</v>
      </c>
      <c r="X248" s="7" t="s">
        <v>99</v>
      </c>
      <c r="Y248" s="7" t="s">
        <v>132</v>
      </c>
      <c r="Z248" s="7" t="s">
        <v>117</v>
      </c>
      <c r="AA248" s="7" t="s">
        <v>60</v>
      </c>
      <c r="AB248" s="7"/>
      <c r="AC248" s="7" t="s">
        <v>2009</v>
      </c>
      <c r="AD248" s="7"/>
      <c r="AE248" s="7" t="s">
        <v>159</v>
      </c>
      <c r="AF248" s="7" t="s">
        <v>170</v>
      </c>
      <c r="AG248" s="7"/>
      <c r="AH248" s="8"/>
      <c r="AI248" s="7"/>
      <c r="AJ248" s="7" t="s">
        <v>107</v>
      </c>
      <c r="AK248" s="7" t="s">
        <v>109</v>
      </c>
      <c r="AL248" s="10" t="s">
        <v>1748</v>
      </c>
      <c r="AM248" s="7">
        <f>VLOOKUP(AL248,Personal!$A$2:$I$300,2,FALSE)</f>
        <v>0</v>
      </c>
      <c r="AN248" s="7" t="str">
        <f>VLOOKUP(AL248,Personal!$A$2:$I$300,3,FALSE)</f>
        <v xml:space="preserve">Tecnologias de Información </v>
      </c>
      <c r="AO248" s="7" t="str">
        <f>VLOOKUP(AL248,Personal!$A$2:$I$300,6,FALSE)</f>
        <v xml:space="preserve">Tecnologias de Información </v>
      </c>
      <c r="AP248" s="7" t="str">
        <f>VLOOKUP(AL248,Personal!$A$2:$I$300,7,FALSE)</f>
        <v xml:space="preserve">Tecnologias de Información </v>
      </c>
      <c r="AQ248" s="7" t="str">
        <f>VLOOKUP(AL248,Personal!$A$2:$I$300,8,FALSE)</f>
        <v xml:space="preserve">Tecnologias de Información </v>
      </c>
      <c r="AR248" s="7" t="s">
        <v>2011</v>
      </c>
    </row>
    <row r="249" spans="2:44" x14ac:dyDescent="0.3">
      <c r="B249" s="6">
        <v>244</v>
      </c>
      <c r="C249" s="6"/>
      <c r="D249" s="6"/>
      <c r="E249" s="6"/>
      <c r="F249" s="6"/>
      <c r="G249" s="7" t="s">
        <v>38</v>
      </c>
      <c r="H249" s="7" t="s">
        <v>38</v>
      </c>
      <c r="I249" s="7" t="s">
        <v>48</v>
      </c>
      <c r="J249" s="7" t="s">
        <v>2082</v>
      </c>
      <c r="K249" s="10" t="s">
        <v>2012</v>
      </c>
      <c r="L249" s="7"/>
      <c r="M249" s="7"/>
      <c r="N249" s="7"/>
      <c r="O249" s="13"/>
      <c r="P249" s="13"/>
      <c r="Q249" s="7"/>
      <c r="R249" s="7"/>
      <c r="S249" s="7" t="s">
        <v>2013</v>
      </c>
      <c r="T249" s="7"/>
      <c r="U249" s="7" t="s">
        <v>1177</v>
      </c>
      <c r="V249" s="7"/>
      <c r="W249" s="7" t="s">
        <v>1176</v>
      </c>
      <c r="X249" s="7" t="s">
        <v>99</v>
      </c>
      <c r="Y249" s="7" t="s">
        <v>132</v>
      </c>
      <c r="Z249" s="7" t="s">
        <v>117</v>
      </c>
      <c r="AA249" s="7" t="s">
        <v>60</v>
      </c>
      <c r="AB249" s="7"/>
      <c r="AC249" s="7" t="s">
        <v>2009</v>
      </c>
      <c r="AD249" s="7"/>
      <c r="AE249" s="7" t="s">
        <v>158</v>
      </c>
      <c r="AF249" s="7" t="s">
        <v>170</v>
      </c>
      <c r="AG249" s="7"/>
      <c r="AH249" s="8"/>
      <c r="AI249" s="7"/>
      <c r="AJ249" s="7" t="s">
        <v>107</v>
      </c>
      <c r="AK249" s="7" t="s">
        <v>109</v>
      </c>
      <c r="AL249" s="10" t="s">
        <v>1748</v>
      </c>
      <c r="AM249" s="7">
        <f>VLOOKUP(AL249,Personal!$A$2:$I$300,2,FALSE)</f>
        <v>0</v>
      </c>
      <c r="AN249" s="7" t="str">
        <f>VLOOKUP(AL249,Personal!$A$2:$I$300,3,FALSE)</f>
        <v xml:space="preserve">Tecnologias de Información </v>
      </c>
      <c r="AO249" s="7" t="str">
        <f>VLOOKUP(AL249,Personal!$A$2:$I$300,6,FALSE)</f>
        <v xml:space="preserve">Tecnologias de Información </v>
      </c>
      <c r="AP249" s="7" t="str">
        <f>VLOOKUP(AL249,Personal!$A$2:$I$300,7,FALSE)</f>
        <v xml:space="preserve">Tecnologias de Información </v>
      </c>
      <c r="AQ249" s="7" t="str">
        <f>VLOOKUP(AL249,Personal!$A$2:$I$300,8,FALSE)</f>
        <v xml:space="preserve">Tecnologias de Información </v>
      </c>
      <c r="AR249" s="7" t="s">
        <v>2014</v>
      </c>
    </row>
    <row r="250" spans="2:44" x14ac:dyDescent="0.3">
      <c r="B250" s="6">
        <v>245</v>
      </c>
      <c r="C250" s="6"/>
      <c r="D250" s="6"/>
      <c r="E250" s="6"/>
      <c r="F250" s="6"/>
      <c r="G250" s="7" t="s">
        <v>38</v>
      </c>
      <c r="H250" s="7" t="s">
        <v>38</v>
      </c>
      <c r="I250" s="7" t="s">
        <v>48</v>
      </c>
      <c r="J250" s="7" t="s">
        <v>2083</v>
      </c>
      <c r="K250" s="10" t="s">
        <v>2015</v>
      </c>
      <c r="L250" s="7"/>
      <c r="M250" s="7"/>
      <c r="N250" s="7"/>
      <c r="O250" s="13"/>
      <c r="P250" s="13"/>
      <c r="Q250" s="7"/>
      <c r="R250" s="7"/>
      <c r="S250" s="7" t="s">
        <v>2016</v>
      </c>
      <c r="T250" s="7"/>
      <c r="U250" s="7" t="s">
        <v>1173</v>
      </c>
      <c r="V250" s="7"/>
      <c r="W250" s="7" t="s">
        <v>1172</v>
      </c>
      <c r="X250" s="7" t="s">
        <v>99</v>
      </c>
      <c r="Y250" s="7" t="s">
        <v>132</v>
      </c>
      <c r="Z250" s="7" t="s">
        <v>117</v>
      </c>
      <c r="AA250" s="7" t="s">
        <v>62</v>
      </c>
      <c r="AB250" s="7"/>
      <c r="AC250" s="7" t="s">
        <v>2009</v>
      </c>
      <c r="AD250" s="7"/>
      <c r="AE250" s="7" t="s">
        <v>159</v>
      </c>
      <c r="AF250" s="7" t="s">
        <v>170</v>
      </c>
      <c r="AG250" s="7"/>
      <c r="AH250" s="8"/>
      <c r="AI250" s="7"/>
      <c r="AJ250" s="7" t="s">
        <v>107</v>
      </c>
      <c r="AK250" s="7" t="s">
        <v>109</v>
      </c>
      <c r="AL250" s="10" t="s">
        <v>1748</v>
      </c>
      <c r="AM250" s="7">
        <f>VLOOKUP(AL250,Personal!$A$2:$I$300,2,FALSE)</f>
        <v>0</v>
      </c>
      <c r="AN250" s="7" t="str">
        <f>VLOOKUP(AL250,Personal!$A$2:$I$300,3,FALSE)</f>
        <v xml:space="preserve">Tecnologias de Información </v>
      </c>
      <c r="AO250" s="7" t="str">
        <f>VLOOKUP(AL250,Personal!$A$2:$I$300,6,FALSE)</f>
        <v xml:space="preserve">Tecnologias de Información </v>
      </c>
      <c r="AP250" s="7" t="str">
        <f>VLOOKUP(AL250,Personal!$A$2:$I$300,7,FALSE)</f>
        <v xml:space="preserve">Tecnologias de Información </v>
      </c>
      <c r="AQ250" s="7" t="str">
        <f>VLOOKUP(AL250,Personal!$A$2:$I$300,8,FALSE)</f>
        <v xml:space="preserve">Tecnologias de Información </v>
      </c>
      <c r="AR250" s="7" t="s">
        <v>2031</v>
      </c>
    </row>
    <row r="251" spans="2:44" x14ac:dyDescent="0.3">
      <c r="B251" s="6">
        <v>246</v>
      </c>
      <c r="C251" s="6"/>
      <c r="D251" s="6"/>
      <c r="E251" s="6"/>
      <c r="F251" s="6"/>
      <c r="G251" s="7" t="s">
        <v>38</v>
      </c>
      <c r="H251" s="7" t="s">
        <v>38</v>
      </c>
      <c r="I251" s="7" t="s">
        <v>48</v>
      </c>
      <c r="J251" s="7" t="s">
        <v>2084</v>
      </c>
      <c r="K251" s="10" t="s">
        <v>2017</v>
      </c>
      <c r="L251" s="7"/>
      <c r="M251" s="7"/>
      <c r="N251" s="7"/>
      <c r="O251" s="13"/>
      <c r="P251" s="13"/>
      <c r="Q251" s="7"/>
      <c r="R251" s="7"/>
      <c r="S251" s="7" t="s">
        <v>2018</v>
      </c>
      <c r="T251" s="7"/>
      <c r="U251" s="7" t="s">
        <v>1165</v>
      </c>
      <c r="V251" s="7"/>
      <c r="W251" s="7" t="s">
        <v>2019</v>
      </c>
      <c r="X251" s="7" t="s">
        <v>99</v>
      </c>
      <c r="Y251" s="7" t="s">
        <v>131</v>
      </c>
      <c r="Z251" s="7" t="s">
        <v>117</v>
      </c>
      <c r="AA251" s="7" t="s">
        <v>58</v>
      </c>
      <c r="AB251" s="7"/>
      <c r="AC251" s="7" t="s">
        <v>2009</v>
      </c>
      <c r="AD251" s="7"/>
      <c r="AE251" s="7" t="s">
        <v>1174</v>
      </c>
      <c r="AF251" s="7" t="s">
        <v>170</v>
      </c>
      <c r="AG251" s="7"/>
      <c r="AH251" s="8"/>
      <c r="AI251" s="7"/>
      <c r="AJ251" s="7" t="s">
        <v>107</v>
      </c>
      <c r="AK251" s="7" t="s">
        <v>109</v>
      </c>
      <c r="AL251" s="10" t="s">
        <v>1748</v>
      </c>
      <c r="AM251" s="7">
        <f>VLOOKUP(AL251,Personal!$A$2:$I$300,2,FALSE)</f>
        <v>0</v>
      </c>
      <c r="AN251" s="7" t="str">
        <f>VLOOKUP(AL251,Personal!$A$2:$I$300,3,FALSE)</f>
        <v xml:space="preserve">Tecnologias de Información </v>
      </c>
      <c r="AO251" s="7" t="str">
        <f>VLOOKUP(AL251,Personal!$A$2:$I$300,6,FALSE)</f>
        <v xml:space="preserve">Tecnologias de Información </v>
      </c>
      <c r="AP251" s="7" t="str">
        <f>VLOOKUP(AL251,Personal!$A$2:$I$300,7,FALSE)</f>
        <v xml:space="preserve">Tecnologias de Información </v>
      </c>
      <c r="AQ251" s="7" t="str">
        <f>VLOOKUP(AL251,Personal!$A$2:$I$300,8,FALSE)</f>
        <v xml:space="preserve">Tecnologias de Información </v>
      </c>
      <c r="AR251" s="7" t="s">
        <v>2020</v>
      </c>
    </row>
    <row r="252" spans="2:44" x14ac:dyDescent="0.3">
      <c r="B252" s="6">
        <v>247</v>
      </c>
      <c r="C252" s="6"/>
      <c r="D252" s="6"/>
      <c r="E252" s="6"/>
      <c r="F252" s="6"/>
      <c r="G252" s="7" t="s">
        <v>38</v>
      </c>
      <c r="H252" s="7" t="s">
        <v>38</v>
      </c>
      <c r="I252" s="7" t="s">
        <v>48</v>
      </c>
      <c r="J252" s="7" t="s">
        <v>2084</v>
      </c>
      <c r="K252" s="10" t="s">
        <v>2021</v>
      </c>
      <c r="L252" s="7"/>
      <c r="M252" s="7"/>
      <c r="N252" s="7"/>
      <c r="O252" s="13"/>
      <c r="P252" s="13"/>
      <c r="Q252" s="7"/>
      <c r="R252" s="7"/>
      <c r="S252" s="7" t="s">
        <v>2022</v>
      </c>
      <c r="T252" s="7"/>
      <c r="U252" s="7" t="s">
        <v>1166</v>
      </c>
      <c r="V252" s="7"/>
      <c r="W252" s="7" t="s">
        <v>2023</v>
      </c>
      <c r="X252" s="7" t="s">
        <v>1676</v>
      </c>
      <c r="Y252" s="7" t="s">
        <v>131</v>
      </c>
      <c r="Z252" s="7" t="s">
        <v>117</v>
      </c>
      <c r="AA252" s="7" t="s">
        <v>58</v>
      </c>
      <c r="AB252" s="7"/>
      <c r="AC252" s="7" t="s">
        <v>2009</v>
      </c>
      <c r="AD252" s="7"/>
      <c r="AE252" s="7" t="s">
        <v>1174</v>
      </c>
      <c r="AF252" s="7" t="s">
        <v>170</v>
      </c>
      <c r="AG252" s="7"/>
      <c r="AH252" s="8"/>
      <c r="AI252" s="7"/>
      <c r="AJ252" s="7" t="s">
        <v>107</v>
      </c>
      <c r="AK252" s="7" t="s">
        <v>109</v>
      </c>
      <c r="AL252" s="10" t="s">
        <v>1748</v>
      </c>
      <c r="AM252" s="7">
        <f>VLOOKUP(AL252,Personal!$A$2:$I$300,2,FALSE)</f>
        <v>0</v>
      </c>
      <c r="AN252" s="7" t="str">
        <f>VLOOKUP(AL252,Personal!$A$2:$I$300,3,FALSE)</f>
        <v xml:space="preserve">Tecnologias de Información </v>
      </c>
      <c r="AO252" s="7" t="str">
        <f>VLOOKUP(AL252,Personal!$A$2:$I$300,6,FALSE)</f>
        <v xml:space="preserve">Tecnologias de Información </v>
      </c>
      <c r="AP252" s="7" t="str">
        <f>VLOOKUP(AL252,Personal!$A$2:$I$300,7,FALSE)</f>
        <v xml:space="preserve">Tecnologias de Información </v>
      </c>
      <c r="AQ252" s="7" t="str">
        <f>VLOOKUP(AL252,Personal!$A$2:$I$300,8,FALSE)</f>
        <v xml:space="preserve">Tecnologias de Información </v>
      </c>
      <c r="AR252" s="7" t="s">
        <v>2024</v>
      </c>
    </row>
    <row r="253" spans="2:44" x14ac:dyDescent="0.3">
      <c r="B253" s="6">
        <v>248</v>
      </c>
      <c r="C253" s="6"/>
      <c r="D253" s="6"/>
      <c r="E253" s="6"/>
      <c r="F253" s="6"/>
      <c r="G253" s="7" t="s">
        <v>38</v>
      </c>
      <c r="H253" s="7" t="s">
        <v>38</v>
      </c>
      <c r="I253" s="7" t="s">
        <v>48</v>
      </c>
      <c r="J253" s="7" t="s">
        <v>2085</v>
      </c>
      <c r="K253" s="10" t="s">
        <v>2025</v>
      </c>
      <c r="L253" s="7"/>
      <c r="M253" s="7"/>
      <c r="N253" s="7"/>
      <c r="O253" s="13"/>
      <c r="P253" s="13"/>
      <c r="Q253" s="7"/>
      <c r="R253" s="7"/>
      <c r="S253" s="7" t="s">
        <v>2026</v>
      </c>
      <c r="T253" s="7"/>
      <c r="U253" s="7" t="s">
        <v>1168</v>
      </c>
      <c r="V253" s="7"/>
      <c r="W253" s="7" t="s">
        <v>1167</v>
      </c>
      <c r="X253" s="7" t="s">
        <v>99</v>
      </c>
      <c r="Y253" s="7" t="s">
        <v>133</v>
      </c>
      <c r="Z253" s="7" t="s">
        <v>117</v>
      </c>
      <c r="AA253" s="7" t="s">
        <v>104</v>
      </c>
      <c r="AB253" s="7"/>
      <c r="AC253" s="7" t="s">
        <v>2009</v>
      </c>
      <c r="AD253" s="7"/>
      <c r="AE253" s="7" t="s">
        <v>2027</v>
      </c>
      <c r="AF253" s="7" t="s">
        <v>170</v>
      </c>
      <c r="AG253" s="7"/>
      <c r="AH253" s="8"/>
      <c r="AI253" s="7"/>
      <c r="AJ253" s="7" t="s">
        <v>107</v>
      </c>
      <c r="AK253" s="7" t="s">
        <v>109</v>
      </c>
      <c r="AL253" s="10" t="s">
        <v>1748</v>
      </c>
      <c r="AM253" s="7">
        <f>VLOOKUP(AL253,Personal!$A$2:$I$300,2,FALSE)</f>
        <v>0</v>
      </c>
      <c r="AN253" s="7" t="str">
        <f>VLOOKUP(AL253,Personal!$A$2:$I$300,3,FALSE)</f>
        <v xml:space="preserve">Tecnologias de Información </v>
      </c>
      <c r="AO253" s="7" t="str">
        <f>VLOOKUP(AL253,Personal!$A$2:$I$300,6,FALSE)</f>
        <v xml:space="preserve">Tecnologias de Información </v>
      </c>
      <c r="AP253" s="7" t="str">
        <f>VLOOKUP(AL253,Personal!$A$2:$I$300,7,FALSE)</f>
        <v xml:space="preserve">Tecnologias de Información </v>
      </c>
      <c r="AQ253" s="7" t="str">
        <f>VLOOKUP(AL253,Personal!$A$2:$I$300,8,FALSE)</f>
        <v xml:space="preserve">Tecnologias de Información </v>
      </c>
      <c r="AR253" s="7" t="s">
        <v>2028</v>
      </c>
    </row>
    <row r="254" spans="2:44" x14ac:dyDescent="0.3">
      <c r="B254" s="6">
        <v>249</v>
      </c>
      <c r="C254" s="6"/>
      <c r="D254" s="6"/>
      <c r="E254" s="6"/>
      <c r="F254" s="6"/>
      <c r="G254" s="7" t="s">
        <v>38</v>
      </c>
      <c r="H254" s="7" t="s">
        <v>38</v>
      </c>
      <c r="I254" s="7" t="s">
        <v>48</v>
      </c>
      <c r="J254" s="7" t="s">
        <v>2083</v>
      </c>
      <c r="K254" s="10" t="s">
        <v>2029</v>
      </c>
      <c r="L254" s="7"/>
      <c r="M254" s="7"/>
      <c r="N254" s="7"/>
      <c r="O254" s="13"/>
      <c r="P254" s="13"/>
      <c r="Q254" s="7"/>
      <c r="R254" s="7"/>
      <c r="S254" s="7" t="s">
        <v>2030</v>
      </c>
      <c r="T254" s="7"/>
      <c r="U254" s="7" t="s">
        <v>1171</v>
      </c>
      <c r="V254" s="7"/>
      <c r="W254" s="7" t="s">
        <v>1170</v>
      </c>
      <c r="X254" s="7" t="s">
        <v>99</v>
      </c>
      <c r="Y254" s="7" t="s">
        <v>132</v>
      </c>
      <c r="Z254" s="7" t="s">
        <v>117</v>
      </c>
      <c r="AA254" s="7" t="s">
        <v>62</v>
      </c>
      <c r="AB254" s="7"/>
      <c r="AC254" s="7" t="s">
        <v>2009</v>
      </c>
      <c r="AD254" s="7"/>
      <c r="AE254" s="7" t="s">
        <v>159</v>
      </c>
      <c r="AF254" s="7" t="s">
        <v>170</v>
      </c>
      <c r="AG254" s="7"/>
      <c r="AH254" s="8"/>
      <c r="AI254" s="7"/>
      <c r="AJ254" s="7" t="s">
        <v>107</v>
      </c>
      <c r="AK254" s="7" t="s">
        <v>109</v>
      </c>
      <c r="AL254" s="10" t="s">
        <v>1748</v>
      </c>
      <c r="AM254" s="7">
        <f>VLOOKUP(AL254,Personal!$A$2:$I$300,2,FALSE)</f>
        <v>0</v>
      </c>
      <c r="AN254" s="7" t="str">
        <f>VLOOKUP(AL254,Personal!$A$2:$I$300,3,FALSE)</f>
        <v xml:space="preserve">Tecnologias de Información </v>
      </c>
      <c r="AO254" s="7" t="str">
        <f>VLOOKUP(AL254,Personal!$A$2:$I$300,6,FALSE)</f>
        <v xml:space="preserve">Tecnologias de Información </v>
      </c>
      <c r="AP254" s="7" t="str">
        <f>VLOOKUP(AL254,Personal!$A$2:$I$300,7,FALSE)</f>
        <v xml:space="preserve">Tecnologias de Información </v>
      </c>
      <c r="AQ254" s="7" t="str">
        <f>VLOOKUP(AL254,Personal!$A$2:$I$300,8,FALSE)</f>
        <v xml:space="preserve">Tecnologias de Información </v>
      </c>
      <c r="AR254" s="7" t="s">
        <v>2032</v>
      </c>
    </row>
    <row r="255" spans="2:44" x14ac:dyDescent="0.3">
      <c r="B255" s="6">
        <v>250</v>
      </c>
      <c r="C255" s="6"/>
      <c r="D255" s="6"/>
      <c r="E255" s="6"/>
      <c r="F255" s="6"/>
      <c r="G255" s="7" t="s">
        <v>33</v>
      </c>
      <c r="H255" s="7" t="s">
        <v>38</v>
      </c>
      <c r="I255" s="7" t="s">
        <v>48</v>
      </c>
      <c r="J255" s="7" t="s">
        <v>2047</v>
      </c>
      <c r="K255" s="10" t="s">
        <v>2046</v>
      </c>
      <c r="L255" s="7" t="s">
        <v>2078</v>
      </c>
      <c r="M255" s="7"/>
      <c r="N255" s="7"/>
      <c r="O255" s="13"/>
      <c r="P255" s="13"/>
      <c r="Q255" s="7"/>
      <c r="R255" s="7"/>
      <c r="S255" s="7" t="s">
        <v>2048</v>
      </c>
      <c r="T255" s="7"/>
      <c r="U255" s="7" t="s">
        <v>1912</v>
      </c>
      <c r="V255" s="7"/>
      <c r="W255" s="7" t="s">
        <v>1911</v>
      </c>
      <c r="X255" s="7" t="s">
        <v>55</v>
      </c>
      <c r="Y255" s="7" t="s">
        <v>101</v>
      </c>
      <c r="Z255" s="7" t="s">
        <v>117</v>
      </c>
      <c r="AA255" s="7" t="s">
        <v>71</v>
      </c>
      <c r="AB255" s="7"/>
      <c r="AC255" s="7" t="s">
        <v>2008</v>
      </c>
      <c r="AD255" s="7"/>
      <c r="AE255" s="7" t="s">
        <v>88</v>
      </c>
      <c r="AF255" s="7" t="s">
        <v>170</v>
      </c>
      <c r="AG255" s="7"/>
      <c r="AH255" s="8"/>
      <c r="AI255" s="7"/>
      <c r="AJ255" s="7" t="s">
        <v>107</v>
      </c>
      <c r="AK255" s="7" t="s">
        <v>109</v>
      </c>
      <c r="AL255" s="10" t="s">
        <v>1748</v>
      </c>
      <c r="AM255" s="7">
        <f>VLOOKUP(AL255,Personal!$A$2:$I$300,2,FALSE)</f>
        <v>0</v>
      </c>
      <c r="AN255" s="7" t="str">
        <f>VLOOKUP(AL255,Personal!$A$2:$I$300,3,FALSE)</f>
        <v xml:space="preserve">Tecnologias de Información </v>
      </c>
      <c r="AO255" s="7" t="str">
        <f>VLOOKUP(AL255,Personal!$A$2:$I$300,6,FALSE)</f>
        <v xml:space="preserve">Tecnologias de Información </v>
      </c>
      <c r="AP255" s="7" t="str">
        <f>VLOOKUP(AL255,Personal!$A$2:$I$300,7,FALSE)</f>
        <v xml:space="preserve">Tecnologias de Información </v>
      </c>
      <c r="AQ255" s="7" t="str">
        <f>VLOOKUP(AL255,Personal!$A$2:$I$300,8,FALSE)</f>
        <v xml:space="preserve">Tecnologias de Información </v>
      </c>
      <c r="AR255" s="7" t="s">
        <v>2049</v>
      </c>
    </row>
    <row r="256" spans="2:44" x14ac:dyDescent="0.3">
      <c r="B256" s="6">
        <v>251</v>
      </c>
      <c r="C256" s="6"/>
      <c r="D256" s="6"/>
      <c r="E256" s="6"/>
      <c r="F256" s="6"/>
      <c r="G256" s="7" t="s">
        <v>38</v>
      </c>
      <c r="H256" s="7" t="s">
        <v>38</v>
      </c>
      <c r="I256" s="7" t="s">
        <v>48</v>
      </c>
      <c r="J256" s="7" t="s">
        <v>2086</v>
      </c>
      <c r="K256" s="10" t="s">
        <v>2050</v>
      </c>
      <c r="L256" s="7"/>
      <c r="M256" s="7"/>
      <c r="N256" s="7"/>
      <c r="O256" s="13"/>
      <c r="P256" s="13"/>
      <c r="Q256" s="7"/>
      <c r="R256" s="7"/>
      <c r="S256" s="7" t="s">
        <v>2053</v>
      </c>
      <c r="T256" s="7"/>
      <c r="U256" s="7" t="s">
        <v>2051</v>
      </c>
      <c r="V256" s="7"/>
      <c r="W256" s="7" t="s">
        <v>2052</v>
      </c>
      <c r="X256" s="7" t="s">
        <v>99</v>
      </c>
      <c r="Y256" s="7" t="s">
        <v>91</v>
      </c>
      <c r="Z256" s="7" t="s">
        <v>117</v>
      </c>
      <c r="AA256" s="7" t="s">
        <v>105</v>
      </c>
      <c r="AB256" s="7"/>
      <c r="AC256" s="7" t="s">
        <v>234</v>
      </c>
      <c r="AD256" s="7"/>
      <c r="AE256" s="7" t="s">
        <v>161</v>
      </c>
      <c r="AF256" s="7" t="s">
        <v>170</v>
      </c>
      <c r="AG256" s="7"/>
      <c r="AH256" s="8"/>
      <c r="AI256" s="7"/>
      <c r="AJ256" s="7" t="s">
        <v>107</v>
      </c>
      <c r="AK256" s="7" t="s">
        <v>109</v>
      </c>
      <c r="AL256" s="10" t="s">
        <v>1748</v>
      </c>
      <c r="AM256" s="7">
        <f>VLOOKUP(AL256,Personal!$A$2:$I$300,2,FALSE)</f>
        <v>0</v>
      </c>
      <c r="AN256" s="7" t="str">
        <f>VLOOKUP(AL256,Personal!$A$2:$I$300,3,FALSE)</f>
        <v xml:space="preserve">Tecnologias de Información </v>
      </c>
      <c r="AO256" s="7" t="str">
        <f>VLOOKUP(AL256,Personal!$A$2:$I$300,6,FALSE)</f>
        <v xml:space="preserve">Tecnologias de Información </v>
      </c>
      <c r="AP256" s="7" t="str">
        <f>VLOOKUP(AL256,Personal!$A$2:$I$300,7,FALSE)</f>
        <v xml:space="preserve">Tecnologias de Información </v>
      </c>
      <c r="AQ256" s="7" t="str">
        <f>VLOOKUP(AL256,Personal!$A$2:$I$300,8,FALSE)</f>
        <v xml:space="preserve">Tecnologias de Información </v>
      </c>
      <c r="AR256" s="7" t="s">
        <v>2054</v>
      </c>
    </row>
    <row r="257" spans="2:44" x14ac:dyDescent="0.3">
      <c r="B257" s="6">
        <v>252</v>
      </c>
      <c r="C257" s="6"/>
      <c r="D257" s="6"/>
      <c r="E257" s="6"/>
      <c r="F257" s="6"/>
      <c r="G257" s="7" t="s">
        <v>38</v>
      </c>
      <c r="H257" s="7" t="s">
        <v>38</v>
      </c>
      <c r="I257" s="7" t="s">
        <v>48</v>
      </c>
      <c r="J257" s="7" t="s">
        <v>2087</v>
      </c>
      <c r="K257" s="10" t="s">
        <v>2055</v>
      </c>
      <c r="L257" s="7"/>
      <c r="M257" s="7"/>
      <c r="N257" s="7"/>
      <c r="O257" s="13"/>
      <c r="P257" s="13"/>
      <c r="Q257" s="7"/>
      <c r="R257" s="7"/>
      <c r="S257" s="7"/>
      <c r="T257" s="7"/>
      <c r="U257" s="7"/>
      <c r="V257" s="7"/>
      <c r="W257" s="7" t="s">
        <v>2059</v>
      </c>
      <c r="X257" s="7" t="s">
        <v>99</v>
      </c>
      <c r="Y257" s="7" t="s">
        <v>132</v>
      </c>
      <c r="Z257" s="7" t="s">
        <v>117</v>
      </c>
      <c r="AA257" s="7"/>
      <c r="AB257" s="7"/>
      <c r="AC257" s="7" t="s">
        <v>2008</v>
      </c>
      <c r="AD257" s="7"/>
      <c r="AE257" s="7" t="s">
        <v>158</v>
      </c>
      <c r="AF257" s="7" t="s">
        <v>170</v>
      </c>
      <c r="AG257" s="7"/>
      <c r="AH257" s="8"/>
      <c r="AI257" s="7"/>
      <c r="AJ257" s="7" t="s">
        <v>107</v>
      </c>
      <c r="AK257" s="7" t="s">
        <v>176</v>
      </c>
      <c r="AL257" s="10" t="s">
        <v>1748</v>
      </c>
      <c r="AM257" s="7">
        <f>VLOOKUP(AL257,Personal!$A$2:$I$300,2,FALSE)</f>
        <v>0</v>
      </c>
      <c r="AN257" s="7" t="str">
        <f>VLOOKUP(AL257,Personal!$A$2:$I$300,3,FALSE)</f>
        <v xml:space="preserve">Tecnologias de Información </v>
      </c>
      <c r="AO257" s="7" t="str">
        <f>VLOOKUP(AL257,Personal!$A$2:$I$300,6,FALSE)</f>
        <v xml:space="preserve">Tecnologias de Información </v>
      </c>
      <c r="AP257" s="7" t="str">
        <f>VLOOKUP(AL257,Personal!$A$2:$I$300,7,FALSE)</f>
        <v xml:space="preserve">Tecnologias de Información </v>
      </c>
      <c r="AQ257" s="7" t="str">
        <f>VLOOKUP(AL257,Personal!$A$2:$I$300,8,FALSE)</f>
        <v xml:space="preserve">Tecnologias de Información </v>
      </c>
      <c r="AR257" s="121" t="s">
        <v>2065</v>
      </c>
    </row>
    <row r="258" spans="2:44" x14ac:dyDescent="0.3">
      <c r="B258" s="6">
        <v>253</v>
      </c>
      <c r="C258" s="6"/>
      <c r="D258" s="6"/>
      <c r="E258" s="6"/>
      <c r="F258" s="6"/>
      <c r="G258" s="7" t="s">
        <v>38</v>
      </c>
      <c r="H258" s="7" t="s">
        <v>38</v>
      </c>
      <c r="I258" s="7" t="s">
        <v>48</v>
      </c>
      <c r="J258" s="7" t="s">
        <v>2085</v>
      </c>
      <c r="K258" s="10" t="s">
        <v>2056</v>
      </c>
      <c r="L258" s="7"/>
      <c r="M258" s="7"/>
      <c r="N258" s="7"/>
      <c r="O258" s="13"/>
      <c r="P258" s="13"/>
      <c r="Q258" s="7"/>
      <c r="R258" s="7"/>
      <c r="S258" s="7" t="s">
        <v>2058</v>
      </c>
      <c r="T258" s="7"/>
      <c r="U258" s="7" t="s">
        <v>1163</v>
      </c>
      <c r="V258" s="7"/>
      <c r="W258" s="7" t="s">
        <v>2057</v>
      </c>
      <c r="X258" s="7" t="s">
        <v>99</v>
      </c>
      <c r="Y258" s="7" t="s">
        <v>89</v>
      </c>
      <c r="Z258" s="7" t="s">
        <v>117</v>
      </c>
      <c r="AA258" s="7" t="s">
        <v>103</v>
      </c>
      <c r="AB258" s="7"/>
      <c r="AC258" s="7" t="s">
        <v>2010</v>
      </c>
      <c r="AD258" s="7"/>
      <c r="AE258" s="7" t="s">
        <v>159</v>
      </c>
      <c r="AF258" s="7" t="s">
        <v>170</v>
      </c>
      <c r="AG258" s="7"/>
      <c r="AH258" s="8"/>
      <c r="AI258" s="7"/>
      <c r="AJ258" s="7" t="s">
        <v>107</v>
      </c>
      <c r="AK258" s="7" t="s">
        <v>109</v>
      </c>
      <c r="AL258" s="10" t="s">
        <v>1748</v>
      </c>
      <c r="AM258" s="7">
        <f>VLOOKUP(AL258,Personal!$A$2:$I$300,2,FALSE)</f>
        <v>0</v>
      </c>
      <c r="AN258" s="7" t="str">
        <f>VLOOKUP(AL258,Personal!$A$2:$I$300,3,FALSE)</f>
        <v xml:space="preserve">Tecnologias de Información </v>
      </c>
      <c r="AO258" s="7" t="str">
        <f>VLOOKUP(AL258,Personal!$A$2:$I$300,6,FALSE)</f>
        <v xml:space="preserve">Tecnologias de Información </v>
      </c>
      <c r="AP258" s="7" t="str">
        <f>VLOOKUP(AL258,Personal!$A$2:$I$300,7,FALSE)</f>
        <v xml:space="preserve">Tecnologias de Información </v>
      </c>
      <c r="AQ258" s="7" t="str">
        <f>VLOOKUP(AL258,Personal!$A$2:$I$300,8,FALSE)</f>
        <v xml:space="preserve">Tecnologias de Información </v>
      </c>
      <c r="AR258" s="121" t="s">
        <v>2066</v>
      </c>
    </row>
    <row r="259" spans="2:44" x14ac:dyDescent="0.3">
      <c r="B259" s="6">
        <v>254</v>
      </c>
      <c r="C259" s="6"/>
      <c r="D259" s="6"/>
      <c r="E259" s="6"/>
      <c r="F259" s="6"/>
      <c r="G259" s="7" t="s">
        <v>38</v>
      </c>
      <c r="H259" s="7" t="s">
        <v>38</v>
      </c>
      <c r="I259" s="7" t="s">
        <v>48</v>
      </c>
      <c r="J259" s="7" t="s">
        <v>2088</v>
      </c>
      <c r="K259" s="10" t="s">
        <v>2062</v>
      </c>
      <c r="L259" s="7"/>
      <c r="M259" s="7"/>
      <c r="N259" s="7"/>
      <c r="O259" s="13"/>
      <c r="P259" s="13"/>
      <c r="Q259" s="7"/>
      <c r="R259" s="7"/>
      <c r="S259" s="7" t="s">
        <v>2063</v>
      </c>
      <c r="T259" s="7"/>
      <c r="U259" s="7" t="s">
        <v>2060</v>
      </c>
      <c r="V259" s="7"/>
      <c r="W259" s="7" t="s">
        <v>2061</v>
      </c>
      <c r="X259" s="7" t="s">
        <v>99</v>
      </c>
      <c r="Y259" s="7" t="s">
        <v>132</v>
      </c>
      <c r="Z259" s="7" t="s">
        <v>117</v>
      </c>
      <c r="AA259" s="7" t="s">
        <v>58</v>
      </c>
      <c r="AB259" s="7"/>
      <c r="AC259" s="7" t="s">
        <v>2009</v>
      </c>
      <c r="AD259" s="7"/>
      <c r="AE259" s="7" t="s">
        <v>158</v>
      </c>
      <c r="AF259" s="7" t="s">
        <v>170</v>
      </c>
      <c r="AG259" s="7"/>
      <c r="AH259" s="8"/>
      <c r="AI259" s="7"/>
      <c r="AJ259" s="7" t="s">
        <v>107</v>
      </c>
      <c r="AK259" s="7" t="s">
        <v>109</v>
      </c>
      <c r="AL259" s="10" t="s">
        <v>1748</v>
      </c>
      <c r="AM259" s="7">
        <f>VLOOKUP(AL259,Personal!$A$2:$I$300,2,FALSE)</f>
        <v>0</v>
      </c>
      <c r="AN259" s="7" t="str">
        <f>VLOOKUP(AL259,Personal!$A$2:$I$300,3,FALSE)</f>
        <v xml:space="preserve">Tecnologias de Información </v>
      </c>
      <c r="AO259" s="7" t="str">
        <f>VLOOKUP(AL259,Personal!$A$2:$I$300,6,FALSE)</f>
        <v xml:space="preserve">Tecnologias de Información </v>
      </c>
      <c r="AP259" s="7" t="str">
        <f>VLOOKUP(AL259,Personal!$A$2:$I$300,7,FALSE)</f>
        <v xml:space="preserve">Tecnologias de Información </v>
      </c>
      <c r="AQ259" s="7" t="str">
        <f>VLOOKUP(AL259,Personal!$A$2:$I$300,8,FALSE)</f>
        <v xml:space="preserve">Tecnologias de Información </v>
      </c>
      <c r="AR259" s="121" t="s">
        <v>2064</v>
      </c>
    </row>
    <row r="260" spans="2:44" x14ac:dyDescent="0.3">
      <c r="B260" s="6">
        <v>255</v>
      </c>
      <c r="C260" s="6"/>
      <c r="D260" s="6"/>
      <c r="E260" s="6"/>
      <c r="F260" s="6"/>
      <c r="G260" s="7" t="s">
        <v>33</v>
      </c>
      <c r="H260" s="7" t="s">
        <v>38</v>
      </c>
      <c r="I260" s="7" t="s">
        <v>46</v>
      </c>
      <c r="J260" s="7" t="s">
        <v>193</v>
      </c>
      <c r="K260" s="10" t="s">
        <v>2067</v>
      </c>
      <c r="L260" s="7" t="s">
        <v>1290</v>
      </c>
      <c r="M260" s="7"/>
      <c r="N260" s="7"/>
      <c r="O260" s="13"/>
      <c r="P260" s="13"/>
      <c r="Q260" s="7"/>
      <c r="R260" s="7"/>
      <c r="S260" s="7" t="s">
        <v>2068</v>
      </c>
      <c r="T260" s="7"/>
      <c r="U260" s="7" t="s">
        <v>1164</v>
      </c>
      <c r="V260" s="7"/>
      <c r="W260" s="7" t="s">
        <v>2069</v>
      </c>
      <c r="X260" s="7" t="s">
        <v>54</v>
      </c>
      <c r="Y260" s="7" t="s">
        <v>89</v>
      </c>
      <c r="Z260" s="7" t="s">
        <v>117</v>
      </c>
      <c r="AA260" s="7" t="s">
        <v>58</v>
      </c>
      <c r="AB260" s="7"/>
      <c r="AC260" s="7" t="s">
        <v>75</v>
      </c>
      <c r="AD260" s="7"/>
      <c r="AE260" s="7" t="s">
        <v>159</v>
      </c>
      <c r="AF260" s="7" t="s">
        <v>170</v>
      </c>
      <c r="AG260" s="7"/>
      <c r="AH260" s="8"/>
      <c r="AI260" s="7"/>
      <c r="AJ260" s="7" t="s">
        <v>107</v>
      </c>
      <c r="AK260" s="7" t="s">
        <v>109</v>
      </c>
      <c r="AL260" s="10" t="s">
        <v>1748</v>
      </c>
      <c r="AM260" s="7">
        <f>VLOOKUP(AL260,Personal!$A$2:$I$300,2,FALSE)</f>
        <v>0</v>
      </c>
      <c r="AN260" s="7" t="str">
        <f>VLOOKUP(AL260,Personal!$A$2:$I$300,3,FALSE)</f>
        <v xml:space="preserve">Tecnologias de Información </v>
      </c>
      <c r="AO260" s="7" t="str">
        <f>VLOOKUP(AL260,Personal!$A$2:$I$300,6,FALSE)</f>
        <v xml:space="preserve">Tecnologias de Información </v>
      </c>
      <c r="AP260" s="7" t="str">
        <f>VLOOKUP(AL260,Personal!$A$2:$I$300,7,FALSE)</f>
        <v xml:space="preserve">Tecnologias de Información </v>
      </c>
      <c r="AQ260" s="7" t="str">
        <f>VLOOKUP(AL260,Personal!$A$2:$I$300,8,FALSE)</f>
        <v xml:space="preserve">Tecnologias de Información </v>
      </c>
      <c r="AR260" s="7" t="s">
        <v>2070</v>
      </c>
    </row>
    <row r="261" spans="2:44" x14ac:dyDescent="0.3">
      <c r="B261" s="6">
        <v>256</v>
      </c>
      <c r="C261" s="6"/>
      <c r="D261" s="6"/>
      <c r="E261" s="6"/>
      <c r="F261" s="6"/>
      <c r="G261" s="7" t="s">
        <v>33</v>
      </c>
      <c r="H261" s="7" t="s">
        <v>38</v>
      </c>
      <c r="I261" s="7" t="s">
        <v>46</v>
      </c>
      <c r="J261" s="7" t="s">
        <v>193</v>
      </c>
      <c r="K261" s="10" t="s">
        <v>2072</v>
      </c>
      <c r="L261" s="7" t="s">
        <v>1290</v>
      </c>
      <c r="M261" s="7"/>
      <c r="N261" s="7"/>
      <c r="O261" s="13"/>
      <c r="P261" s="13"/>
      <c r="Q261" s="7"/>
      <c r="R261" s="7"/>
      <c r="S261" s="7" t="s">
        <v>2073</v>
      </c>
      <c r="T261" s="7"/>
      <c r="U261" s="7" t="s">
        <v>1945</v>
      </c>
      <c r="V261" s="7"/>
      <c r="W261" s="7" t="s">
        <v>1946</v>
      </c>
      <c r="X261" s="7" t="s">
        <v>54</v>
      </c>
      <c r="Y261" s="7" t="s">
        <v>89</v>
      </c>
      <c r="Z261" s="7" t="s">
        <v>117</v>
      </c>
      <c r="AA261" s="7" t="s">
        <v>58</v>
      </c>
      <c r="AB261" s="7"/>
      <c r="AC261" s="7" t="s">
        <v>75</v>
      </c>
      <c r="AD261" s="7"/>
      <c r="AE261" s="7" t="s">
        <v>1174</v>
      </c>
      <c r="AF261" s="7" t="s">
        <v>170</v>
      </c>
      <c r="AG261" s="7"/>
      <c r="AH261" s="8"/>
      <c r="AI261" s="7"/>
      <c r="AJ261" s="7" t="s">
        <v>107</v>
      </c>
      <c r="AK261" s="7" t="s">
        <v>109</v>
      </c>
      <c r="AL261" s="10" t="s">
        <v>1748</v>
      </c>
      <c r="AM261" s="7">
        <f>VLOOKUP(AL261,Personal!$A$2:$I$300,2,FALSE)</f>
        <v>0</v>
      </c>
      <c r="AN261" s="7" t="str">
        <f>VLOOKUP(AL261,Personal!$A$2:$I$300,3,FALSE)</f>
        <v xml:space="preserve">Tecnologias de Información </v>
      </c>
      <c r="AO261" s="7" t="str">
        <f>VLOOKUP(AL261,Personal!$A$2:$I$300,6,FALSE)</f>
        <v xml:space="preserve">Tecnologias de Información </v>
      </c>
      <c r="AP261" s="7" t="str">
        <f>VLOOKUP(AL261,Personal!$A$2:$I$300,7,FALSE)</f>
        <v xml:space="preserve">Tecnologias de Información </v>
      </c>
      <c r="AQ261" s="7" t="str">
        <f>VLOOKUP(AL261,Personal!$A$2:$I$300,8,FALSE)</f>
        <v xml:space="preserve">Tecnologias de Información </v>
      </c>
      <c r="AR261" s="7" t="s">
        <v>2074</v>
      </c>
    </row>
    <row r="262" spans="2:44" x14ac:dyDescent="0.3">
      <c r="B262" s="6">
        <v>257</v>
      </c>
      <c r="C262" s="6"/>
      <c r="D262" s="6"/>
      <c r="E262" s="6"/>
      <c r="F262" s="6"/>
      <c r="G262" s="7" t="s">
        <v>38</v>
      </c>
      <c r="H262" s="7" t="s">
        <v>38</v>
      </c>
      <c r="I262" s="7" t="s">
        <v>48</v>
      </c>
      <c r="J262" s="7" t="s">
        <v>2084</v>
      </c>
      <c r="K262" s="10" t="s">
        <v>2075</v>
      </c>
      <c r="L262" s="7"/>
      <c r="M262" s="7"/>
      <c r="N262" s="7"/>
      <c r="O262" s="13"/>
      <c r="P262" s="13"/>
      <c r="Q262" s="7"/>
      <c r="R262" s="7"/>
      <c r="S262" s="7" t="s">
        <v>2076</v>
      </c>
      <c r="T262" s="7"/>
      <c r="U262" s="7" t="s">
        <v>1918</v>
      </c>
      <c r="V262" s="7"/>
      <c r="W262" s="7" t="s">
        <v>1917</v>
      </c>
      <c r="X262" s="7" t="s">
        <v>99</v>
      </c>
      <c r="Y262" s="7" t="s">
        <v>131</v>
      </c>
      <c r="Z262" s="7" t="s">
        <v>117</v>
      </c>
      <c r="AA262" s="7" t="s">
        <v>58</v>
      </c>
      <c r="AB262" s="7"/>
      <c r="AC262" s="7" t="s">
        <v>2009</v>
      </c>
      <c r="AD262" s="7"/>
      <c r="AE262" s="7" t="s">
        <v>160</v>
      </c>
      <c r="AF262" s="7" t="s">
        <v>170</v>
      </c>
      <c r="AG262" s="7"/>
      <c r="AH262" s="8"/>
      <c r="AI262" s="7"/>
      <c r="AJ262" s="7" t="s">
        <v>107</v>
      </c>
      <c r="AK262" s="7" t="s">
        <v>109</v>
      </c>
      <c r="AL262" s="10" t="s">
        <v>1748</v>
      </c>
      <c r="AM262" s="7">
        <f>VLOOKUP(AL262,Personal!$A$2:$I$300,2,FALSE)</f>
        <v>0</v>
      </c>
      <c r="AN262" s="7" t="str">
        <f>VLOOKUP(AL262,Personal!$A$2:$I$300,3,FALSE)</f>
        <v xml:space="preserve">Tecnologias de Información </v>
      </c>
      <c r="AO262" s="7" t="str">
        <f>VLOOKUP(AL262,Personal!$A$2:$I$300,6,FALSE)</f>
        <v xml:space="preserve">Tecnologias de Información </v>
      </c>
      <c r="AP262" s="7" t="str">
        <f>VLOOKUP(AL262,Personal!$A$2:$I$300,7,FALSE)</f>
        <v xml:space="preserve">Tecnologias de Información </v>
      </c>
      <c r="AQ262" s="7" t="str">
        <f>VLOOKUP(AL262,Personal!$A$2:$I$300,8,FALSE)</f>
        <v xml:space="preserve">Tecnologias de Información </v>
      </c>
      <c r="AR262" s="121" t="s">
        <v>2077</v>
      </c>
    </row>
    <row r="263" spans="2:44" x14ac:dyDescent="0.3">
      <c r="B263" s="6">
        <v>258</v>
      </c>
      <c r="C263" s="6"/>
      <c r="D263" s="6"/>
      <c r="E263" s="6"/>
      <c r="F263" s="6"/>
      <c r="G263" s="7" t="s">
        <v>38</v>
      </c>
      <c r="H263" s="7" t="s">
        <v>38</v>
      </c>
      <c r="I263" s="7" t="s">
        <v>48</v>
      </c>
      <c r="J263" s="7" t="s">
        <v>2081</v>
      </c>
      <c r="K263" s="10" t="s">
        <v>2080</v>
      </c>
      <c r="L263" s="7"/>
      <c r="M263" s="7"/>
      <c r="N263" s="7"/>
      <c r="O263" s="13"/>
      <c r="P263" s="13"/>
      <c r="Q263" s="7"/>
      <c r="R263" s="7"/>
      <c r="S263" s="7" t="s">
        <v>2090</v>
      </c>
      <c r="T263" s="7"/>
      <c r="U263" s="7" t="s">
        <v>1509</v>
      </c>
      <c r="V263" s="7"/>
      <c r="W263" s="7" t="s">
        <v>2089</v>
      </c>
      <c r="X263" s="7" t="s">
        <v>99</v>
      </c>
      <c r="Y263" s="7" t="s">
        <v>132</v>
      </c>
      <c r="Z263" s="7" t="s">
        <v>117</v>
      </c>
      <c r="AA263" s="7" t="s">
        <v>60</v>
      </c>
      <c r="AB263" s="7"/>
      <c r="AC263" s="7" t="s">
        <v>2009</v>
      </c>
      <c r="AD263" s="7"/>
      <c r="AE263" s="7" t="s">
        <v>159</v>
      </c>
      <c r="AF263" s="7" t="s">
        <v>170</v>
      </c>
      <c r="AG263" s="7"/>
      <c r="AH263" s="8"/>
      <c r="AI263" s="7"/>
      <c r="AJ263" s="7" t="s">
        <v>107</v>
      </c>
      <c r="AK263" s="7" t="s">
        <v>109</v>
      </c>
      <c r="AL263" s="10" t="s">
        <v>1748</v>
      </c>
      <c r="AM263" s="7">
        <f>VLOOKUP(AL263,Personal!$A$2:$I$300,2,FALSE)</f>
        <v>0</v>
      </c>
      <c r="AN263" s="7" t="str">
        <f>VLOOKUP(AL263,Personal!$A$2:$I$300,3,FALSE)</f>
        <v xml:space="preserve">Tecnologias de Información </v>
      </c>
      <c r="AO263" s="7" t="str">
        <f>VLOOKUP(AL263,Personal!$A$2:$I$300,6,FALSE)</f>
        <v xml:space="preserve">Tecnologias de Información </v>
      </c>
      <c r="AP263" s="7" t="str">
        <f>VLOOKUP(AL263,Personal!$A$2:$I$300,7,FALSE)</f>
        <v xml:space="preserve">Tecnologias de Información </v>
      </c>
      <c r="AQ263" s="7" t="str">
        <f>VLOOKUP(AL263,Personal!$A$2:$I$300,8,FALSE)</f>
        <v xml:space="preserve">Tecnologias de Información </v>
      </c>
      <c r="AR263" s="121" t="s">
        <v>2091</v>
      </c>
    </row>
    <row r="264" spans="2:44" x14ac:dyDescent="0.3">
      <c r="B264" s="6">
        <v>259</v>
      </c>
      <c r="C264" s="6"/>
      <c r="D264" s="6"/>
      <c r="E264" s="6"/>
      <c r="F264" s="6"/>
      <c r="G264" s="7" t="s">
        <v>36</v>
      </c>
      <c r="H264" s="7" t="s">
        <v>29</v>
      </c>
      <c r="I264" s="7" t="s">
        <v>1820</v>
      </c>
      <c r="J264" s="7" t="s">
        <v>2092</v>
      </c>
      <c r="K264" s="10" t="s">
        <v>2093</v>
      </c>
      <c r="L264" s="7"/>
      <c r="M264" s="7" t="s">
        <v>50</v>
      </c>
      <c r="N264" s="7">
        <v>998304961</v>
      </c>
      <c r="O264" s="13">
        <v>861578070736817</v>
      </c>
      <c r="P264" s="13">
        <v>861578071136819</v>
      </c>
      <c r="Q264" s="7"/>
      <c r="R264" s="7"/>
      <c r="S264" s="7"/>
      <c r="T264" s="7"/>
      <c r="U264" s="7"/>
      <c r="V264" s="7"/>
      <c r="W264" s="7"/>
      <c r="X264" s="7" t="s">
        <v>140</v>
      </c>
      <c r="Y264" s="7"/>
      <c r="Z264" s="7"/>
      <c r="AA264" s="7" t="s">
        <v>142</v>
      </c>
      <c r="AB264" s="7"/>
      <c r="AC264" s="7" t="s">
        <v>146</v>
      </c>
      <c r="AD264" s="7"/>
      <c r="AE264" s="7" t="s">
        <v>162</v>
      </c>
      <c r="AF264" s="7" t="s">
        <v>170</v>
      </c>
      <c r="AG264" s="7"/>
      <c r="AH264" s="8"/>
      <c r="AI264" s="7"/>
      <c r="AJ264" s="7" t="s">
        <v>107</v>
      </c>
      <c r="AK264" s="7" t="s">
        <v>109</v>
      </c>
      <c r="AL264" s="9" t="s">
        <v>409</v>
      </c>
      <c r="AM264" s="7" t="str">
        <f>VLOOKUP(AL264,Personal!$A$2:$I$300,2,FALSE)</f>
        <v>0000001068</v>
      </c>
      <c r="AN264" s="7" t="str">
        <f>VLOOKUP(AL264,Personal!$A$2:$I$300,3,FALSE)</f>
        <v>HERRERA DELZO MARCO ANTONIO</v>
      </c>
      <c r="AO264" s="7" t="str">
        <f>VLOOKUP(AL264,Personal!$A$2:$I$300,6,FALSE)</f>
        <v>Supervisor Senior de A&amp;B</v>
      </c>
      <c r="AP264" s="7" t="str">
        <f>VLOOKUP(AL264,Personal!$A$2:$I$300,7,FALSE)</f>
        <v>Banquetes</v>
      </c>
      <c r="AQ264" s="7" t="str">
        <f>VLOOKUP(AL264,Personal!$A$2:$I$300,8,FALSE)</f>
        <v>Alimentos y Bebidas</v>
      </c>
      <c r="AR264" s="7"/>
    </row>
    <row r="265" spans="2:44" x14ac:dyDescent="0.3">
      <c r="B265" s="6">
        <v>260</v>
      </c>
      <c r="C265" s="6"/>
      <c r="D265" s="6"/>
      <c r="E265" s="6"/>
      <c r="F265" s="6"/>
      <c r="G265" s="7" t="s">
        <v>36</v>
      </c>
      <c r="H265" s="7" t="s">
        <v>29</v>
      </c>
      <c r="I265" s="7" t="s">
        <v>1797</v>
      </c>
      <c r="J265" s="7" t="s">
        <v>1702</v>
      </c>
      <c r="K265" s="10" t="s">
        <v>2094</v>
      </c>
      <c r="L265" s="7"/>
      <c r="M265" s="7" t="s">
        <v>50</v>
      </c>
      <c r="N265" s="7">
        <v>998301625</v>
      </c>
      <c r="O265" s="13">
        <v>862480064827026</v>
      </c>
      <c r="P265" s="13">
        <v>862480064827034</v>
      </c>
      <c r="Q265" s="7"/>
      <c r="R265" s="7"/>
      <c r="S265" s="7"/>
      <c r="T265" s="7"/>
      <c r="U265" s="7"/>
      <c r="V265" s="7"/>
      <c r="W265" s="7"/>
      <c r="X265" s="7" t="s">
        <v>140</v>
      </c>
      <c r="Y265" s="7"/>
      <c r="Z265" s="7"/>
      <c r="AA265" s="7" t="s">
        <v>142</v>
      </c>
      <c r="AB265" s="7"/>
      <c r="AC265" s="7" t="s">
        <v>146</v>
      </c>
      <c r="AD265" s="7"/>
      <c r="AE265" s="7" t="s">
        <v>162</v>
      </c>
      <c r="AF265" s="7" t="s">
        <v>170</v>
      </c>
      <c r="AG265" s="7"/>
      <c r="AH265" s="8"/>
      <c r="AI265" s="7"/>
      <c r="AJ265" s="7" t="s">
        <v>107</v>
      </c>
      <c r="AK265" s="7" t="s">
        <v>109</v>
      </c>
      <c r="AL265" s="10" t="s">
        <v>287</v>
      </c>
      <c r="AM265" s="7">
        <f>VLOOKUP(AL265,Personal!$A$2:$I$300,2,FALSE)</f>
        <v>0</v>
      </c>
      <c r="AN265" s="7" t="str">
        <f>VLOOKUP(AL265,Personal!$A$2:$I$300,3,FALSE)</f>
        <v>Empleado CyM Lobby</v>
      </c>
      <c r="AO265" s="7" t="str">
        <f>VLOOKUP(AL265,Personal!$A$2:$I$300,6,FALSE)</f>
        <v>Empleado Puesto de Control</v>
      </c>
      <c r="AP265" s="7" t="str">
        <f>VLOOKUP(AL265,Personal!$A$2:$I$300,7,FALSE)</f>
        <v>Control y Monitoreo</v>
      </c>
      <c r="AQ265" s="7" t="str">
        <f>VLOOKUP(AL265,Personal!$A$2:$I$300,8,FALSE)</f>
        <v>Control y Monitoreo</v>
      </c>
      <c r="AR265" s="7"/>
    </row>
    <row r="266" spans="2:44" x14ac:dyDescent="0.3">
      <c r="B266" s="6">
        <v>261</v>
      </c>
      <c r="C266" s="6"/>
      <c r="D266" s="6"/>
      <c r="E266" s="6"/>
      <c r="F266" s="6"/>
      <c r="G266" s="7" t="s">
        <v>36</v>
      </c>
      <c r="H266" s="7" t="s">
        <v>29</v>
      </c>
      <c r="I266" s="7" t="s">
        <v>1797</v>
      </c>
      <c r="J266" s="7" t="s">
        <v>1702</v>
      </c>
      <c r="K266" s="10" t="s">
        <v>2096</v>
      </c>
      <c r="L266" s="7"/>
      <c r="M266" s="7" t="s">
        <v>50</v>
      </c>
      <c r="N266" s="7">
        <v>951490122</v>
      </c>
      <c r="O266" s="13">
        <v>862448066333608</v>
      </c>
      <c r="P266" s="13">
        <v>862448066333616</v>
      </c>
      <c r="Q266" s="7"/>
      <c r="R266" s="7"/>
      <c r="S266" s="7"/>
      <c r="T266" s="7"/>
      <c r="U266" s="7"/>
      <c r="V266" s="7"/>
      <c r="W266" s="7"/>
      <c r="X266" s="7" t="s">
        <v>140</v>
      </c>
      <c r="Y266" s="7"/>
      <c r="Z266" s="7"/>
      <c r="AA266" s="7" t="s">
        <v>142</v>
      </c>
      <c r="AB266" s="7"/>
      <c r="AC266" s="7" t="s">
        <v>146</v>
      </c>
      <c r="AD266" s="7"/>
      <c r="AE266" s="7" t="s">
        <v>162</v>
      </c>
      <c r="AF266" s="7" t="s">
        <v>170</v>
      </c>
      <c r="AG266" s="7"/>
      <c r="AH266" s="8"/>
      <c r="AI266" s="7"/>
      <c r="AJ266" s="7" t="s">
        <v>107</v>
      </c>
      <c r="AK266" s="7" t="s">
        <v>109</v>
      </c>
      <c r="AL266" s="10" t="s">
        <v>2097</v>
      </c>
      <c r="AM266" s="7">
        <f>VLOOKUP(AL266,Personal!$A$2:$I$300,2,FALSE)</f>
        <v>0</v>
      </c>
      <c r="AN266" s="7" t="str">
        <f>VLOOKUP(AL266,Personal!$A$2:$I$300,3,FALSE)</f>
        <v>Empleado CyM Foyer</v>
      </c>
      <c r="AO266" s="7" t="str">
        <f>VLOOKUP(AL266,Personal!$A$2:$I$300,6,FALSE)</f>
        <v>Empleado Puesto de Control</v>
      </c>
      <c r="AP266" s="7" t="str">
        <f>VLOOKUP(AL266,Personal!$A$2:$I$300,7,FALSE)</f>
        <v>Control y Monitoreo</v>
      </c>
      <c r="AQ266" s="7" t="str">
        <f>VLOOKUP(AL266,Personal!$A$2:$I$300,8,FALSE)</f>
        <v>Control y Monitoreo</v>
      </c>
      <c r="AR266" s="7"/>
    </row>
    <row r="267" spans="2:44" x14ac:dyDescent="0.3">
      <c r="B267" s="6">
        <v>262</v>
      </c>
      <c r="C267" s="6"/>
      <c r="D267" s="6"/>
      <c r="E267" s="6"/>
      <c r="F267" s="6"/>
      <c r="G267" s="7" t="s">
        <v>36</v>
      </c>
      <c r="H267" s="7" t="s">
        <v>29</v>
      </c>
      <c r="I267" s="7" t="s">
        <v>1797</v>
      </c>
      <c r="J267" s="7" t="s">
        <v>1702</v>
      </c>
      <c r="K267" s="10" t="s">
        <v>2102</v>
      </c>
      <c r="L267" s="7"/>
      <c r="M267" s="7" t="s">
        <v>50</v>
      </c>
      <c r="N267" s="7">
        <v>998301155</v>
      </c>
      <c r="O267" s="13">
        <v>862448066334820</v>
      </c>
      <c r="P267" s="13">
        <v>862448066334838</v>
      </c>
      <c r="Q267" s="7"/>
      <c r="R267" s="7"/>
      <c r="S267" s="7"/>
      <c r="T267" s="7"/>
      <c r="U267" s="7"/>
      <c r="V267" s="7"/>
      <c r="W267" s="7"/>
      <c r="X267" s="7" t="s">
        <v>140</v>
      </c>
      <c r="Y267" s="7"/>
      <c r="Z267" s="7"/>
      <c r="AA267" s="7" t="s">
        <v>142</v>
      </c>
      <c r="AB267" s="7"/>
      <c r="AC267" s="7" t="s">
        <v>146</v>
      </c>
      <c r="AD267" s="7"/>
      <c r="AE267" s="7" t="s">
        <v>162</v>
      </c>
      <c r="AF267" s="7" t="s">
        <v>170</v>
      </c>
      <c r="AG267" s="7"/>
      <c r="AH267" s="8"/>
      <c r="AI267" s="7"/>
      <c r="AJ267" s="7" t="s">
        <v>107</v>
      </c>
      <c r="AK267" s="7" t="s">
        <v>109</v>
      </c>
      <c r="AL267" s="9" t="s">
        <v>696</v>
      </c>
      <c r="AM267" s="7" t="str">
        <f>VLOOKUP(AL267,Personal!$A$2:$I$300,2,FALSE)</f>
        <v>0000001576</v>
      </c>
      <c r="AN267" s="7" t="str">
        <f>VLOOKUP(AL267,Personal!$A$2:$I$300,3,FALSE)</f>
        <v>MARQUEZ GODOY LUIS ANGEL</v>
      </c>
      <c r="AO267" s="7" t="str">
        <f>VLOOKUP(AL267,Personal!$A$2:$I$300,6,FALSE)</f>
        <v>Analista de Seguridad y Salud en el Trabajo</v>
      </c>
      <c r="AP267" s="7" t="str">
        <f>VLOOKUP(AL267,Personal!$A$2:$I$300,7,FALSE)</f>
        <v>Seguridad y Salud en el Trabajo</v>
      </c>
      <c r="AQ267" s="7" t="str">
        <f>VLOOKUP(AL267,Personal!$A$2:$I$300,8,FALSE)</f>
        <v>Control y Monitoreo</v>
      </c>
      <c r="AR267" s="7"/>
    </row>
    <row r="268" spans="2:44" x14ac:dyDescent="0.3">
      <c r="B268" s="6">
        <v>263</v>
      </c>
      <c r="C268" s="6"/>
      <c r="D268" s="6"/>
      <c r="E268" s="6"/>
      <c r="F268" s="6"/>
      <c r="G268" s="7" t="s">
        <v>36</v>
      </c>
      <c r="H268" s="7" t="s">
        <v>29</v>
      </c>
      <c r="I268" s="7" t="s">
        <v>125</v>
      </c>
      <c r="J268" s="7" t="s">
        <v>1700</v>
      </c>
      <c r="K268" s="10" t="s">
        <v>2103</v>
      </c>
      <c r="L268" s="7"/>
      <c r="M268" s="7" t="s">
        <v>50</v>
      </c>
      <c r="N268" s="7">
        <v>998305943</v>
      </c>
      <c r="O268" s="13">
        <v>356310857653540</v>
      </c>
      <c r="P268" s="13"/>
      <c r="Q268" s="7"/>
      <c r="R268" s="7"/>
      <c r="S268" s="7"/>
      <c r="T268" s="7"/>
      <c r="U268" s="7"/>
      <c r="V268" s="7"/>
      <c r="W268" s="7"/>
      <c r="X268" s="7" t="s">
        <v>140</v>
      </c>
      <c r="Y268" s="7"/>
      <c r="Z268" s="7"/>
      <c r="AA268" s="7" t="s">
        <v>142</v>
      </c>
      <c r="AB268" s="7"/>
      <c r="AC268" s="7" t="s">
        <v>146</v>
      </c>
      <c r="AD268" s="7"/>
      <c r="AE268" s="7" t="s">
        <v>162</v>
      </c>
      <c r="AF268" s="7" t="s">
        <v>170</v>
      </c>
      <c r="AG268" s="7"/>
      <c r="AH268" s="8"/>
      <c r="AI268" s="7"/>
      <c r="AJ268" s="7" t="s">
        <v>107</v>
      </c>
      <c r="AK268" s="7" t="s">
        <v>109</v>
      </c>
      <c r="AL268" s="9" t="s">
        <v>531</v>
      </c>
      <c r="AM268" s="7" t="str">
        <f>VLOOKUP(AL268,Personal!$A$2:$I$300,2,FALSE)</f>
        <v>0000001441</v>
      </c>
      <c r="AN268" s="7" t="str">
        <f>VLOOKUP(AL268,Personal!$A$2:$I$300,3,FALSE)</f>
        <v>ORIHUELA CARHUALLANQUI ROSMERY</v>
      </c>
      <c r="AO268" s="7" t="str">
        <f>VLOOKUP(AL268,Personal!$A$2:$I$300,6,FALSE)</f>
        <v>Supervisor de A&amp;B</v>
      </c>
      <c r="AP268" s="7" t="str">
        <f>VLOOKUP(AL268,Personal!$A$2:$I$300,7,FALSE)</f>
        <v>La Fondue</v>
      </c>
      <c r="AQ268" s="7" t="str">
        <f>VLOOKUP(AL268,Personal!$A$2:$I$300,8,FALSE)</f>
        <v>Alimentos y Bebidas</v>
      </c>
      <c r="AR268" s="7"/>
    </row>
    <row r="269" spans="2:44" x14ac:dyDescent="0.3">
      <c r="B269" s="6">
        <v>264</v>
      </c>
      <c r="C269" s="6"/>
      <c r="D269" s="6"/>
      <c r="E269" s="6"/>
      <c r="F269" s="6"/>
      <c r="G269" s="7" t="s">
        <v>36</v>
      </c>
      <c r="H269" s="7" t="s">
        <v>29</v>
      </c>
      <c r="I269" s="7" t="s">
        <v>1820</v>
      </c>
      <c r="J269" s="7" t="s">
        <v>2105</v>
      </c>
      <c r="K269" s="10" t="s">
        <v>2104</v>
      </c>
      <c r="L269" s="7"/>
      <c r="M269" s="7" t="s">
        <v>50</v>
      </c>
      <c r="N269" s="7">
        <v>983688907</v>
      </c>
      <c r="O269" s="13">
        <v>866317067923160</v>
      </c>
      <c r="P269" s="13">
        <v>866317068523167</v>
      </c>
      <c r="Q269" s="7"/>
      <c r="R269" s="7"/>
      <c r="S269" s="7"/>
      <c r="T269" s="7"/>
      <c r="U269" s="7"/>
      <c r="V269" s="7"/>
      <c r="W269" s="7"/>
      <c r="X269" s="7" t="s">
        <v>140</v>
      </c>
      <c r="Y269" s="7"/>
      <c r="Z269" s="7"/>
      <c r="AA269" s="7" t="s">
        <v>142</v>
      </c>
      <c r="AB269" s="7"/>
      <c r="AC269" s="7" t="s">
        <v>146</v>
      </c>
      <c r="AD269" s="7"/>
      <c r="AE269" s="7" t="s">
        <v>162</v>
      </c>
      <c r="AF269" s="7" t="s">
        <v>170</v>
      </c>
      <c r="AG269" s="7"/>
      <c r="AH269" s="8"/>
      <c r="AI269" s="7"/>
      <c r="AJ269" s="7" t="s">
        <v>107</v>
      </c>
      <c r="AK269" s="7" t="s">
        <v>109</v>
      </c>
      <c r="AL269" s="9" t="s">
        <v>609</v>
      </c>
      <c r="AM269" s="7" t="str">
        <f>VLOOKUP(AL269,Personal!$A$2:$I$300,2,FALSE)</f>
        <v>0000001513</v>
      </c>
      <c r="AN269" s="7" t="str">
        <f>VLOOKUP(AL269,Personal!$A$2:$I$300,3,FALSE)</f>
        <v>RODRIGUEZ ROJAS JEAN PIERRE</v>
      </c>
      <c r="AO269" s="7" t="str">
        <f>VLOOKUP(AL269,Personal!$A$2:$I$300,6,FALSE)</f>
        <v>Cocinero 1</v>
      </c>
      <c r="AP269" s="7" t="str">
        <f>VLOOKUP(AL269,Personal!$A$2:$I$300,7,FALSE)</f>
        <v>Cocina Le Café</v>
      </c>
      <c r="AQ269" s="7" t="str">
        <f>VLOOKUP(AL269,Personal!$A$2:$I$300,8,FALSE)</f>
        <v>Cocina</v>
      </c>
      <c r="AR269" s="7"/>
    </row>
    <row r="270" spans="2:44" x14ac:dyDescent="0.3">
      <c r="B270" s="6">
        <v>265</v>
      </c>
      <c r="C270" s="6"/>
      <c r="D270" s="6"/>
      <c r="E270" s="6"/>
      <c r="F270" s="6"/>
      <c r="G270" s="7" t="s">
        <v>36</v>
      </c>
      <c r="H270" s="7" t="s">
        <v>29</v>
      </c>
      <c r="I270" s="7" t="s">
        <v>137</v>
      </c>
      <c r="J270" s="7" t="s">
        <v>1713</v>
      </c>
      <c r="K270" s="9" t="s">
        <v>2109</v>
      </c>
      <c r="L270" s="7"/>
      <c r="M270" s="7" t="s">
        <v>50</v>
      </c>
      <c r="N270" s="7">
        <v>998307752</v>
      </c>
      <c r="O270" s="13">
        <v>866849060089375</v>
      </c>
      <c r="P270" s="13"/>
      <c r="Q270" s="7"/>
      <c r="R270" s="7"/>
      <c r="S270" s="7"/>
      <c r="T270" s="7"/>
      <c r="U270" s="7"/>
      <c r="V270" s="7"/>
      <c r="W270" s="7"/>
      <c r="X270" s="7" t="s">
        <v>140</v>
      </c>
      <c r="Y270" s="7"/>
      <c r="Z270" s="7"/>
      <c r="AA270" s="7" t="s">
        <v>1715</v>
      </c>
      <c r="AB270" s="7"/>
      <c r="AC270" s="7" t="s">
        <v>145</v>
      </c>
      <c r="AD270" s="7"/>
      <c r="AE270" s="7" t="s">
        <v>162</v>
      </c>
      <c r="AF270" s="7" t="s">
        <v>170</v>
      </c>
      <c r="AG270" s="7"/>
      <c r="AH270" s="8"/>
      <c r="AI270" s="7"/>
      <c r="AJ270" s="7" t="s">
        <v>107</v>
      </c>
      <c r="AK270" s="7" t="s">
        <v>109</v>
      </c>
      <c r="AL270" s="10" t="s">
        <v>1305</v>
      </c>
      <c r="AM270" s="7" t="str">
        <f>VLOOKUP(AL270,Personal!$A$2:$I$300,2,FALSE)</f>
        <v>Puerta 5</v>
      </c>
      <c r="AN270" s="7" t="str">
        <f>VLOOKUP(AL270,Personal!$A$2:$I$300,3,FALSE)</f>
        <v>Puerta 5</v>
      </c>
      <c r="AO270" s="7" t="str">
        <f>VLOOKUP(AL270,Personal!$A$2:$I$300,6,FALSE)</f>
        <v>Empleado Puesto de Control</v>
      </c>
      <c r="AP270" s="7" t="str">
        <f>VLOOKUP(AL270,Personal!$A$2:$I$300,7,FALSE)</f>
        <v>Control y Monitoreo</v>
      </c>
      <c r="AQ270" s="7" t="str">
        <f>VLOOKUP(AL270,Personal!$A$2:$I$300,8,FALSE)</f>
        <v>Control y Monitoreo</v>
      </c>
      <c r="AR270" s="7"/>
    </row>
    <row r="271" spans="2:44" x14ac:dyDescent="0.3">
      <c r="B271" s="6">
        <v>266</v>
      </c>
      <c r="C271" s="6"/>
      <c r="D271" s="6"/>
      <c r="E271" s="6"/>
      <c r="F271" s="6"/>
      <c r="G271" s="7" t="s">
        <v>36</v>
      </c>
      <c r="H271" s="7" t="s">
        <v>29</v>
      </c>
      <c r="I271" s="7" t="s">
        <v>125</v>
      </c>
      <c r="J271" s="7" t="s">
        <v>1700</v>
      </c>
      <c r="K271" s="10" t="s">
        <v>2110</v>
      </c>
      <c r="L271" s="7"/>
      <c r="M271" s="7" t="s">
        <v>50</v>
      </c>
      <c r="N271" s="7">
        <v>938919165</v>
      </c>
      <c r="O271" s="13">
        <v>353384837598714</v>
      </c>
      <c r="P271" s="13"/>
      <c r="Q271" s="7"/>
      <c r="R271" s="7"/>
      <c r="S271" s="7"/>
      <c r="T271" s="7"/>
      <c r="U271" s="7"/>
      <c r="V271" s="7"/>
      <c r="W271" s="7"/>
      <c r="X271" s="7" t="s">
        <v>140</v>
      </c>
      <c r="Y271" s="7"/>
      <c r="Z271" s="7"/>
      <c r="AA271" s="7" t="s">
        <v>142</v>
      </c>
      <c r="AB271" s="7"/>
      <c r="AC271" s="7" t="s">
        <v>146</v>
      </c>
      <c r="AD271" s="7"/>
      <c r="AE271" s="7" t="s">
        <v>162</v>
      </c>
      <c r="AF271" s="7" t="s">
        <v>170</v>
      </c>
      <c r="AG271" s="7"/>
      <c r="AH271" s="8"/>
      <c r="AI271" s="7"/>
      <c r="AJ271" s="7" t="s">
        <v>107</v>
      </c>
      <c r="AK271" s="7" t="s">
        <v>109</v>
      </c>
      <c r="AL271" s="9" t="s">
        <v>2112</v>
      </c>
      <c r="AM271" s="7" t="str">
        <f>VLOOKUP(AL271,Personal!$A$2:$I$300,2,FALSE)</f>
        <v>0000001791</v>
      </c>
      <c r="AN271" s="7" t="str">
        <f>VLOOKUP(AL271,Personal!$A$2:$I$300,3,FALSE)</f>
        <v xml:space="preserve">MAMANI SEVILLANO ANGIE </v>
      </c>
      <c r="AO271" s="7" t="str">
        <f>VLOOKUP(AL271,Personal!$A$2:$I$300,6,FALSE)</f>
        <v>Asistente de Mantenimiento</v>
      </c>
      <c r="AP271" s="7" t="str">
        <f>VLOOKUP(AL271,Personal!$A$2:$I$300,7,FALSE)</f>
        <v>Mantenimiento</v>
      </c>
      <c r="AQ271" s="7" t="str">
        <f>VLOOKUP(AL271,Personal!$A$2:$I$300,8,FALSE)</f>
        <v>Mantenimiento</v>
      </c>
      <c r="AR271" s="7"/>
    </row>
    <row r="272" spans="2:44" x14ac:dyDescent="0.3">
      <c r="B272" s="6">
        <v>267</v>
      </c>
      <c r="C272" s="86">
        <v>46283</v>
      </c>
      <c r="D272" s="6"/>
      <c r="E272" s="6"/>
      <c r="F272" s="6" t="s">
        <v>2118</v>
      </c>
      <c r="G272" s="7" t="s">
        <v>36</v>
      </c>
      <c r="H272" s="7" t="s">
        <v>29</v>
      </c>
      <c r="I272" s="7" t="s">
        <v>125</v>
      </c>
      <c r="J272" s="7" t="s">
        <v>1763</v>
      </c>
      <c r="K272" s="10" t="s">
        <v>2113</v>
      </c>
      <c r="L272" s="7"/>
      <c r="M272" s="7" t="s">
        <v>50</v>
      </c>
      <c r="N272" s="7">
        <v>938919323</v>
      </c>
      <c r="O272" s="13">
        <v>356253244392473</v>
      </c>
      <c r="P272" s="13"/>
      <c r="Q272" s="7"/>
      <c r="R272" s="7"/>
      <c r="S272" s="7"/>
      <c r="T272" s="7"/>
      <c r="U272" s="7"/>
      <c r="V272" s="7"/>
      <c r="W272" s="7"/>
      <c r="X272" s="7" t="s">
        <v>140</v>
      </c>
      <c r="Y272" s="7"/>
      <c r="Z272" s="7"/>
      <c r="AA272" s="7" t="s">
        <v>142</v>
      </c>
      <c r="AB272" s="7"/>
      <c r="AC272" s="7" t="s">
        <v>146</v>
      </c>
      <c r="AD272" s="7"/>
      <c r="AE272" s="7" t="s">
        <v>162</v>
      </c>
      <c r="AF272" s="7" t="s">
        <v>170</v>
      </c>
      <c r="AG272" s="7"/>
      <c r="AH272" s="8"/>
      <c r="AI272" s="7"/>
      <c r="AJ272" s="7" t="s">
        <v>107</v>
      </c>
      <c r="AK272" s="7" t="s">
        <v>109</v>
      </c>
      <c r="AL272" s="9" t="s">
        <v>2107</v>
      </c>
      <c r="AM272" s="7">
        <f>VLOOKUP(AL272,Personal!$A$2:$I$300,2,FALSE)</f>
        <v>0</v>
      </c>
      <c r="AN272" s="7" t="str">
        <f>VLOOKUP(AL272,Personal!$A$2:$I$300,3,FALSE)</f>
        <v>BOHORQUEZ LEMOR ROSSANA ARMIDA</v>
      </c>
      <c r="AO272" s="7" t="str">
        <f>VLOOKUP(AL272,Personal!$A$2:$I$300,6,FALSE)</f>
        <v xml:space="preserve">Ejecutiva de Eventos </v>
      </c>
      <c r="AP272" s="7" t="str">
        <f>VLOOKUP(AL272,Personal!$A$2:$I$300,7,FALSE)</f>
        <v>Ventas</v>
      </c>
      <c r="AQ272" s="7" t="str">
        <f>VLOOKUP(AL272,Personal!$A$2:$I$300,8,FALSE)</f>
        <v>Ventas y Marketing</v>
      </c>
      <c r="AR272" s="7"/>
    </row>
    <row r="273" spans="2:44" x14ac:dyDescent="0.3">
      <c r="B273" s="6">
        <v>268</v>
      </c>
      <c r="C273" s="6"/>
      <c r="D273" s="6"/>
      <c r="E273" s="6"/>
      <c r="F273" s="6"/>
      <c r="G273" s="7" t="s">
        <v>36</v>
      </c>
      <c r="H273" s="7" t="s">
        <v>29</v>
      </c>
      <c r="I273" s="7" t="s">
        <v>125</v>
      </c>
      <c r="J273" s="7" t="s">
        <v>2116</v>
      </c>
      <c r="K273" s="10" t="s">
        <v>2115</v>
      </c>
      <c r="L273" s="7"/>
      <c r="M273" s="7" t="s">
        <v>50</v>
      </c>
      <c r="N273" s="7">
        <v>998301952</v>
      </c>
      <c r="O273" s="13">
        <v>353883565165901</v>
      </c>
      <c r="P273" s="13"/>
      <c r="Q273" s="7"/>
      <c r="R273" s="7"/>
      <c r="S273" s="7"/>
      <c r="T273" s="7"/>
      <c r="U273" s="7"/>
      <c r="V273" s="7"/>
      <c r="W273" s="7"/>
      <c r="X273" s="7" t="s">
        <v>140</v>
      </c>
      <c r="Y273" s="7"/>
      <c r="Z273" s="7"/>
      <c r="AA273" s="7" t="s">
        <v>142</v>
      </c>
      <c r="AB273" s="7"/>
      <c r="AC273" s="7" t="s">
        <v>145</v>
      </c>
      <c r="AD273" s="7"/>
      <c r="AE273" s="7" t="s">
        <v>162</v>
      </c>
      <c r="AF273" s="7" t="s">
        <v>170</v>
      </c>
      <c r="AG273" s="7"/>
      <c r="AH273" s="8"/>
      <c r="AI273" s="7"/>
      <c r="AJ273" s="7" t="s">
        <v>107</v>
      </c>
      <c r="AK273" s="7" t="s">
        <v>109</v>
      </c>
      <c r="AL273" s="10" t="s">
        <v>2117</v>
      </c>
      <c r="AM273" s="7">
        <f>VLOOKUP(AL273,Personal!$A$2:$I$300,2,FALSE)</f>
        <v>0</v>
      </c>
      <c r="AN273" s="7" t="str">
        <f>VLOOKUP(AL273,Personal!$A$2:$I$300,3,FALSE)</f>
        <v>Control y Monitoreo</v>
      </c>
      <c r="AO273" s="7" t="str">
        <f>VLOOKUP(AL273,Personal!$A$2:$I$300,6,FALSE)</f>
        <v>Empleado Puesto de Control</v>
      </c>
      <c r="AP273" s="7" t="str">
        <f>VLOOKUP(AL273,Personal!$A$2:$I$300,7,FALSE)</f>
        <v>Control y Monitoreo</v>
      </c>
      <c r="AQ273" s="7" t="str">
        <f>VLOOKUP(AL273,Personal!$A$2:$I$300,8,FALSE)</f>
        <v>Control y Monitoreo</v>
      </c>
      <c r="AR273" s="7"/>
    </row>
    <row r="274" spans="2:44" x14ac:dyDescent="0.3">
      <c r="B274" s="6">
        <v>269</v>
      </c>
      <c r="C274" s="6"/>
      <c r="D274" s="6"/>
      <c r="E274" s="6"/>
      <c r="F274" s="6"/>
      <c r="G274" s="7"/>
      <c r="H274" s="7"/>
      <c r="I274" s="7"/>
      <c r="J274" s="7"/>
      <c r="K274" s="10"/>
      <c r="L274" s="7"/>
      <c r="M274" s="7"/>
      <c r="N274" s="7"/>
      <c r="O274" s="13"/>
      <c r="P274" s="13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8"/>
      <c r="AI274" s="7"/>
      <c r="AJ274" s="7"/>
      <c r="AK274" s="7"/>
      <c r="AL274" s="10"/>
      <c r="AM274" s="7" t="e">
        <f>VLOOKUP(AL274,Personal!$A$2:$I$300,2,FALSE)</f>
        <v>#N/A</v>
      </c>
      <c r="AN274" s="7" t="e">
        <f>VLOOKUP(AL274,Personal!$A$2:$I$300,3,FALSE)</f>
        <v>#N/A</v>
      </c>
      <c r="AO274" s="7" t="e">
        <f>VLOOKUP(AL274,Personal!$A$2:$I$300,6,FALSE)</f>
        <v>#N/A</v>
      </c>
      <c r="AP274" s="7" t="e">
        <f>VLOOKUP(AL274,Personal!$A$2:$I$300,7,FALSE)</f>
        <v>#N/A</v>
      </c>
      <c r="AQ274" s="7" t="e">
        <f>VLOOKUP(AL274,Personal!$A$2:$I$300,8,FALSE)</f>
        <v>#N/A</v>
      </c>
      <c r="AR274" s="7"/>
    </row>
    <row r="275" spans="2:44" x14ac:dyDescent="0.3">
      <c r="B275" s="6">
        <v>270</v>
      </c>
      <c r="C275" s="6"/>
      <c r="D275" s="6"/>
      <c r="E275" s="6"/>
      <c r="F275" s="6"/>
      <c r="G275" s="7"/>
      <c r="H275" s="7"/>
      <c r="I275" s="7"/>
      <c r="J275" s="7"/>
      <c r="K275" s="10"/>
      <c r="L275" s="7"/>
      <c r="M275" s="7"/>
      <c r="N275" s="7"/>
      <c r="O275" s="13"/>
      <c r="P275" s="13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8"/>
      <c r="AI275" s="7"/>
      <c r="AJ275" s="7"/>
      <c r="AK275" s="7"/>
      <c r="AL275" s="10"/>
      <c r="AM275" s="7" t="e">
        <f>VLOOKUP(AL275,Personal!$A$2:$I$300,2,FALSE)</f>
        <v>#N/A</v>
      </c>
      <c r="AN275" s="7" t="e">
        <f>VLOOKUP(AL275,Personal!$A$2:$I$300,3,FALSE)</f>
        <v>#N/A</v>
      </c>
      <c r="AO275" s="7" t="e">
        <f>VLOOKUP(AL275,Personal!$A$2:$I$300,6,FALSE)</f>
        <v>#N/A</v>
      </c>
      <c r="AP275" s="7" t="e">
        <f>VLOOKUP(AL275,Personal!$A$2:$I$300,7,FALSE)</f>
        <v>#N/A</v>
      </c>
      <c r="AQ275" s="7" t="e">
        <f>VLOOKUP(AL275,Personal!$A$2:$I$300,8,FALSE)</f>
        <v>#N/A</v>
      </c>
      <c r="AR275" s="7"/>
    </row>
    <row r="276" spans="2:44" x14ac:dyDescent="0.3">
      <c r="B276" s="6">
        <v>271</v>
      </c>
      <c r="C276" s="6"/>
      <c r="D276" s="6"/>
      <c r="E276" s="6"/>
      <c r="F276" s="6"/>
      <c r="G276" s="7"/>
      <c r="H276" s="7"/>
      <c r="I276" s="7"/>
      <c r="J276" s="7"/>
      <c r="K276" s="10"/>
      <c r="L276" s="7"/>
      <c r="M276" s="7"/>
      <c r="N276" s="7"/>
      <c r="O276" s="13"/>
      <c r="P276" s="13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8"/>
      <c r="AI276" s="7"/>
      <c r="AJ276" s="7"/>
      <c r="AK276" s="7"/>
      <c r="AL276" s="10"/>
      <c r="AM276" s="7" t="e">
        <f>VLOOKUP(AL276,Personal!$A$2:$I$300,2,FALSE)</f>
        <v>#N/A</v>
      </c>
      <c r="AN276" s="7" t="e">
        <f>VLOOKUP(AL276,Personal!$A$2:$I$300,3,FALSE)</f>
        <v>#N/A</v>
      </c>
      <c r="AO276" s="7" t="e">
        <f>VLOOKUP(AL276,Personal!$A$2:$I$300,6,FALSE)</f>
        <v>#N/A</v>
      </c>
      <c r="AP276" s="7" t="e">
        <f>VLOOKUP(AL276,Personal!$A$2:$I$300,7,FALSE)</f>
        <v>#N/A</v>
      </c>
      <c r="AQ276" s="7" t="e">
        <f>VLOOKUP(AL276,Personal!$A$2:$I$300,8,FALSE)</f>
        <v>#N/A</v>
      </c>
      <c r="AR276" s="7"/>
    </row>
    <row r="277" spans="2:44" x14ac:dyDescent="0.3">
      <c r="B277" s="6">
        <v>272</v>
      </c>
      <c r="C277" s="6"/>
      <c r="D277" s="6"/>
      <c r="E277" s="6"/>
      <c r="F277" s="6"/>
      <c r="G277" s="7"/>
      <c r="H277" s="7"/>
      <c r="I277" s="7"/>
      <c r="J277" s="7"/>
      <c r="K277" s="10"/>
      <c r="L277" s="7"/>
      <c r="M277" s="7"/>
      <c r="N277" s="7"/>
      <c r="O277" s="13"/>
      <c r="P277" s="13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8"/>
      <c r="AI277" s="7"/>
      <c r="AJ277" s="7"/>
      <c r="AK277" s="7"/>
      <c r="AL277" s="10"/>
      <c r="AM277" s="7" t="e">
        <f>VLOOKUP(AL277,Personal!$A$2:$I$300,2,FALSE)</f>
        <v>#N/A</v>
      </c>
      <c r="AN277" s="7" t="e">
        <f>VLOOKUP(AL277,Personal!$A$2:$I$300,3,FALSE)</f>
        <v>#N/A</v>
      </c>
      <c r="AO277" s="7" t="e">
        <f>VLOOKUP(AL277,Personal!$A$2:$I$300,6,FALSE)</f>
        <v>#N/A</v>
      </c>
      <c r="AP277" s="7" t="e">
        <f>VLOOKUP(AL277,Personal!$A$2:$I$300,7,FALSE)</f>
        <v>#N/A</v>
      </c>
      <c r="AQ277" s="7" t="e">
        <f>VLOOKUP(AL277,Personal!$A$2:$I$300,8,FALSE)</f>
        <v>#N/A</v>
      </c>
      <c r="AR277" s="7"/>
    </row>
    <row r="278" spans="2:44" x14ac:dyDescent="0.3">
      <c r="B278" s="6">
        <v>273</v>
      </c>
      <c r="C278" s="6"/>
      <c r="D278" s="6"/>
      <c r="E278" s="6"/>
      <c r="F278" s="6"/>
      <c r="G278" s="7"/>
      <c r="H278" s="7"/>
      <c r="I278" s="7"/>
      <c r="J278" s="7"/>
      <c r="K278" s="10"/>
      <c r="L278" s="7"/>
      <c r="M278" s="7"/>
      <c r="N278" s="7"/>
      <c r="O278" s="13"/>
      <c r="P278" s="13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8"/>
      <c r="AI278" s="7"/>
      <c r="AJ278" s="7"/>
      <c r="AK278" s="7"/>
      <c r="AL278" s="10"/>
      <c r="AM278" s="7" t="e">
        <f>VLOOKUP(AL278,Personal!$A$2:$I$300,2,FALSE)</f>
        <v>#N/A</v>
      </c>
      <c r="AN278" s="7" t="e">
        <f>VLOOKUP(AL278,Personal!$A$2:$I$300,3,FALSE)</f>
        <v>#N/A</v>
      </c>
      <c r="AO278" s="7" t="e">
        <f>VLOOKUP(AL278,Personal!$A$2:$I$300,6,FALSE)</f>
        <v>#N/A</v>
      </c>
      <c r="AP278" s="7" t="e">
        <f>VLOOKUP(AL278,Personal!$A$2:$I$300,7,FALSE)</f>
        <v>#N/A</v>
      </c>
      <c r="AQ278" s="7" t="e">
        <f>VLOOKUP(AL278,Personal!$A$2:$I$300,8,FALSE)</f>
        <v>#N/A</v>
      </c>
      <c r="AR278" s="7"/>
    </row>
    <row r="279" spans="2:44" x14ac:dyDescent="0.3">
      <c r="B279" s="6">
        <v>274</v>
      </c>
      <c r="C279" s="6"/>
      <c r="D279" s="6"/>
      <c r="E279" s="6"/>
      <c r="F279" s="6"/>
      <c r="G279" s="7"/>
      <c r="H279" s="7"/>
      <c r="I279" s="7"/>
      <c r="J279" s="7"/>
      <c r="K279" s="10"/>
      <c r="L279" s="7"/>
      <c r="M279" s="7"/>
      <c r="N279" s="7"/>
      <c r="O279" s="13"/>
      <c r="P279" s="13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8"/>
      <c r="AI279" s="7"/>
      <c r="AJ279" s="7"/>
      <c r="AK279" s="7"/>
      <c r="AL279" s="10"/>
      <c r="AM279" s="7" t="e">
        <f>VLOOKUP(AL279,Personal!$A$2:$I$300,2,FALSE)</f>
        <v>#N/A</v>
      </c>
      <c r="AN279" s="7" t="e">
        <f>VLOOKUP(AL279,Personal!$A$2:$I$300,3,FALSE)</f>
        <v>#N/A</v>
      </c>
      <c r="AO279" s="7" t="e">
        <f>VLOOKUP(AL279,Personal!$A$2:$I$300,6,FALSE)</f>
        <v>#N/A</v>
      </c>
      <c r="AP279" s="7" t="e">
        <f>VLOOKUP(AL279,Personal!$A$2:$I$300,7,FALSE)</f>
        <v>#N/A</v>
      </c>
      <c r="AQ279" s="7" t="e">
        <f>VLOOKUP(AL279,Personal!$A$2:$I$300,8,FALSE)</f>
        <v>#N/A</v>
      </c>
      <c r="AR279" s="7"/>
    </row>
    <row r="280" spans="2:44" x14ac:dyDescent="0.3">
      <c r="B280" s="6">
        <v>275</v>
      </c>
      <c r="C280" s="6"/>
      <c r="D280" s="6"/>
      <c r="E280" s="6"/>
      <c r="F280" s="6"/>
      <c r="G280" s="7"/>
      <c r="H280" s="7"/>
      <c r="I280" s="7"/>
      <c r="J280" s="7"/>
      <c r="K280" s="10"/>
      <c r="L280" s="7"/>
      <c r="M280" s="7"/>
      <c r="N280" s="7"/>
      <c r="O280" s="13"/>
      <c r="P280" s="13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8"/>
      <c r="AI280" s="7"/>
      <c r="AJ280" s="7"/>
      <c r="AK280" s="7"/>
      <c r="AL280" s="10"/>
      <c r="AM280" s="7" t="e">
        <f>VLOOKUP(AL280,Personal!$A$2:$I$300,2,FALSE)</f>
        <v>#N/A</v>
      </c>
      <c r="AN280" s="7" t="e">
        <f>VLOOKUP(AL280,Personal!$A$2:$I$300,3,FALSE)</f>
        <v>#N/A</v>
      </c>
      <c r="AO280" s="7" t="e">
        <f>VLOOKUP(AL280,Personal!$A$2:$I$300,6,FALSE)</f>
        <v>#N/A</v>
      </c>
      <c r="AP280" s="7" t="e">
        <f>VLOOKUP(AL280,Personal!$A$2:$I$300,7,FALSE)</f>
        <v>#N/A</v>
      </c>
      <c r="AQ280" s="7" t="e">
        <f>VLOOKUP(AL280,Personal!$A$2:$I$300,8,FALSE)</f>
        <v>#N/A</v>
      </c>
      <c r="AR280" s="7"/>
    </row>
    <row r="281" spans="2:44" x14ac:dyDescent="0.3">
      <c r="B281" s="6">
        <v>276</v>
      </c>
      <c r="C281" s="6"/>
      <c r="D281" s="6"/>
      <c r="E281" s="6"/>
      <c r="F281" s="6"/>
      <c r="G281" s="7"/>
      <c r="H281" s="7"/>
      <c r="I281" s="7"/>
      <c r="J281" s="7"/>
      <c r="K281" s="10"/>
      <c r="L281" s="7"/>
      <c r="M281" s="7"/>
      <c r="N281" s="7"/>
      <c r="O281" s="13"/>
      <c r="P281" s="13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8"/>
      <c r="AI281" s="7"/>
      <c r="AJ281" s="7"/>
      <c r="AK281" s="7"/>
      <c r="AL281" s="10"/>
      <c r="AM281" s="7" t="e">
        <f>VLOOKUP(AL281,Personal!$A$2:$I$300,2,FALSE)</f>
        <v>#N/A</v>
      </c>
      <c r="AN281" s="7" t="e">
        <f>VLOOKUP(AL281,Personal!$A$2:$I$300,3,FALSE)</f>
        <v>#N/A</v>
      </c>
      <c r="AO281" s="7" t="e">
        <f>VLOOKUP(AL281,Personal!$A$2:$I$300,6,FALSE)</f>
        <v>#N/A</v>
      </c>
      <c r="AP281" s="7" t="e">
        <f>VLOOKUP(AL281,Personal!$A$2:$I$300,7,FALSE)</f>
        <v>#N/A</v>
      </c>
      <c r="AQ281" s="7" t="e">
        <f>VLOOKUP(AL281,Personal!$A$2:$I$300,8,FALSE)</f>
        <v>#N/A</v>
      </c>
      <c r="AR281" s="7"/>
    </row>
    <row r="282" spans="2:44" x14ac:dyDescent="0.3">
      <c r="B282" s="6">
        <v>277</v>
      </c>
      <c r="C282" s="6"/>
      <c r="D282" s="6"/>
      <c r="E282" s="6"/>
      <c r="F282" s="6"/>
      <c r="G282" s="7"/>
      <c r="H282" s="7"/>
      <c r="I282" s="7"/>
      <c r="J282" s="7"/>
      <c r="K282" s="10"/>
      <c r="L282" s="7"/>
      <c r="M282" s="7"/>
      <c r="N282" s="7"/>
      <c r="O282" s="13"/>
      <c r="P282" s="13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8"/>
      <c r="AI282" s="7"/>
      <c r="AJ282" s="7"/>
      <c r="AK282" s="7"/>
      <c r="AL282" s="10"/>
      <c r="AM282" s="7" t="e">
        <f>VLOOKUP(AL282,Personal!$A$2:$I$300,2,FALSE)</f>
        <v>#N/A</v>
      </c>
      <c r="AN282" s="7" t="e">
        <f>VLOOKUP(AL282,Personal!$A$2:$I$300,3,FALSE)</f>
        <v>#N/A</v>
      </c>
      <c r="AO282" s="7" t="e">
        <f>VLOOKUP(AL282,Personal!$A$2:$I$300,6,FALSE)</f>
        <v>#N/A</v>
      </c>
      <c r="AP282" s="7" t="e">
        <f>VLOOKUP(AL282,Personal!$A$2:$I$300,7,FALSE)</f>
        <v>#N/A</v>
      </c>
      <c r="AQ282" s="7" t="e">
        <f>VLOOKUP(AL282,Personal!$A$2:$I$300,8,FALSE)</f>
        <v>#N/A</v>
      </c>
      <c r="AR282" s="7"/>
    </row>
    <row r="283" spans="2:44" x14ac:dyDescent="0.3">
      <c r="B283" s="6">
        <v>278</v>
      </c>
      <c r="C283" s="6"/>
      <c r="D283" s="6"/>
      <c r="E283" s="6"/>
      <c r="F283" s="6"/>
      <c r="G283" s="7"/>
      <c r="H283" s="7"/>
      <c r="I283" s="7"/>
      <c r="J283" s="7"/>
      <c r="K283" s="10"/>
      <c r="L283" s="7"/>
      <c r="M283" s="7"/>
      <c r="N283" s="7"/>
      <c r="O283" s="13"/>
      <c r="P283" s="13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8"/>
      <c r="AI283" s="7"/>
      <c r="AJ283" s="7"/>
      <c r="AK283" s="7"/>
      <c r="AL283" s="10"/>
      <c r="AM283" s="7" t="e">
        <f>VLOOKUP(AL283,Personal!$A$2:$I$300,2,FALSE)</f>
        <v>#N/A</v>
      </c>
      <c r="AN283" s="7" t="e">
        <f>VLOOKUP(AL283,Personal!$A$2:$I$300,3,FALSE)</f>
        <v>#N/A</v>
      </c>
      <c r="AO283" s="7" t="e">
        <f>VLOOKUP(AL283,Personal!$A$2:$I$300,6,FALSE)</f>
        <v>#N/A</v>
      </c>
      <c r="AP283" s="7" t="e">
        <f>VLOOKUP(AL283,Personal!$A$2:$I$300,7,FALSE)</f>
        <v>#N/A</v>
      </c>
      <c r="AQ283" s="7" t="e">
        <f>VLOOKUP(AL283,Personal!$A$2:$I$300,8,FALSE)</f>
        <v>#N/A</v>
      </c>
      <c r="AR283" s="7"/>
    </row>
    <row r="284" spans="2:44" x14ac:dyDescent="0.3">
      <c r="B284" s="6">
        <v>279</v>
      </c>
      <c r="C284" s="6"/>
      <c r="D284" s="6"/>
      <c r="E284" s="6"/>
      <c r="F284" s="6"/>
      <c r="G284" s="7"/>
      <c r="H284" s="7"/>
      <c r="I284" s="7"/>
      <c r="J284" s="7"/>
      <c r="K284" s="10"/>
      <c r="L284" s="7"/>
      <c r="M284" s="7"/>
      <c r="N284" s="7"/>
      <c r="O284" s="13"/>
      <c r="P284" s="13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8"/>
      <c r="AI284" s="7"/>
      <c r="AJ284" s="7"/>
      <c r="AK284" s="7"/>
      <c r="AL284" s="10"/>
      <c r="AM284" s="7" t="e">
        <f>VLOOKUP(AL284,Personal!$A$2:$I$300,2,FALSE)</f>
        <v>#N/A</v>
      </c>
      <c r="AN284" s="7" t="e">
        <f>VLOOKUP(AL284,Personal!$A$2:$I$300,3,FALSE)</f>
        <v>#N/A</v>
      </c>
      <c r="AO284" s="7" t="e">
        <f>VLOOKUP(AL284,Personal!$A$2:$I$300,6,FALSE)</f>
        <v>#N/A</v>
      </c>
      <c r="AP284" s="7" t="e">
        <f>VLOOKUP(AL284,Personal!$A$2:$I$300,7,FALSE)</f>
        <v>#N/A</v>
      </c>
      <c r="AQ284" s="7" t="e">
        <f>VLOOKUP(AL284,Personal!$A$2:$I$300,8,FALSE)</f>
        <v>#N/A</v>
      </c>
      <c r="AR284" s="7"/>
    </row>
    <row r="285" spans="2:44" x14ac:dyDescent="0.3">
      <c r="B285" s="6">
        <v>280</v>
      </c>
      <c r="C285" s="6"/>
      <c r="D285" s="6"/>
      <c r="E285" s="6"/>
      <c r="F285" s="6"/>
      <c r="G285" s="7"/>
      <c r="H285" s="7"/>
      <c r="I285" s="7"/>
      <c r="J285" s="7"/>
      <c r="K285" s="10"/>
      <c r="L285" s="7"/>
      <c r="M285" s="7"/>
      <c r="N285" s="7"/>
      <c r="O285" s="13"/>
      <c r="P285" s="13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8"/>
      <c r="AI285" s="7"/>
      <c r="AJ285" s="7"/>
      <c r="AK285" s="7"/>
      <c r="AL285" s="10"/>
      <c r="AM285" s="7" t="e">
        <f>VLOOKUP(AL285,Personal!$A$2:$I$300,2,FALSE)</f>
        <v>#N/A</v>
      </c>
      <c r="AN285" s="7" t="e">
        <f>VLOOKUP(AL285,Personal!$A$2:$I$300,3,FALSE)</f>
        <v>#N/A</v>
      </c>
      <c r="AO285" s="7" t="e">
        <f>VLOOKUP(AL285,Personal!$A$2:$I$300,6,FALSE)</f>
        <v>#N/A</v>
      </c>
      <c r="AP285" s="7" t="e">
        <f>VLOOKUP(AL285,Personal!$A$2:$I$300,7,FALSE)</f>
        <v>#N/A</v>
      </c>
      <c r="AQ285" s="7" t="e">
        <f>VLOOKUP(AL285,Personal!$A$2:$I$300,8,FALSE)</f>
        <v>#N/A</v>
      </c>
      <c r="AR285" s="7"/>
    </row>
    <row r="286" spans="2:44" x14ac:dyDescent="0.3">
      <c r="B286" s="6">
        <v>281</v>
      </c>
      <c r="C286" s="6"/>
      <c r="D286" s="6"/>
      <c r="E286" s="6"/>
      <c r="F286" s="6"/>
      <c r="G286" s="7"/>
      <c r="H286" s="7"/>
      <c r="I286" s="7"/>
      <c r="J286" s="7"/>
      <c r="K286" s="10"/>
      <c r="L286" s="7"/>
      <c r="M286" s="7"/>
      <c r="N286" s="7"/>
      <c r="O286" s="13"/>
      <c r="P286" s="13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8"/>
      <c r="AI286" s="7"/>
      <c r="AJ286" s="7"/>
      <c r="AK286" s="7"/>
      <c r="AL286" s="10"/>
      <c r="AM286" s="7" t="e">
        <f>VLOOKUP(AL286,Personal!$A$2:$I$300,2,FALSE)</f>
        <v>#N/A</v>
      </c>
      <c r="AN286" s="7" t="e">
        <f>VLOOKUP(AL286,Personal!$A$2:$I$300,3,FALSE)</f>
        <v>#N/A</v>
      </c>
      <c r="AO286" s="7" t="e">
        <f>VLOOKUP(AL286,Personal!$A$2:$I$300,6,FALSE)</f>
        <v>#N/A</v>
      </c>
      <c r="AP286" s="7" t="e">
        <f>VLOOKUP(AL286,Personal!$A$2:$I$300,7,FALSE)</f>
        <v>#N/A</v>
      </c>
      <c r="AQ286" s="7" t="e">
        <f>VLOOKUP(AL286,Personal!$A$2:$I$300,8,FALSE)</f>
        <v>#N/A</v>
      </c>
      <c r="AR286" s="7"/>
    </row>
    <row r="287" spans="2:44" x14ac:dyDescent="0.3">
      <c r="B287" s="6">
        <v>282</v>
      </c>
      <c r="C287" s="6"/>
      <c r="D287" s="6"/>
      <c r="E287" s="6"/>
      <c r="F287" s="6"/>
      <c r="G287" s="7"/>
      <c r="H287" s="7"/>
      <c r="I287" s="7"/>
      <c r="J287" s="7"/>
      <c r="K287" s="10"/>
      <c r="L287" s="7"/>
      <c r="M287" s="7"/>
      <c r="N287" s="7"/>
      <c r="O287" s="13"/>
      <c r="P287" s="13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8"/>
      <c r="AI287" s="7"/>
      <c r="AJ287" s="7"/>
      <c r="AK287" s="7"/>
      <c r="AL287" s="10"/>
      <c r="AM287" s="7" t="e">
        <f>VLOOKUP(AL287,Personal!$A$2:$I$300,2,FALSE)</f>
        <v>#N/A</v>
      </c>
      <c r="AN287" s="7" t="e">
        <f>VLOOKUP(AL287,Personal!$A$2:$I$300,3,FALSE)</f>
        <v>#N/A</v>
      </c>
      <c r="AO287" s="7" t="e">
        <f>VLOOKUP(AL287,Personal!$A$2:$I$300,6,FALSE)</f>
        <v>#N/A</v>
      </c>
      <c r="AP287" s="7" t="e">
        <f>VLOOKUP(AL287,Personal!$A$2:$I$300,7,FALSE)</f>
        <v>#N/A</v>
      </c>
      <c r="AQ287" s="7" t="e">
        <f>VLOOKUP(AL287,Personal!$A$2:$I$300,8,FALSE)</f>
        <v>#N/A</v>
      </c>
      <c r="AR287" s="7"/>
    </row>
    <row r="288" spans="2:44" x14ac:dyDescent="0.3">
      <c r="B288" s="6">
        <v>283</v>
      </c>
      <c r="C288" s="6"/>
      <c r="D288" s="6"/>
      <c r="E288" s="6"/>
      <c r="F288" s="6"/>
      <c r="G288" s="7"/>
      <c r="H288" s="7"/>
      <c r="I288" s="7"/>
      <c r="J288" s="7"/>
      <c r="K288" s="10"/>
      <c r="L288" s="7"/>
      <c r="M288" s="7"/>
      <c r="N288" s="7"/>
      <c r="O288" s="13"/>
      <c r="P288" s="13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8"/>
      <c r="AI288" s="7"/>
      <c r="AJ288" s="7"/>
      <c r="AK288" s="7"/>
      <c r="AL288" s="10"/>
      <c r="AM288" s="7" t="e">
        <f>VLOOKUP(AL288,Personal!$A$2:$I$300,2,FALSE)</f>
        <v>#N/A</v>
      </c>
      <c r="AN288" s="7" t="e">
        <f>VLOOKUP(AL288,Personal!$A$2:$I$300,3,FALSE)</f>
        <v>#N/A</v>
      </c>
      <c r="AO288" s="7" t="e">
        <f>VLOOKUP(AL288,Personal!$A$2:$I$300,6,FALSE)</f>
        <v>#N/A</v>
      </c>
      <c r="AP288" s="7" t="e">
        <f>VLOOKUP(AL288,Personal!$A$2:$I$300,7,FALSE)</f>
        <v>#N/A</v>
      </c>
      <c r="AQ288" s="7" t="e">
        <f>VLOOKUP(AL288,Personal!$A$2:$I$300,8,FALSE)</f>
        <v>#N/A</v>
      </c>
      <c r="AR288" s="7"/>
    </row>
    <row r="289" spans="2:44" x14ac:dyDescent="0.3">
      <c r="B289" s="6">
        <v>284</v>
      </c>
      <c r="C289" s="6"/>
      <c r="D289" s="6"/>
      <c r="E289" s="6"/>
      <c r="F289" s="6"/>
      <c r="G289" s="7"/>
      <c r="H289" s="7"/>
      <c r="I289" s="7"/>
      <c r="J289" s="7"/>
      <c r="K289" s="10"/>
      <c r="L289" s="7"/>
      <c r="M289" s="7"/>
      <c r="N289" s="7"/>
      <c r="O289" s="13"/>
      <c r="P289" s="13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8"/>
      <c r="AI289" s="7"/>
      <c r="AJ289" s="7"/>
      <c r="AK289" s="7"/>
      <c r="AL289" s="10"/>
      <c r="AM289" s="7" t="e">
        <f>VLOOKUP(AL289,Personal!$A$2:$I$300,2,FALSE)</f>
        <v>#N/A</v>
      </c>
      <c r="AN289" s="7" t="e">
        <f>VLOOKUP(AL289,Personal!$A$2:$I$300,3,FALSE)</f>
        <v>#N/A</v>
      </c>
      <c r="AO289" s="7" t="e">
        <f>VLOOKUP(AL289,Personal!$A$2:$I$300,6,FALSE)</f>
        <v>#N/A</v>
      </c>
      <c r="AP289" s="7" t="e">
        <f>VLOOKUP(AL289,Personal!$A$2:$I$300,7,FALSE)</f>
        <v>#N/A</v>
      </c>
      <c r="AQ289" s="7" t="e">
        <f>VLOOKUP(AL289,Personal!$A$2:$I$300,8,FALSE)</f>
        <v>#N/A</v>
      </c>
      <c r="AR289" s="7"/>
    </row>
    <row r="290" spans="2:44" x14ac:dyDescent="0.3">
      <c r="B290" s="6">
        <v>285</v>
      </c>
      <c r="C290" s="6"/>
      <c r="D290" s="6"/>
      <c r="E290" s="6"/>
      <c r="F290" s="6"/>
      <c r="G290" s="7"/>
      <c r="H290" s="7"/>
      <c r="I290" s="7"/>
      <c r="J290" s="7"/>
      <c r="K290" s="10"/>
      <c r="L290" s="7"/>
      <c r="M290" s="7"/>
      <c r="N290" s="7"/>
      <c r="O290" s="13"/>
      <c r="P290" s="13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8"/>
      <c r="AI290" s="7"/>
      <c r="AJ290" s="7"/>
      <c r="AK290" s="7"/>
      <c r="AL290" s="10"/>
      <c r="AM290" s="7" t="e">
        <f>VLOOKUP(AL290,Personal!$A$2:$I$300,2,FALSE)</f>
        <v>#N/A</v>
      </c>
      <c r="AN290" s="7" t="e">
        <f>VLOOKUP(AL290,Personal!$A$2:$I$300,3,FALSE)</f>
        <v>#N/A</v>
      </c>
      <c r="AO290" s="7" t="e">
        <f>VLOOKUP(AL290,Personal!$A$2:$I$300,6,FALSE)</f>
        <v>#N/A</v>
      </c>
      <c r="AP290" s="7" t="e">
        <f>VLOOKUP(AL290,Personal!$A$2:$I$300,7,FALSE)</f>
        <v>#N/A</v>
      </c>
      <c r="AQ290" s="7" t="e">
        <f>VLOOKUP(AL290,Personal!$A$2:$I$300,8,FALSE)</f>
        <v>#N/A</v>
      </c>
      <c r="AR290" s="7"/>
    </row>
    <row r="291" spans="2:44" x14ac:dyDescent="0.3">
      <c r="B291" s="6">
        <v>286</v>
      </c>
      <c r="C291" s="6"/>
      <c r="D291" s="6"/>
      <c r="E291" s="6"/>
      <c r="F291" s="6"/>
      <c r="G291" s="7"/>
      <c r="H291" s="7"/>
      <c r="I291" s="7"/>
      <c r="J291" s="7"/>
      <c r="K291" s="10"/>
      <c r="L291" s="7"/>
      <c r="M291" s="7"/>
      <c r="N291" s="7"/>
      <c r="O291" s="13"/>
      <c r="P291" s="13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8"/>
      <c r="AI291" s="7"/>
      <c r="AJ291" s="7"/>
      <c r="AK291" s="7"/>
      <c r="AL291" s="10"/>
      <c r="AM291" s="7" t="e">
        <f>VLOOKUP(AL291,Personal!$A$2:$I$300,2,FALSE)</f>
        <v>#N/A</v>
      </c>
      <c r="AN291" s="7" t="e">
        <f>VLOOKUP(AL291,Personal!$A$2:$I$300,3,FALSE)</f>
        <v>#N/A</v>
      </c>
      <c r="AO291" s="7" t="e">
        <f>VLOOKUP(AL291,Personal!$A$2:$I$300,6,FALSE)</f>
        <v>#N/A</v>
      </c>
      <c r="AP291" s="7" t="e">
        <f>VLOOKUP(AL291,Personal!$A$2:$I$300,7,FALSE)</f>
        <v>#N/A</v>
      </c>
      <c r="AQ291" s="7" t="e">
        <f>VLOOKUP(AL291,Personal!$A$2:$I$300,8,FALSE)</f>
        <v>#N/A</v>
      </c>
      <c r="AR291" s="7"/>
    </row>
    <row r="292" spans="2:44" x14ac:dyDescent="0.3">
      <c r="B292" s="6">
        <v>287</v>
      </c>
      <c r="C292" s="6"/>
      <c r="D292" s="6"/>
      <c r="E292" s="6"/>
      <c r="F292" s="6"/>
      <c r="G292" s="7"/>
      <c r="H292" s="7"/>
      <c r="I292" s="7"/>
      <c r="J292" s="7"/>
      <c r="K292" s="10"/>
      <c r="L292" s="7"/>
      <c r="M292" s="7"/>
      <c r="N292" s="7"/>
      <c r="O292" s="13"/>
      <c r="P292" s="13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8"/>
      <c r="AI292" s="7"/>
      <c r="AJ292" s="7"/>
      <c r="AK292" s="7"/>
      <c r="AL292" s="10"/>
      <c r="AM292" s="7" t="e">
        <f>VLOOKUP(AL292,Personal!$A$2:$I$300,2,FALSE)</f>
        <v>#N/A</v>
      </c>
      <c r="AN292" s="7" t="e">
        <f>VLOOKUP(AL292,Personal!$A$2:$I$300,3,FALSE)</f>
        <v>#N/A</v>
      </c>
      <c r="AO292" s="7" t="e">
        <f>VLOOKUP(AL292,Personal!$A$2:$I$300,6,FALSE)</f>
        <v>#N/A</v>
      </c>
      <c r="AP292" s="7" t="e">
        <f>VLOOKUP(AL292,Personal!$A$2:$I$300,7,FALSE)</f>
        <v>#N/A</v>
      </c>
      <c r="AQ292" s="7" t="e">
        <f>VLOOKUP(AL292,Personal!$A$2:$I$300,8,FALSE)</f>
        <v>#N/A</v>
      </c>
      <c r="AR292" s="7"/>
    </row>
    <row r="293" spans="2:44" x14ac:dyDescent="0.3">
      <c r="B293" s="6">
        <v>288</v>
      </c>
      <c r="C293" s="6"/>
      <c r="D293" s="6"/>
      <c r="E293" s="6"/>
      <c r="F293" s="6"/>
      <c r="G293" s="7"/>
      <c r="H293" s="7"/>
      <c r="I293" s="7"/>
      <c r="J293" s="7"/>
      <c r="K293" s="10"/>
      <c r="L293" s="7"/>
      <c r="M293" s="7"/>
      <c r="N293" s="7"/>
      <c r="O293" s="13"/>
      <c r="P293" s="13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8"/>
      <c r="AI293" s="7"/>
      <c r="AJ293" s="7"/>
      <c r="AK293" s="7"/>
      <c r="AL293" s="10"/>
      <c r="AM293" s="7" t="e">
        <f>VLOOKUP(AL293,Personal!$A$2:$I$300,2,FALSE)</f>
        <v>#N/A</v>
      </c>
      <c r="AN293" s="7" t="e">
        <f>VLOOKUP(AL293,Personal!$A$2:$I$300,3,FALSE)</f>
        <v>#N/A</v>
      </c>
      <c r="AO293" s="7" t="e">
        <f>VLOOKUP(AL293,Personal!$A$2:$I$300,6,FALSE)</f>
        <v>#N/A</v>
      </c>
      <c r="AP293" s="7" t="e">
        <f>VLOOKUP(AL293,Personal!$A$2:$I$300,7,FALSE)</f>
        <v>#N/A</v>
      </c>
      <c r="AQ293" s="7" t="e">
        <f>VLOOKUP(AL293,Personal!$A$2:$I$300,8,FALSE)</f>
        <v>#N/A</v>
      </c>
      <c r="AR293" s="7"/>
    </row>
    <row r="294" spans="2:44" x14ac:dyDescent="0.3">
      <c r="B294" s="6">
        <v>289</v>
      </c>
      <c r="C294" s="6"/>
      <c r="D294" s="6"/>
      <c r="E294" s="6"/>
      <c r="F294" s="6"/>
      <c r="G294" s="7"/>
      <c r="H294" s="7"/>
      <c r="I294" s="7"/>
      <c r="J294" s="7"/>
      <c r="K294" s="10"/>
      <c r="L294" s="7"/>
      <c r="M294" s="7"/>
      <c r="N294" s="7"/>
      <c r="O294" s="13"/>
      <c r="P294" s="13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8"/>
      <c r="AI294" s="7"/>
      <c r="AJ294" s="7"/>
      <c r="AK294" s="7"/>
      <c r="AL294" s="10"/>
      <c r="AM294" s="7" t="e">
        <f>VLOOKUP(AL294,Personal!$A$2:$I$300,2,FALSE)</f>
        <v>#N/A</v>
      </c>
      <c r="AN294" s="7" t="e">
        <f>VLOOKUP(AL294,Personal!$A$2:$I$300,3,FALSE)</f>
        <v>#N/A</v>
      </c>
      <c r="AO294" s="7" t="e">
        <f>VLOOKUP(AL294,Personal!$A$2:$I$300,6,FALSE)</f>
        <v>#N/A</v>
      </c>
      <c r="AP294" s="7" t="e">
        <f>VLOOKUP(AL294,Personal!$A$2:$I$300,7,FALSE)</f>
        <v>#N/A</v>
      </c>
      <c r="AQ294" s="7" t="e">
        <f>VLOOKUP(AL294,Personal!$A$2:$I$300,8,FALSE)</f>
        <v>#N/A</v>
      </c>
      <c r="AR294" s="7"/>
    </row>
    <row r="295" spans="2:44" x14ac:dyDescent="0.3">
      <c r="B295" s="6">
        <v>290</v>
      </c>
      <c r="C295" s="6"/>
      <c r="D295" s="6"/>
      <c r="E295" s="6"/>
      <c r="F295" s="6"/>
      <c r="G295" s="7"/>
      <c r="H295" s="7"/>
      <c r="I295" s="7"/>
      <c r="J295" s="7"/>
      <c r="K295" s="10"/>
      <c r="L295" s="7"/>
      <c r="M295" s="7"/>
      <c r="N295" s="7"/>
      <c r="O295" s="13"/>
      <c r="P295" s="13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8"/>
      <c r="AI295" s="7"/>
      <c r="AJ295" s="7"/>
      <c r="AK295" s="7"/>
      <c r="AL295" s="10"/>
      <c r="AM295" s="7" t="e">
        <f>VLOOKUP(AL295,Personal!$A$2:$I$300,2,FALSE)</f>
        <v>#N/A</v>
      </c>
      <c r="AN295" s="7" t="e">
        <f>VLOOKUP(AL295,Personal!$A$2:$I$300,3,FALSE)</f>
        <v>#N/A</v>
      </c>
      <c r="AO295" s="7" t="e">
        <f>VLOOKUP(AL295,Personal!$A$2:$I$300,6,FALSE)</f>
        <v>#N/A</v>
      </c>
      <c r="AP295" s="7" t="e">
        <f>VLOOKUP(AL295,Personal!$A$2:$I$300,7,FALSE)</f>
        <v>#N/A</v>
      </c>
      <c r="AQ295" s="7" t="e">
        <f>VLOOKUP(AL295,Personal!$A$2:$I$300,8,FALSE)</f>
        <v>#N/A</v>
      </c>
      <c r="AR295" s="7"/>
    </row>
    <row r="296" spans="2:44" x14ac:dyDescent="0.3">
      <c r="B296" s="6">
        <v>291</v>
      </c>
      <c r="C296" s="6"/>
      <c r="D296" s="6"/>
      <c r="E296" s="6"/>
      <c r="F296" s="6"/>
      <c r="G296" s="7"/>
      <c r="H296" s="7"/>
      <c r="I296" s="7"/>
      <c r="J296" s="7"/>
      <c r="K296" s="10"/>
      <c r="L296" s="7"/>
      <c r="M296" s="7"/>
      <c r="N296" s="7"/>
      <c r="O296" s="13"/>
      <c r="P296" s="13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8"/>
      <c r="AI296" s="7"/>
      <c r="AJ296" s="7"/>
      <c r="AK296" s="7"/>
      <c r="AL296" s="10"/>
      <c r="AM296" s="7" t="e">
        <f>VLOOKUP(AL296,Personal!$A$2:$I$300,2,FALSE)</f>
        <v>#N/A</v>
      </c>
      <c r="AN296" s="7" t="e">
        <f>VLOOKUP(AL296,Personal!$A$2:$I$300,3,FALSE)</f>
        <v>#N/A</v>
      </c>
      <c r="AO296" s="7" t="e">
        <f>VLOOKUP(AL296,Personal!$A$2:$I$300,6,FALSE)</f>
        <v>#N/A</v>
      </c>
      <c r="AP296" s="7" t="e">
        <f>VLOOKUP(AL296,Personal!$A$2:$I$300,7,FALSE)</f>
        <v>#N/A</v>
      </c>
      <c r="AQ296" s="7" t="e">
        <f>VLOOKUP(AL296,Personal!$A$2:$I$300,8,FALSE)</f>
        <v>#N/A</v>
      </c>
      <c r="AR296" s="7"/>
    </row>
    <row r="297" spans="2:44" x14ac:dyDescent="0.3">
      <c r="B297" s="6">
        <v>292</v>
      </c>
      <c r="C297" s="6"/>
      <c r="D297" s="6"/>
      <c r="E297" s="6"/>
      <c r="F297" s="6"/>
      <c r="G297" s="7"/>
      <c r="H297" s="7"/>
      <c r="I297" s="7"/>
      <c r="J297" s="7"/>
      <c r="K297" s="10"/>
      <c r="L297" s="7"/>
      <c r="M297" s="7"/>
      <c r="N297" s="7"/>
      <c r="O297" s="13"/>
      <c r="P297" s="13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8"/>
      <c r="AI297" s="7"/>
      <c r="AJ297" s="7"/>
      <c r="AK297" s="7"/>
      <c r="AL297" s="10"/>
      <c r="AM297" s="7" t="e">
        <f>VLOOKUP(AL297,Personal!$A$2:$I$300,2,FALSE)</f>
        <v>#N/A</v>
      </c>
      <c r="AN297" s="7" t="e">
        <f>VLOOKUP(AL297,Personal!$A$2:$I$300,3,FALSE)</f>
        <v>#N/A</v>
      </c>
      <c r="AO297" s="7" t="e">
        <f>VLOOKUP(AL297,Personal!$A$2:$I$300,6,FALSE)</f>
        <v>#N/A</v>
      </c>
      <c r="AP297" s="7" t="e">
        <f>VLOOKUP(AL297,Personal!$A$2:$I$300,7,FALSE)</f>
        <v>#N/A</v>
      </c>
      <c r="AQ297" s="7" t="e">
        <f>VLOOKUP(AL297,Personal!$A$2:$I$300,8,FALSE)</f>
        <v>#N/A</v>
      </c>
      <c r="AR297" s="7"/>
    </row>
    <row r="298" spans="2:44" x14ac:dyDescent="0.3">
      <c r="B298" s="6">
        <v>293</v>
      </c>
      <c r="C298" s="6"/>
      <c r="D298" s="6"/>
      <c r="E298" s="6"/>
      <c r="F298" s="6"/>
      <c r="G298" s="7"/>
      <c r="H298" s="7"/>
      <c r="I298" s="7"/>
      <c r="J298" s="7"/>
      <c r="K298" s="10"/>
      <c r="L298" s="7"/>
      <c r="M298" s="7"/>
      <c r="N298" s="7"/>
      <c r="O298" s="13"/>
      <c r="P298" s="13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8"/>
      <c r="AI298" s="7"/>
      <c r="AJ298" s="7"/>
      <c r="AK298" s="7"/>
      <c r="AL298" s="10"/>
      <c r="AM298" s="7" t="e">
        <f>VLOOKUP(AL298,Personal!$A$2:$I$300,2,FALSE)</f>
        <v>#N/A</v>
      </c>
      <c r="AN298" s="7" t="e">
        <f>VLOOKUP(AL298,Personal!$A$2:$I$300,3,FALSE)</f>
        <v>#N/A</v>
      </c>
      <c r="AO298" s="7" t="e">
        <f>VLOOKUP(AL298,Personal!$A$2:$I$300,6,FALSE)</f>
        <v>#N/A</v>
      </c>
      <c r="AP298" s="7" t="e">
        <f>VLOOKUP(AL298,Personal!$A$2:$I$300,7,FALSE)</f>
        <v>#N/A</v>
      </c>
      <c r="AQ298" s="7" t="e">
        <f>VLOOKUP(AL298,Personal!$A$2:$I$300,8,FALSE)</f>
        <v>#N/A</v>
      </c>
      <c r="AR298" s="7"/>
    </row>
    <row r="299" spans="2:44" x14ac:dyDescent="0.3">
      <c r="B299" s="6">
        <v>294</v>
      </c>
      <c r="C299" s="6"/>
      <c r="D299" s="6"/>
      <c r="E299" s="6"/>
      <c r="F299" s="6"/>
      <c r="G299" s="7"/>
      <c r="H299" s="7"/>
      <c r="I299" s="7"/>
      <c r="J299" s="7"/>
      <c r="K299" s="10"/>
      <c r="L299" s="7"/>
      <c r="M299" s="7"/>
      <c r="N299" s="7"/>
      <c r="O299" s="13"/>
      <c r="P299" s="13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8"/>
      <c r="AI299" s="7"/>
      <c r="AJ299" s="7"/>
      <c r="AK299" s="7"/>
      <c r="AL299" s="10"/>
      <c r="AM299" s="7" t="e">
        <f>VLOOKUP(AL299,Personal!$A$2:$I$300,2,FALSE)</f>
        <v>#N/A</v>
      </c>
      <c r="AN299" s="7" t="e">
        <f>VLOOKUP(AL299,Personal!$A$2:$I$300,3,FALSE)</f>
        <v>#N/A</v>
      </c>
      <c r="AO299" s="7" t="e">
        <f>VLOOKUP(AL299,Personal!$A$2:$I$300,6,FALSE)</f>
        <v>#N/A</v>
      </c>
      <c r="AP299" s="7" t="e">
        <f>VLOOKUP(AL299,Personal!$A$2:$I$300,7,FALSE)</f>
        <v>#N/A</v>
      </c>
      <c r="AQ299" s="7" t="e">
        <f>VLOOKUP(AL299,Personal!$A$2:$I$300,8,FALSE)</f>
        <v>#N/A</v>
      </c>
      <c r="AR299" s="7"/>
    </row>
    <row r="300" spans="2:44" x14ac:dyDescent="0.3">
      <c r="B300" s="6">
        <v>295</v>
      </c>
      <c r="C300" s="6"/>
      <c r="D300" s="6"/>
      <c r="E300" s="6"/>
      <c r="F300" s="6"/>
      <c r="G300" s="7"/>
      <c r="H300" s="7"/>
      <c r="I300" s="7"/>
      <c r="J300" s="7"/>
      <c r="K300" s="10"/>
      <c r="L300" s="7"/>
      <c r="M300" s="7"/>
      <c r="N300" s="7"/>
      <c r="O300" s="13"/>
      <c r="P300" s="13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8"/>
      <c r="AI300" s="7"/>
      <c r="AJ300" s="7"/>
      <c r="AK300" s="7"/>
      <c r="AL300" s="10"/>
      <c r="AM300" s="7" t="e">
        <f>VLOOKUP(AL300,Personal!$A$2:$I$300,2,FALSE)</f>
        <v>#N/A</v>
      </c>
      <c r="AN300" s="7" t="e">
        <f>VLOOKUP(AL300,Personal!$A$2:$I$300,3,FALSE)</f>
        <v>#N/A</v>
      </c>
      <c r="AO300" s="7" t="e">
        <f>VLOOKUP(AL300,Personal!$A$2:$I$300,6,FALSE)</f>
        <v>#N/A</v>
      </c>
      <c r="AP300" s="7" t="e">
        <f>VLOOKUP(AL300,Personal!$A$2:$I$300,7,FALSE)</f>
        <v>#N/A</v>
      </c>
      <c r="AQ300" s="7" t="e">
        <f>VLOOKUP(AL300,Personal!$A$2:$I$300,8,FALSE)</f>
        <v>#N/A</v>
      </c>
      <c r="AR300" s="7"/>
    </row>
    <row r="301" spans="2:44" x14ac:dyDescent="0.3">
      <c r="B301" s="6">
        <v>296</v>
      </c>
      <c r="C301" s="6"/>
      <c r="D301" s="6"/>
      <c r="E301" s="6"/>
      <c r="F301" s="6"/>
      <c r="G301" s="7"/>
      <c r="H301" s="7"/>
      <c r="I301" s="7"/>
      <c r="J301" s="7"/>
      <c r="K301" s="10"/>
      <c r="L301" s="7"/>
      <c r="M301" s="7"/>
      <c r="N301" s="7"/>
      <c r="O301" s="13"/>
      <c r="P301" s="13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8"/>
      <c r="AI301" s="7"/>
      <c r="AJ301" s="7"/>
      <c r="AK301" s="7"/>
      <c r="AL301" s="10"/>
      <c r="AM301" s="7" t="e">
        <f>VLOOKUP(AL301,Personal!$A$2:$I$300,2,FALSE)</f>
        <v>#N/A</v>
      </c>
      <c r="AN301" s="7" t="e">
        <f>VLOOKUP(AL301,Personal!$A$2:$I$300,3,FALSE)</f>
        <v>#N/A</v>
      </c>
      <c r="AO301" s="7" t="e">
        <f>VLOOKUP(AL301,Personal!$A$2:$I$300,6,FALSE)</f>
        <v>#N/A</v>
      </c>
      <c r="AP301" s="7" t="e">
        <f>VLOOKUP(AL301,Personal!$A$2:$I$300,7,FALSE)</f>
        <v>#N/A</v>
      </c>
      <c r="AQ301" s="7" t="e">
        <f>VLOOKUP(AL301,Personal!$A$2:$I$300,8,FALSE)</f>
        <v>#N/A</v>
      </c>
      <c r="AR301" s="7"/>
    </row>
    <row r="302" spans="2:44" x14ac:dyDescent="0.3">
      <c r="B302" s="6">
        <v>297</v>
      </c>
      <c r="C302" s="6"/>
      <c r="D302" s="6"/>
      <c r="E302" s="6"/>
      <c r="F302" s="6"/>
      <c r="G302" s="7"/>
      <c r="H302" s="7"/>
      <c r="I302" s="7"/>
      <c r="J302" s="7"/>
      <c r="K302" s="10"/>
      <c r="L302" s="7"/>
      <c r="M302" s="7"/>
      <c r="N302" s="7"/>
      <c r="O302" s="13"/>
      <c r="P302" s="13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8"/>
      <c r="AI302" s="7"/>
      <c r="AJ302" s="7"/>
      <c r="AK302" s="7"/>
      <c r="AL302" s="10"/>
      <c r="AM302" s="7" t="e">
        <f>VLOOKUP(AL302,Personal!$A$2:$I$300,2,FALSE)</f>
        <v>#N/A</v>
      </c>
      <c r="AN302" s="7" t="e">
        <f>VLOOKUP(AL302,Personal!$A$2:$I$300,3,FALSE)</f>
        <v>#N/A</v>
      </c>
      <c r="AO302" s="7" t="e">
        <f>VLOOKUP(AL302,Personal!$A$2:$I$300,6,FALSE)</f>
        <v>#N/A</v>
      </c>
      <c r="AP302" s="7" t="e">
        <f>VLOOKUP(AL302,Personal!$A$2:$I$300,7,FALSE)</f>
        <v>#N/A</v>
      </c>
      <c r="AQ302" s="7" t="e">
        <f>VLOOKUP(AL302,Personal!$A$2:$I$300,8,FALSE)</f>
        <v>#N/A</v>
      </c>
      <c r="AR302" s="7"/>
    </row>
    <row r="303" spans="2:44" x14ac:dyDescent="0.3">
      <c r="B303" s="6">
        <v>298</v>
      </c>
      <c r="C303" s="6"/>
      <c r="D303" s="6"/>
      <c r="E303" s="6"/>
      <c r="F303" s="6"/>
      <c r="G303" s="7"/>
      <c r="H303" s="7"/>
      <c r="I303" s="7"/>
      <c r="J303" s="7"/>
      <c r="K303" s="10"/>
      <c r="L303" s="7"/>
      <c r="M303" s="7"/>
      <c r="N303" s="7"/>
      <c r="O303" s="13"/>
      <c r="P303" s="13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8"/>
      <c r="AI303" s="7"/>
      <c r="AJ303" s="7"/>
      <c r="AK303" s="7"/>
      <c r="AL303" s="10"/>
      <c r="AM303" s="7" t="e">
        <f>VLOOKUP(AL303,Personal!$A$2:$I$300,2,FALSE)</f>
        <v>#N/A</v>
      </c>
      <c r="AN303" s="7" t="e">
        <f>VLOOKUP(AL303,Personal!$A$2:$I$300,3,FALSE)</f>
        <v>#N/A</v>
      </c>
      <c r="AO303" s="7" t="e">
        <f>VLOOKUP(AL303,Personal!$A$2:$I$300,6,FALSE)</f>
        <v>#N/A</v>
      </c>
      <c r="AP303" s="7" t="e">
        <f>VLOOKUP(AL303,Personal!$A$2:$I$300,7,FALSE)</f>
        <v>#N/A</v>
      </c>
      <c r="AQ303" s="7" t="e">
        <f>VLOOKUP(AL303,Personal!$A$2:$I$300,8,FALSE)</f>
        <v>#N/A</v>
      </c>
      <c r="AR303" s="7"/>
    </row>
    <row r="304" spans="2:44" x14ac:dyDescent="0.3">
      <c r="B304" s="6">
        <v>299</v>
      </c>
      <c r="C304" s="6"/>
      <c r="D304" s="6"/>
      <c r="E304" s="6"/>
      <c r="F304" s="6"/>
      <c r="G304" s="7"/>
      <c r="H304" s="7"/>
      <c r="I304" s="7"/>
      <c r="J304" s="7"/>
      <c r="K304" s="10"/>
      <c r="L304" s="7"/>
      <c r="M304" s="7"/>
      <c r="N304" s="7"/>
      <c r="O304" s="13"/>
      <c r="P304" s="13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8"/>
      <c r="AI304" s="7"/>
      <c r="AJ304" s="7"/>
      <c r="AK304" s="7"/>
      <c r="AL304" s="10"/>
      <c r="AM304" s="7" t="e">
        <f>VLOOKUP(AL304,Personal!$A$2:$I$300,2,FALSE)</f>
        <v>#N/A</v>
      </c>
      <c r="AN304" s="7" t="e">
        <f>VLOOKUP(AL304,Personal!$A$2:$I$300,3,FALSE)</f>
        <v>#N/A</v>
      </c>
      <c r="AO304" s="7" t="e">
        <f>VLOOKUP(AL304,Personal!$A$2:$I$300,6,FALSE)</f>
        <v>#N/A</v>
      </c>
      <c r="AP304" s="7" t="e">
        <f>VLOOKUP(AL304,Personal!$A$2:$I$300,7,FALSE)</f>
        <v>#N/A</v>
      </c>
      <c r="AQ304" s="7" t="e">
        <f>VLOOKUP(AL304,Personal!$A$2:$I$300,8,FALSE)</f>
        <v>#N/A</v>
      </c>
      <c r="AR304" s="7"/>
    </row>
    <row r="305" spans="2:44" x14ac:dyDescent="0.3">
      <c r="B305" s="6">
        <v>300</v>
      </c>
      <c r="C305" s="6"/>
      <c r="D305" s="6"/>
      <c r="E305" s="6"/>
      <c r="F305" s="6"/>
      <c r="G305" s="7"/>
      <c r="H305" s="7"/>
      <c r="I305" s="7"/>
      <c r="J305" s="7"/>
      <c r="K305" s="10"/>
      <c r="L305" s="7"/>
      <c r="M305" s="7"/>
      <c r="N305" s="7"/>
      <c r="O305" s="13"/>
      <c r="P305" s="13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8"/>
      <c r="AI305" s="7"/>
      <c r="AJ305" s="7"/>
      <c r="AK305" s="7"/>
      <c r="AL305" s="10"/>
      <c r="AM305" s="7" t="e">
        <f>VLOOKUP(AL305,Personal!$A$2:$I$300,2,FALSE)</f>
        <v>#N/A</v>
      </c>
      <c r="AN305" s="7" t="e">
        <f>VLOOKUP(AL305,Personal!$A$2:$I$300,3,FALSE)</f>
        <v>#N/A</v>
      </c>
      <c r="AO305" s="7" t="e">
        <f>VLOOKUP(AL305,Personal!$A$2:$I$300,6,FALSE)</f>
        <v>#N/A</v>
      </c>
      <c r="AP305" s="7" t="e">
        <f>VLOOKUP(AL305,Personal!$A$2:$I$300,7,FALSE)</f>
        <v>#N/A</v>
      </c>
      <c r="AQ305" s="7" t="e">
        <f>VLOOKUP(AL305,Personal!$A$2:$I$300,8,FALSE)</f>
        <v>#N/A</v>
      </c>
      <c r="AR305" s="7"/>
    </row>
    <row r="306" spans="2:44" x14ac:dyDescent="0.3">
      <c r="B306" s="6">
        <v>301</v>
      </c>
      <c r="C306" s="6"/>
      <c r="D306" s="6"/>
      <c r="E306" s="6"/>
      <c r="F306" s="6"/>
      <c r="G306" s="7"/>
      <c r="H306" s="7"/>
      <c r="I306" s="7"/>
      <c r="J306" s="7"/>
      <c r="K306" s="10"/>
      <c r="L306" s="7"/>
      <c r="M306" s="7"/>
      <c r="N306" s="7"/>
      <c r="O306" s="13"/>
      <c r="P306" s="13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8"/>
      <c r="AI306" s="7"/>
      <c r="AJ306" s="7"/>
      <c r="AK306" s="7"/>
      <c r="AL306" s="10"/>
      <c r="AM306" s="7" t="e">
        <f>VLOOKUP(AL306,Personal!$A$2:$I$300,2,FALSE)</f>
        <v>#N/A</v>
      </c>
      <c r="AN306" s="7" t="e">
        <f>VLOOKUP(AL306,Personal!$A$2:$I$300,3,FALSE)</f>
        <v>#N/A</v>
      </c>
      <c r="AO306" s="7" t="e">
        <f>VLOOKUP(AL306,Personal!$A$2:$I$300,6,FALSE)</f>
        <v>#N/A</v>
      </c>
      <c r="AP306" s="7" t="e">
        <f>VLOOKUP(AL306,Personal!$A$2:$I$300,7,FALSE)</f>
        <v>#N/A</v>
      </c>
      <c r="AQ306" s="7" t="e">
        <f>VLOOKUP(AL306,Personal!$A$2:$I$300,8,FALSE)</f>
        <v>#N/A</v>
      </c>
      <c r="AR306" s="7"/>
    </row>
    <row r="307" spans="2:44" x14ac:dyDescent="0.3">
      <c r="B307" s="6">
        <v>302</v>
      </c>
      <c r="C307" s="6"/>
      <c r="D307" s="6"/>
      <c r="E307" s="6"/>
      <c r="F307" s="6"/>
      <c r="G307" s="7"/>
      <c r="H307" s="7"/>
      <c r="I307" s="7"/>
      <c r="J307" s="7"/>
      <c r="K307" s="10"/>
      <c r="L307" s="7"/>
      <c r="M307" s="7"/>
      <c r="N307" s="7"/>
      <c r="O307" s="13"/>
      <c r="P307" s="13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8"/>
      <c r="AI307" s="7"/>
      <c r="AJ307" s="7"/>
      <c r="AK307" s="7"/>
      <c r="AL307" s="10"/>
      <c r="AM307" s="7" t="e">
        <f>VLOOKUP(AL307,Personal!$A$2:$I$300,2,FALSE)</f>
        <v>#N/A</v>
      </c>
      <c r="AN307" s="7" t="e">
        <f>VLOOKUP(AL307,Personal!$A$2:$I$300,3,FALSE)</f>
        <v>#N/A</v>
      </c>
      <c r="AO307" s="7" t="e">
        <f>VLOOKUP(AL307,Personal!$A$2:$I$300,6,FALSE)</f>
        <v>#N/A</v>
      </c>
      <c r="AP307" s="7" t="e">
        <f>VLOOKUP(AL307,Personal!$A$2:$I$300,7,FALSE)</f>
        <v>#N/A</v>
      </c>
      <c r="AQ307" s="7" t="e">
        <f>VLOOKUP(AL307,Personal!$A$2:$I$300,8,FALSE)</f>
        <v>#N/A</v>
      </c>
      <c r="AR307" s="7"/>
    </row>
    <row r="308" spans="2:44" x14ac:dyDescent="0.3">
      <c r="B308" s="6">
        <v>303</v>
      </c>
      <c r="C308" s="6"/>
      <c r="D308" s="6"/>
      <c r="E308" s="6"/>
      <c r="F308" s="6"/>
      <c r="G308" s="7"/>
      <c r="H308" s="7"/>
      <c r="I308" s="7"/>
      <c r="J308" s="7"/>
      <c r="K308" s="10"/>
      <c r="L308" s="7"/>
      <c r="M308" s="7"/>
      <c r="N308" s="7"/>
      <c r="O308" s="13"/>
      <c r="P308" s="13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8"/>
      <c r="AI308" s="7"/>
      <c r="AJ308" s="7"/>
      <c r="AK308" s="7"/>
      <c r="AL308" s="10"/>
      <c r="AM308" s="7" t="e">
        <f>VLOOKUP(AL308,Personal!$A$2:$I$300,2,FALSE)</f>
        <v>#N/A</v>
      </c>
      <c r="AN308" s="7" t="e">
        <f>VLOOKUP(AL308,Personal!$A$2:$I$300,3,FALSE)</f>
        <v>#N/A</v>
      </c>
      <c r="AO308" s="7" t="e">
        <f>VLOOKUP(AL308,Personal!$A$2:$I$300,6,FALSE)</f>
        <v>#N/A</v>
      </c>
      <c r="AP308" s="7" t="e">
        <f>VLOOKUP(AL308,Personal!$A$2:$I$300,7,FALSE)</f>
        <v>#N/A</v>
      </c>
      <c r="AQ308" s="7" t="e">
        <f>VLOOKUP(AL308,Personal!$A$2:$I$300,8,FALSE)</f>
        <v>#N/A</v>
      </c>
      <c r="AR308" s="7"/>
    </row>
    <row r="309" spans="2:44" x14ac:dyDescent="0.3">
      <c r="B309" s="6">
        <v>304</v>
      </c>
      <c r="C309" s="6"/>
      <c r="D309" s="6"/>
      <c r="E309" s="6"/>
      <c r="F309" s="6"/>
      <c r="G309" s="7"/>
      <c r="H309" s="7"/>
      <c r="I309" s="7"/>
      <c r="J309" s="7"/>
      <c r="K309" s="10"/>
      <c r="L309" s="7"/>
      <c r="M309" s="7"/>
      <c r="N309" s="7"/>
      <c r="O309" s="13"/>
      <c r="P309" s="13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8"/>
      <c r="AI309" s="7"/>
      <c r="AJ309" s="7"/>
      <c r="AK309" s="7"/>
      <c r="AL309" s="10"/>
      <c r="AM309" s="7" t="e">
        <f>VLOOKUP(AL309,Personal!$A$2:$I$300,2,FALSE)</f>
        <v>#N/A</v>
      </c>
      <c r="AN309" s="7" t="e">
        <f>VLOOKUP(AL309,Personal!$A$2:$I$300,3,FALSE)</f>
        <v>#N/A</v>
      </c>
      <c r="AO309" s="7" t="e">
        <f>VLOOKUP(AL309,Personal!$A$2:$I$300,6,FALSE)</f>
        <v>#N/A</v>
      </c>
      <c r="AP309" s="7" t="e">
        <f>VLOOKUP(AL309,Personal!$A$2:$I$300,7,FALSE)</f>
        <v>#N/A</v>
      </c>
      <c r="AQ309" s="7" t="e">
        <f>VLOOKUP(AL309,Personal!$A$2:$I$300,8,FALSE)</f>
        <v>#N/A</v>
      </c>
      <c r="AR309" s="7"/>
    </row>
    <row r="310" spans="2:44" x14ac:dyDescent="0.3">
      <c r="B310" s="6">
        <v>305</v>
      </c>
      <c r="C310" s="6"/>
      <c r="D310" s="6"/>
      <c r="E310" s="6"/>
      <c r="F310" s="6"/>
      <c r="G310" s="7"/>
      <c r="H310" s="7"/>
      <c r="I310" s="7"/>
      <c r="J310" s="7"/>
      <c r="K310" s="10"/>
      <c r="L310" s="7"/>
      <c r="M310" s="7"/>
      <c r="N310" s="7"/>
      <c r="O310" s="13"/>
      <c r="P310" s="13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8"/>
      <c r="AI310" s="7"/>
      <c r="AJ310" s="7"/>
      <c r="AK310" s="7"/>
      <c r="AL310" s="10"/>
      <c r="AM310" s="7" t="e">
        <f>VLOOKUP(AL310,Personal!$A$2:$I$300,2,FALSE)</f>
        <v>#N/A</v>
      </c>
      <c r="AN310" s="7" t="e">
        <f>VLOOKUP(AL310,Personal!$A$2:$I$300,3,FALSE)</f>
        <v>#N/A</v>
      </c>
      <c r="AO310" s="7" t="e">
        <f>VLOOKUP(AL310,Personal!$A$2:$I$300,6,FALSE)</f>
        <v>#N/A</v>
      </c>
      <c r="AP310" s="7" t="e">
        <f>VLOOKUP(AL310,Personal!$A$2:$I$300,7,FALSE)</f>
        <v>#N/A</v>
      </c>
      <c r="AQ310" s="7" t="e">
        <f>VLOOKUP(AL310,Personal!$A$2:$I$300,8,FALSE)</f>
        <v>#N/A</v>
      </c>
      <c r="AR310" s="7"/>
    </row>
    <row r="311" spans="2:44" x14ac:dyDescent="0.3">
      <c r="B311" s="6">
        <v>306</v>
      </c>
      <c r="C311" s="6"/>
      <c r="D311" s="6"/>
      <c r="E311" s="6"/>
      <c r="F311" s="6"/>
      <c r="G311" s="7"/>
      <c r="H311" s="7"/>
      <c r="I311" s="7"/>
      <c r="J311" s="7"/>
      <c r="K311" s="10"/>
      <c r="L311" s="7"/>
      <c r="M311" s="7"/>
      <c r="N311" s="7"/>
      <c r="O311" s="13"/>
      <c r="P311" s="13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8"/>
      <c r="AI311" s="7"/>
      <c r="AJ311" s="7"/>
      <c r="AK311" s="7"/>
      <c r="AL311" s="10"/>
      <c r="AM311" s="7" t="e">
        <f>VLOOKUP(AL311,Personal!$A$2:$I$300,2,FALSE)</f>
        <v>#N/A</v>
      </c>
      <c r="AN311" s="7" t="e">
        <f>VLOOKUP(AL311,Personal!$A$2:$I$300,3,FALSE)</f>
        <v>#N/A</v>
      </c>
      <c r="AO311" s="7" t="e">
        <f>VLOOKUP(AL311,Personal!$A$2:$I$300,6,FALSE)</f>
        <v>#N/A</v>
      </c>
      <c r="AP311" s="7" t="e">
        <f>VLOOKUP(AL311,Personal!$A$2:$I$300,7,FALSE)</f>
        <v>#N/A</v>
      </c>
      <c r="AQ311" s="7" t="e">
        <f>VLOOKUP(AL311,Personal!$A$2:$I$300,8,FALSE)</f>
        <v>#N/A</v>
      </c>
      <c r="AR311" s="7"/>
    </row>
    <row r="312" spans="2:44" x14ac:dyDescent="0.3">
      <c r="B312" s="6">
        <v>307</v>
      </c>
      <c r="C312" s="6"/>
      <c r="D312" s="6"/>
      <c r="E312" s="6"/>
      <c r="F312" s="6"/>
      <c r="G312" s="7"/>
      <c r="H312" s="7"/>
      <c r="I312" s="7"/>
      <c r="J312" s="7"/>
      <c r="K312" s="10"/>
      <c r="L312" s="7"/>
      <c r="M312" s="7"/>
      <c r="N312" s="7"/>
      <c r="O312" s="13"/>
      <c r="P312" s="13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8"/>
      <c r="AI312" s="7"/>
      <c r="AJ312" s="7"/>
      <c r="AK312" s="7"/>
      <c r="AL312" s="10"/>
      <c r="AM312" s="7" t="e">
        <f>VLOOKUP(AL312,Personal!$A$2:$I$300,2,FALSE)</f>
        <v>#N/A</v>
      </c>
      <c r="AN312" s="7" t="e">
        <f>VLOOKUP(AL312,Personal!$A$2:$I$300,3,FALSE)</f>
        <v>#N/A</v>
      </c>
      <c r="AO312" s="7" t="e">
        <f>VLOOKUP(AL312,Personal!$A$2:$I$300,6,FALSE)</f>
        <v>#N/A</v>
      </c>
      <c r="AP312" s="7" t="e">
        <f>VLOOKUP(AL312,Personal!$A$2:$I$300,7,FALSE)</f>
        <v>#N/A</v>
      </c>
      <c r="AQ312" s="7" t="e">
        <f>VLOOKUP(AL312,Personal!$A$2:$I$300,8,FALSE)</f>
        <v>#N/A</v>
      </c>
      <c r="AR312" s="7"/>
    </row>
    <row r="313" spans="2:44" x14ac:dyDescent="0.3">
      <c r="B313" s="6">
        <v>308</v>
      </c>
      <c r="C313" s="6"/>
      <c r="D313" s="6"/>
      <c r="E313" s="6"/>
      <c r="F313" s="6"/>
      <c r="G313" s="7"/>
      <c r="H313" s="7"/>
      <c r="I313" s="7"/>
      <c r="J313" s="7"/>
      <c r="K313" s="10"/>
      <c r="L313" s="7"/>
      <c r="M313" s="7"/>
      <c r="N313" s="7"/>
      <c r="O313" s="13"/>
      <c r="P313" s="13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8"/>
      <c r="AI313" s="7"/>
      <c r="AJ313" s="7"/>
      <c r="AK313" s="7"/>
      <c r="AL313" s="10"/>
      <c r="AM313" s="7" t="e">
        <f>VLOOKUP(AL313,Personal!$A$2:$I$300,2,FALSE)</f>
        <v>#N/A</v>
      </c>
      <c r="AN313" s="7" t="e">
        <f>VLOOKUP(AL313,Personal!$A$2:$I$300,3,FALSE)</f>
        <v>#N/A</v>
      </c>
      <c r="AO313" s="7" t="e">
        <f>VLOOKUP(AL313,Personal!$A$2:$I$300,6,FALSE)</f>
        <v>#N/A</v>
      </c>
      <c r="AP313" s="7" t="e">
        <f>VLOOKUP(AL313,Personal!$A$2:$I$300,7,FALSE)</f>
        <v>#N/A</v>
      </c>
      <c r="AQ313" s="7" t="e">
        <f>VLOOKUP(AL313,Personal!$A$2:$I$300,8,FALSE)</f>
        <v>#N/A</v>
      </c>
      <c r="AR313" s="7"/>
    </row>
    <row r="314" spans="2:44" x14ac:dyDescent="0.3">
      <c r="B314" s="6">
        <v>309</v>
      </c>
      <c r="C314" s="6"/>
      <c r="D314" s="6"/>
      <c r="E314" s="6"/>
      <c r="F314" s="6"/>
      <c r="G314" s="7"/>
      <c r="H314" s="7"/>
      <c r="I314" s="7"/>
      <c r="J314" s="7"/>
      <c r="K314" s="10"/>
      <c r="L314" s="7"/>
      <c r="M314" s="7"/>
      <c r="N314" s="7"/>
      <c r="O314" s="13"/>
      <c r="P314" s="13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8"/>
      <c r="AI314" s="7"/>
      <c r="AJ314" s="7"/>
      <c r="AK314" s="7"/>
      <c r="AL314" s="10"/>
      <c r="AM314" s="7" t="e">
        <f>VLOOKUP(AL314,Personal!$A$2:$I$300,2,FALSE)</f>
        <v>#N/A</v>
      </c>
      <c r="AN314" s="7" t="e">
        <f>VLOOKUP(AL314,Personal!$A$2:$I$300,3,FALSE)</f>
        <v>#N/A</v>
      </c>
      <c r="AO314" s="7" t="e">
        <f>VLOOKUP(AL314,Personal!$A$2:$I$300,6,FALSE)</f>
        <v>#N/A</v>
      </c>
      <c r="AP314" s="7" t="e">
        <f>VLOOKUP(AL314,Personal!$A$2:$I$300,7,FALSE)</f>
        <v>#N/A</v>
      </c>
      <c r="AQ314" s="7" t="e">
        <f>VLOOKUP(AL314,Personal!$A$2:$I$300,8,FALSE)</f>
        <v>#N/A</v>
      </c>
      <c r="AR314" s="7"/>
    </row>
    <row r="315" spans="2:44" x14ac:dyDescent="0.3">
      <c r="B315" s="6">
        <v>310</v>
      </c>
      <c r="C315" s="6"/>
      <c r="D315" s="6"/>
      <c r="E315" s="6"/>
      <c r="F315" s="6"/>
      <c r="G315" s="7"/>
      <c r="H315" s="7"/>
      <c r="I315" s="7"/>
      <c r="J315" s="7"/>
      <c r="K315" s="10"/>
      <c r="L315" s="7"/>
      <c r="M315" s="7"/>
      <c r="N315" s="7"/>
      <c r="O315" s="13"/>
      <c r="P315" s="13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8"/>
      <c r="AI315" s="7"/>
      <c r="AJ315" s="7"/>
      <c r="AK315" s="7"/>
      <c r="AL315" s="10"/>
      <c r="AM315" s="7" t="e">
        <f>VLOOKUP(AL315,Personal!$A$2:$I$300,2,FALSE)</f>
        <v>#N/A</v>
      </c>
      <c r="AN315" s="7" t="e">
        <f>VLOOKUP(AL315,Personal!$A$2:$I$300,3,FALSE)</f>
        <v>#N/A</v>
      </c>
      <c r="AO315" s="7" t="e">
        <f>VLOOKUP(AL315,Personal!$A$2:$I$300,6,FALSE)</f>
        <v>#N/A</v>
      </c>
      <c r="AP315" s="7" t="e">
        <f>VLOOKUP(AL315,Personal!$A$2:$I$300,7,FALSE)</f>
        <v>#N/A</v>
      </c>
      <c r="AQ315" s="7" t="e">
        <f>VLOOKUP(AL315,Personal!$A$2:$I$300,8,FALSE)</f>
        <v>#N/A</v>
      </c>
      <c r="AR315" s="7"/>
    </row>
    <row r="316" spans="2:44" x14ac:dyDescent="0.3">
      <c r="B316" s="6">
        <v>311</v>
      </c>
      <c r="C316" s="6"/>
      <c r="D316" s="6"/>
      <c r="E316" s="6"/>
      <c r="F316" s="6"/>
      <c r="G316" s="7"/>
      <c r="H316" s="7"/>
      <c r="I316" s="7"/>
      <c r="J316" s="7"/>
      <c r="K316" s="10"/>
      <c r="L316" s="7"/>
      <c r="M316" s="7"/>
      <c r="N316" s="7"/>
      <c r="O316" s="13"/>
      <c r="P316" s="13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8"/>
      <c r="AI316" s="7"/>
      <c r="AJ316" s="7"/>
      <c r="AK316" s="7"/>
      <c r="AL316" s="10"/>
      <c r="AM316" s="7" t="e">
        <f>VLOOKUP(AL316,Personal!$A$2:$I$300,2,FALSE)</f>
        <v>#N/A</v>
      </c>
      <c r="AN316" s="7" t="e">
        <f>VLOOKUP(AL316,Personal!$A$2:$I$300,3,FALSE)</f>
        <v>#N/A</v>
      </c>
      <c r="AO316" s="7" t="e">
        <f>VLOOKUP(AL316,Personal!$A$2:$I$300,6,FALSE)</f>
        <v>#N/A</v>
      </c>
      <c r="AP316" s="7" t="e">
        <f>VLOOKUP(AL316,Personal!$A$2:$I$300,7,FALSE)</f>
        <v>#N/A</v>
      </c>
      <c r="AQ316" s="7" t="e">
        <f>VLOOKUP(AL316,Personal!$A$2:$I$300,8,FALSE)</f>
        <v>#N/A</v>
      </c>
      <c r="AR316" s="7"/>
    </row>
    <row r="317" spans="2:44" x14ac:dyDescent="0.3">
      <c r="B317" s="6">
        <v>312</v>
      </c>
      <c r="C317" s="6"/>
      <c r="D317" s="6"/>
      <c r="E317" s="6"/>
      <c r="F317" s="6"/>
      <c r="G317" s="7"/>
      <c r="H317" s="7"/>
      <c r="I317" s="7"/>
      <c r="J317" s="7"/>
      <c r="K317" s="10"/>
      <c r="L317" s="7"/>
      <c r="M317" s="7"/>
      <c r="N317" s="7"/>
      <c r="O317" s="13"/>
      <c r="P317" s="13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8"/>
      <c r="AI317" s="7"/>
      <c r="AJ317" s="7"/>
      <c r="AK317" s="7"/>
      <c r="AL317" s="10"/>
      <c r="AM317" s="7" t="e">
        <f>VLOOKUP(AL317,Personal!$A$2:$I$300,2,FALSE)</f>
        <v>#N/A</v>
      </c>
      <c r="AN317" s="7" t="e">
        <f>VLOOKUP(AL317,Personal!$A$2:$I$300,3,FALSE)</f>
        <v>#N/A</v>
      </c>
      <c r="AO317" s="7" t="e">
        <f>VLOOKUP(AL317,Personal!$A$2:$I$300,6,FALSE)</f>
        <v>#N/A</v>
      </c>
      <c r="AP317" s="7" t="e">
        <f>VLOOKUP(AL317,Personal!$A$2:$I$300,7,FALSE)</f>
        <v>#N/A</v>
      </c>
      <c r="AQ317" s="7" t="e">
        <f>VLOOKUP(AL317,Personal!$A$2:$I$300,8,FALSE)</f>
        <v>#N/A</v>
      </c>
      <c r="AR317" s="7"/>
    </row>
    <row r="318" spans="2:44" x14ac:dyDescent="0.3">
      <c r="B318" s="6">
        <v>313</v>
      </c>
      <c r="C318" s="6"/>
      <c r="D318" s="6"/>
      <c r="E318" s="6"/>
      <c r="F318" s="6"/>
      <c r="G318" s="7"/>
      <c r="H318" s="7"/>
      <c r="I318" s="7"/>
      <c r="J318" s="7"/>
      <c r="K318" s="10"/>
      <c r="L318" s="7"/>
      <c r="M318" s="7"/>
      <c r="N318" s="7"/>
      <c r="O318" s="13"/>
      <c r="P318" s="13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8"/>
      <c r="AI318" s="7"/>
      <c r="AJ318" s="7"/>
      <c r="AK318" s="7"/>
      <c r="AL318" s="10"/>
      <c r="AM318" s="7" t="e">
        <f>VLOOKUP(AL318,Personal!$A$2:$I$300,2,FALSE)</f>
        <v>#N/A</v>
      </c>
      <c r="AN318" s="7" t="e">
        <f>VLOOKUP(AL318,Personal!$A$2:$I$300,3,FALSE)</f>
        <v>#N/A</v>
      </c>
      <c r="AO318" s="7" t="e">
        <f>VLOOKUP(AL318,Personal!$A$2:$I$300,6,FALSE)</f>
        <v>#N/A</v>
      </c>
      <c r="AP318" s="7" t="e">
        <f>VLOOKUP(AL318,Personal!$A$2:$I$300,7,FALSE)</f>
        <v>#N/A</v>
      </c>
      <c r="AQ318" s="7" t="e">
        <f>VLOOKUP(AL318,Personal!$A$2:$I$300,8,FALSE)</f>
        <v>#N/A</v>
      </c>
      <c r="AR318" s="7"/>
    </row>
    <row r="319" spans="2:44" x14ac:dyDescent="0.3">
      <c r="B319" s="6">
        <v>314</v>
      </c>
      <c r="C319" s="6"/>
      <c r="D319" s="6"/>
      <c r="E319" s="6"/>
      <c r="F319" s="6"/>
      <c r="G319" s="7"/>
      <c r="H319" s="7"/>
      <c r="I319" s="7"/>
      <c r="J319" s="7"/>
      <c r="K319" s="10"/>
      <c r="L319" s="7"/>
      <c r="M319" s="7"/>
      <c r="N319" s="7"/>
      <c r="O319" s="13"/>
      <c r="P319" s="13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8"/>
      <c r="AI319" s="7"/>
      <c r="AJ319" s="7"/>
      <c r="AK319" s="7"/>
      <c r="AL319" s="10"/>
      <c r="AM319" s="7" t="e">
        <f>VLOOKUP(AL319,Personal!$A$2:$I$300,2,FALSE)</f>
        <v>#N/A</v>
      </c>
      <c r="AN319" s="7" t="e">
        <f>VLOOKUP(AL319,Personal!$A$2:$I$300,3,FALSE)</f>
        <v>#N/A</v>
      </c>
      <c r="AO319" s="7" t="e">
        <f>VLOOKUP(AL319,Personal!$A$2:$I$300,6,FALSE)</f>
        <v>#N/A</v>
      </c>
      <c r="AP319" s="7" t="e">
        <f>VLOOKUP(AL319,Personal!$A$2:$I$300,7,FALSE)</f>
        <v>#N/A</v>
      </c>
      <c r="AQ319" s="7" t="e">
        <f>VLOOKUP(AL319,Personal!$A$2:$I$300,8,FALSE)</f>
        <v>#N/A</v>
      </c>
      <c r="AR319" s="7"/>
    </row>
    <row r="320" spans="2:44" x14ac:dyDescent="0.3">
      <c r="B320" s="6">
        <v>315</v>
      </c>
      <c r="C320" s="6"/>
      <c r="D320" s="6"/>
      <c r="E320" s="6"/>
      <c r="F320" s="6"/>
      <c r="G320" s="7"/>
      <c r="H320" s="7"/>
      <c r="I320" s="7"/>
      <c r="J320" s="7"/>
      <c r="K320" s="10"/>
      <c r="L320" s="7"/>
      <c r="M320" s="7"/>
      <c r="N320" s="7"/>
      <c r="O320" s="13"/>
      <c r="P320" s="13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8"/>
      <c r="AI320" s="7"/>
      <c r="AJ320" s="7"/>
      <c r="AK320" s="7"/>
      <c r="AL320" s="10"/>
      <c r="AM320" s="7" t="e">
        <f>VLOOKUP(AL320,Personal!$A$2:$I$300,2,FALSE)</f>
        <v>#N/A</v>
      </c>
      <c r="AN320" s="7" t="e">
        <f>VLOOKUP(AL320,Personal!$A$2:$I$300,3,FALSE)</f>
        <v>#N/A</v>
      </c>
      <c r="AO320" s="7" t="e">
        <f>VLOOKUP(AL320,Personal!$A$2:$I$300,6,FALSE)</f>
        <v>#N/A</v>
      </c>
      <c r="AP320" s="7" t="e">
        <f>VLOOKUP(AL320,Personal!$A$2:$I$300,7,FALSE)</f>
        <v>#N/A</v>
      </c>
      <c r="AQ320" s="7" t="e">
        <f>VLOOKUP(AL320,Personal!$A$2:$I$300,8,FALSE)</f>
        <v>#N/A</v>
      </c>
      <c r="AR320" s="7"/>
    </row>
    <row r="321" spans="2:44" x14ac:dyDescent="0.3">
      <c r="B321" s="6">
        <v>316</v>
      </c>
      <c r="C321" s="6"/>
      <c r="D321" s="6"/>
      <c r="E321" s="6"/>
      <c r="F321" s="6"/>
      <c r="G321" s="7"/>
      <c r="H321" s="7"/>
      <c r="I321" s="7"/>
      <c r="J321" s="7"/>
      <c r="K321" s="10"/>
      <c r="L321" s="7"/>
      <c r="M321" s="7"/>
      <c r="N321" s="7"/>
      <c r="O321" s="13"/>
      <c r="P321" s="13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8"/>
      <c r="AI321" s="7"/>
      <c r="AJ321" s="7"/>
      <c r="AK321" s="7"/>
      <c r="AL321" s="10"/>
      <c r="AM321" s="7" t="e">
        <f>VLOOKUP(AL321,Personal!$A$2:$I$300,2,FALSE)</f>
        <v>#N/A</v>
      </c>
      <c r="AN321" s="7" t="e">
        <f>VLOOKUP(AL321,Personal!$A$2:$I$300,3,FALSE)</f>
        <v>#N/A</v>
      </c>
      <c r="AO321" s="7" t="e">
        <f>VLOOKUP(AL321,Personal!$A$2:$I$300,6,FALSE)</f>
        <v>#N/A</v>
      </c>
      <c r="AP321" s="7" t="e">
        <f>VLOOKUP(AL321,Personal!$A$2:$I$300,7,FALSE)</f>
        <v>#N/A</v>
      </c>
      <c r="AQ321" s="7" t="e">
        <f>VLOOKUP(AL321,Personal!$A$2:$I$300,8,FALSE)</f>
        <v>#N/A</v>
      </c>
      <c r="AR321" s="7"/>
    </row>
    <row r="322" spans="2:44" x14ac:dyDescent="0.3">
      <c r="B322" s="6">
        <v>317</v>
      </c>
      <c r="C322" s="6"/>
      <c r="D322" s="6"/>
      <c r="E322" s="6"/>
      <c r="F322" s="6"/>
      <c r="G322" s="7"/>
      <c r="H322" s="7"/>
      <c r="I322" s="7"/>
      <c r="J322" s="7"/>
      <c r="K322" s="10"/>
      <c r="L322" s="7"/>
      <c r="M322" s="7"/>
      <c r="N322" s="7"/>
      <c r="O322" s="13"/>
      <c r="P322" s="13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8"/>
      <c r="AI322" s="7"/>
      <c r="AJ322" s="7"/>
      <c r="AK322" s="7"/>
      <c r="AL322" s="10"/>
      <c r="AM322" s="7" t="e">
        <f>VLOOKUP(AL322,Personal!$A$2:$I$300,2,FALSE)</f>
        <v>#N/A</v>
      </c>
      <c r="AN322" s="7" t="e">
        <f>VLOOKUP(AL322,Personal!$A$2:$I$300,3,FALSE)</f>
        <v>#N/A</v>
      </c>
      <c r="AO322" s="7" t="e">
        <f>VLOOKUP(AL322,Personal!$A$2:$I$300,6,FALSE)</f>
        <v>#N/A</v>
      </c>
      <c r="AP322" s="7" t="e">
        <f>VLOOKUP(AL322,Personal!$A$2:$I$300,7,FALSE)</f>
        <v>#N/A</v>
      </c>
      <c r="AQ322" s="7" t="e">
        <f>VLOOKUP(AL322,Personal!$A$2:$I$300,8,FALSE)</f>
        <v>#N/A</v>
      </c>
      <c r="AR322" s="7"/>
    </row>
    <row r="323" spans="2:44" x14ac:dyDescent="0.3">
      <c r="B323" s="6">
        <v>318</v>
      </c>
      <c r="C323" s="6"/>
      <c r="D323" s="6"/>
      <c r="E323" s="6"/>
      <c r="F323" s="6"/>
      <c r="G323" s="7"/>
      <c r="H323" s="7"/>
      <c r="I323" s="7"/>
      <c r="J323" s="7"/>
      <c r="K323" s="10"/>
      <c r="L323" s="7"/>
      <c r="M323" s="7"/>
      <c r="N323" s="7"/>
      <c r="O323" s="13"/>
      <c r="P323" s="13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8"/>
      <c r="AI323" s="7"/>
      <c r="AJ323" s="7"/>
      <c r="AK323" s="7"/>
      <c r="AL323" s="10"/>
      <c r="AM323" s="7" t="e">
        <f>VLOOKUP(AL323,Personal!$A$2:$I$300,2,FALSE)</f>
        <v>#N/A</v>
      </c>
      <c r="AN323" s="7" t="e">
        <f>VLOOKUP(AL323,Personal!$A$2:$I$300,3,FALSE)</f>
        <v>#N/A</v>
      </c>
      <c r="AO323" s="7" t="e">
        <f>VLOOKUP(AL323,Personal!$A$2:$I$300,6,FALSE)</f>
        <v>#N/A</v>
      </c>
      <c r="AP323" s="7" t="e">
        <f>VLOOKUP(AL323,Personal!$A$2:$I$300,7,FALSE)</f>
        <v>#N/A</v>
      </c>
      <c r="AQ323" s="7" t="e">
        <f>VLOOKUP(AL323,Personal!$A$2:$I$300,8,FALSE)</f>
        <v>#N/A</v>
      </c>
      <c r="AR323" s="7"/>
    </row>
    <row r="324" spans="2:44" x14ac:dyDescent="0.3">
      <c r="B324" s="6">
        <v>319</v>
      </c>
      <c r="C324" s="6"/>
      <c r="D324" s="6"/>
      <c r="E324" s="6"/>
      <c r="F324" s="6"/>
      <c r="G324" s="7"/>
      <c r="H324" s="7"/>
      <c r="I324" s="7"/>
      <c r="J324" s="7"/>
      <c r="K324" s="10"/>
      <c r="L324" s="7"/>
      <c r="M324" s="7"/>
      <c r="N324" s="7"/>
      <c r="O324" s="13"/>
      <c r="P324" s="13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8"/>
      <c r="AI324" s="7"/>
      <c r="AJ324" s="7"/>
      <c r="AK324" s="7"/>
      <c r="AL324" s="10"/>
      <c r="AM324" s="7" t="e">
        <f>VLOOKUP(AL324,Personal!$A$2:$I$300,2,FALSE)</f>
        <v>#N/A</v>
      </c>
      <c r="AN324" s="7" t="e">
        <f>VLOOKUP(AL324,Personal!$A$2:$I$300,3,FALSE)</f>
        <v>#N/A</v>
      </c>
      <c r="AO324" s="7" t="e">
        <f>VLOOKUP(AL324,Personal!$A$2:$I$300,6,FALSE)</f>
        <v>#N/A</v>
      </c>
      <c r="AP324" s="7" t="e">
        <f>VLOOKUP(AL324,Personal!$A$2:$I$300,7,FALSE)</f>
        <v>#N/A</v>
      </c>
      <c r="AQ324" s="7" t="e">
        <f>VLOOKUP(AL324,Personal!$A$2:$I$300,8,FALSE)</f>
        <v>#N/A</v>
      </c>
      <c r="AR324" s="7"/>
    </row>
    <row r="325" spans="2:44" x14ac:dyDescent="0.3">
      <c r="B325" s="6">
        <v>320</v>
      </c>
      <c r="C325" s="6"/>
      <c r="D325" s="6"/>
      <c r="E325" s="6"/>
      <c r="F325" s="6"/>
      <c r="G325" s="7"/>
      <c r="H325" s="7"/>
      <c r="I325" s="7"/>
      <c r="J325" s="7"/>
      <c r="K325" s="10"/>
      <c r="L325" s="7"/>
      <c r="M325" s="7"/>
      <c r="N325" s="7"/>
      <c r="O325" s="13"/>
      <c r="P325" s="13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8"/>
      <c r="AI325" s="7"/>
      <c r="AJ325" s="7"/>
      <c r="AK325" s="7"/>
      <c r="AL325" s="10"/>
      <c r="AM325" s="7" t="e">
        <f>VLOOKUP(AL325,Personal!$A$2:$I$300,2,FALSE)</f>
        <v>#N/A</v>
      </c>
      <c r="AN325" s="7" t="e">
        <f>VLOOKUP(AL325,Personal!$A$2:$I$300,3,FALSE)</f>
        <v>#N/A</v>
      </c>
      <c r="AO325" s="7" t="e">
        <f>VLOOKUP(AL325,Personal!$A$2:$I$300,6,FALSE)</f>
        <v>#N/A</v>
      </c>
      <c r="AP325" s="7" t="e">
        <f>VLOOKUP(AL325,Personal!$A$2:$I$300,7,FALSE)</f>
        <v>#N/A</v>
      </c>
      <c r="AQ325" s="7" t="e">
        <f>VLOOKUP(AL325,Personal!$A$2:$I$300,8,FALSE)</f>
        <v>#N/A</v>
      </c>
      <c r="AR325" s="7"/>
    </row>
    <row r="326" spans="2:44" x14ac:dyDescent="0.3">
      <c r="B326" s="6">
        <v>321</v>
      </c>
      <c r="C326" s="6"/>
      <c r="D326" s="6"/>
      <c r="E326" s="6"/>
      <c r="F326" s="6"/>
      <c r="G326" s="7"/>
      <c r="H326" s="7"/>
      <c r="I326" s="7"/>
      <c r="J326" s="7"/>
      <c r="K326" s="10"/>
      <c r="L326" s="7"/>
      <c r="M326" s="7"/>
      <c r="N326" s="7"/>
      <c r="O326" s="13"/>
      <c r="P326" s="13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8"/>
      <c r="AI326" s="7"/>
      <c r="AJ326" s="7"/>
      <c r="AK326" s="7"/>
      <c r="AL326" s="10"/>
      <c r="AM326" s="7" t="e">
        <f>VLOOKUP(AL326,Personal!$A$2:$I$300,2,FALSE)</f>
        <v>#N/A</v>
      </c>
      <c r="AN326" s="7" t="e">
        <f>VLOOKUP(AL326,Personal!$A$2:$I$300,3,FALSE)</f>
        <v>#N/A</v>
      </c>
      <c r="AO326" s="7" t="e">
        <f>VLOOKUP(AL326,Personal!$A$2:$I$300,6,FALSE)</f>
        <v>#N/A</v>
      </c>
      <c r="AP326" s="7" t="e">
        <f>VLOOKUP(AL326,Personal!$A$2:$I$300,7,FALSE)</f>
        <v>#N/A</v>
      </c>
      <c r="AQ326" s="7" t="e">
        <f>VLOOKUP(AL326,Personal!$A$2:$I$300,8,FALSE)</f>
        <v>#N/A</v>
      </c>
      <c r="AR326" s="7"/>
    </row>
    <row r="327" spans="2:44" x14ac:dyDescent="0.3">
      <c r="B327" s="6">
        <v>322</v>
      </c>
      <c r="C327" s="6"/>
      <c r="D327" s="6"/>
      <c r="E327" s="6"/>
      <c r="F327" s="6"/>
      <c r="G327" s="7"/>
      <c r="H327" s="7"/>
      <c r="I327" s="7"/>
      <c r="J327" s="7"/>
      <c r="K327" s="10"/>
      <c r="L327" s="7"/>
      <c r="M327" s="7"/>
      <c r="N327" s="7"/>
      <c r="O327" s="13"/>
      <c r="P327" s="13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8"/>
      <c r="AI327" s="7"/>
      <c r="AJ327" s="7"/>
      <c r="AK327" s="7"/>
      <c r="AL327" s="10"/>
      <c r="AM327" s="7" t="e">
        <f>VLOOKUP(AL327,Personal!$A$2:$I$300,2,FALSE)</f>
        <v>#N/A</v>
      </c>
      <c r="AN327" s="7" t="e">
        <f>VLOOKUP(AL327,Personal!$A$2:$I$300,3,FALSE)</f>
        <v>#N/A</v>
      </c>
      <c r="AO327" s="7" t="e">
        <f>VLOOKUP(AL327,Personal!$A$2:$I$300,6,FALSE)</f>
        <v>#N/A</v>
      </c>
      <c r="AP327" s="7" t="e">
        <f>VLOOKUP(AL327,Personal!$A$2:$I$300,7,FALSE)</f>
        <v>#N/A</v>
      </c>
      <c r="AQ327" s="7" t="e">
        <f>VLOOKUP(AL327,Personal!$A$2:$I$300,8,FALSE)</f>
        <v>#N/A</v>
      </c>
      <c r="AR327" s="7"/>
    </row>
    <row r="328" spans="2:44" x14ac:dyDescent="0.3">
      <c r="B328" s="6">
        <v>323</v>
      </c>
      <c r="C328" s="6"/>
      <c r="D328" s="6"/>
      <c r="E328" s="6"/>
      <c r="F328" s="6"/>
      <c r="G328" s="7"/>
      <c r="H328" s="7"/>
      <c r="I328" s="7"/>
      <c r="J328" s="7"/>
      <c r="K328" s="10"/>
      <c r="L328" s="7"/>
      <c r="M328" s="7"/>
      <c r="N328" s="7"/>
      <c r="O328" s="13"/>
      <c r="P328" s="13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8"/>
      <c r="AI328" s="7"/>
      <c r="AJ328" s="7"/>
      <c r="AK328" s="7"/>
      <c r="AL328" s="10"/>
      <c r="AM328" s="7" t="e">
        <f>VLOOKUP(AL328,Personal!$A$2:$I$300,2,FALSE)</f>
        <v>#N/A</v>
      </c>
      <c r="AN328" s="7" t="e">
        <f>VLOOKUP(AL328,Personal!$A$2:$I$300,3,FALSE)</f>
        <v>#N/A</v>
      </c>
      <c r="AO328" s="7" t="e">
        <f>VLOOKUP(AL328,Personal!$A$2:$I$300,6,FALSE)</f>
        <v>#N/A</v>
      </c>
      <c r="AP328" s="7" t="e">
        <f>VLOOKUP(AL328,Personal!$A$2:$I$300,7,FALSE)</f>
        <v>#N/A</v>
      </c>
      <c r="AQ328" s="7" t="e">
        <f>VLOOKUP(AL328,Personal!$A$2:$I$300,8,FALSE)</f>
        <v>#N/A</v>
      </c>
      <c r="AR328" s="7"/>
    </row>
    <row r="329" spans="2:44" x14ac:dyDescent="0.3">
      <c r="B329" s="6">
        <v>324</v>
      </c>
      <c r="C329" s="6"/>
      <c r="D329" s="6"/>
      <c r="E329" s="6"/>
      <c r="F329" s="6"/>
      <c r="G329" s="7"/>
      <c r="H329" s="7"/>
      <c r="I329" s="7"/>
      <c r="J329" s="7"/>
      <c r="K329" s="10"/>
      <c r="L329" s="7"/>
      <c r="M329" s="7"/>
      <c r="N329" s="7"/>
      <c r="O329" s="13"/>
      <c r="P329" s="13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8"/>
      <c r="AI329" s="7"/>
      <c r="AJ329" s="7"/>
      <c r="AK329" s="7"/>
      <c r="AL329" s="10"/>
      <c r="AM329" s="7" t="e">
        <f>VLOOKUP(AL329,Personal!$A$2:$I$300,2,FALSE)</f>
        <v>#N/A</v>
      </c>
      <c r="AN329" s="7" t="e">
        <f>VLOOKUP(AL329,Personal!$A$2:$I$300,3,FALSE)</f>
        <v>#N/A</v>
      </c>
      <c r="AO329" s="7" t="e">
        <f>VLOOKUP(AL329,Personal!$A$2:$I$300,6,FALSE)</f>
        <v>#N/A</v>
      </c>
      <c r="AP329" s="7" t="e">
        <f>VLOOKUP(AL329,Personal!$A$2:$I$300,7,FALSE)</f>
        <v>#N/A</v>
      </c>
      <c r="AQ329" s="7" t="e">
        <f>VLOOKUP(AL329,Personal!$A$2:$I$300,8,FALSE)</f>
        <v>#N/A</v>
      </c>
      <c r="AR329" s="7"/>
    </row>
    <row r="330" spans="2:44" x14ac:dyDescent="0.3">
      <c r="B330" s="6">
        <v>325</v>
      </c>
      <c r="C330" s="6"/>
      <c r="D330" s="6"/>
      <c r="E330" s="6"/>
      <c r="F330" s="6"/>
      <c r="G330" s="7"/>
      <c r="H330" s="7"/>
      <c r="I330" s="7"/>
      <c r="J330" s="7"/>
      <c r="K330" s="10"/>
      <c r="L330" s="7"/>
      <c r="M330" s="7"/>
      <c r="N330" s="7"/>
      <c r="O330" s="13"/>
      <c r="P330" s="13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8"/>
      <c r="AI330" s="7"/>
      <c r="AJ330" s="7"/>
      <c r="AK330" s="7"/>
      <c r="AL330" s="10"/>
      <c r="AM330" s="7" t="e">
        <f>VLOOKUP(AL330,Personal!$A$2:$I$300,2,FALSE)</f>
        <v>#N/A</v>
      </c>
      <c r="AN330" s="7" t="e">
        <f>VLOOKUP(AL330,Personal!$A$2:$I$300,3,FALSE)</f>
        <v>#N/A</v>
      </c>
      <c r="AO330" s="7" t="e">
        <f>VLOOKUP(AL330,Personal!$A$2:$I$300,6,FALSE)</f>
        <v>#N/A</v>
      </c>
      <c r="AP330" s="7" t="e">
        <f>VLOOKUP(AL330,Personal!$A$2:$I$300,7,FALSE)</f>
        <v>#N/A</v>
      </c>
      <c r="AQ330" s="7" t="e">
        <f>VLOOKUP(AL330,Personal!$A$2:$I$300,8,FALSE)</f>
        <v>#N/A</v>
      </c>
      <c r="AR330" s="7"/>
    </row>
    <row r="331" spans="2:44" x14ac:dyDescent="0.3">
      <c r="B331" s="6">
        <v>326</v>
      </c>
      <c r="C331" s="6"/>
      <c r="D331" s="6"/>
      <c r="E331" s="6"/>
      <c r="F331" s="6"/>
      <c r="G331" s="7"/>
      <c r="H331" s="7"/>
      <c r="I331" s="7"/>
      <c r="J331" s="7"/>
      <c r="K331" s="10"/>
      <c r="L331" s="7"/>
      <c r="M331" s="7"/>
      <c r="N331" s="7"/>
      <c r="O331" s="13"/>
      <c r="P331" s="13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8"/>
      <c r="AI331" s="7"/>
      <c r="AJ331" s="7"/>
      <c r="AK331" s="7"/>
      <c r="AL331" s="10"/>
      <c r="AM331" s="7" t="e">
        <f>VLOOKUP(AL331,Personal!$A$2:$I$300,2,FALSE)</f>
        <v>#N/A</v>
      </c>
      <c r="AN331" s="7" t="e">
        <f>VLOOKUP(AL331,Personal!$A$2:$I$300,3,FALSE)</f>
        <v>#N/A</v>
      </c>
      <c r="AO331" s="7" t="e">
        <f>VLOOKUP(AL331,Personal!$A$2:$I$300,6,FALSE)</f>
        <v>#N/A</v>
      </c>
      <c r="AP331" s="7" t="e">
        <f>VLOOKUP(AL331,Personal!$A$2:$I$300,7,FALSE)</f>
        <v>#N/A</v>
      </c>
      <c r="AQ331" s="7" t="e">
        <f>VLOOKUP(AL331,Personal!$A$2:$I$300,8,FALSE)</f>
        <v>#N/A</v>
      </c>
      <c r="AR331" s="7"/>
    </row>
    <row r="332" spans="2:44" x14ac:dyDescent="0.3">
      <c r="B332" s="6">
        <v>327</v>
      </c>
      <c r="C332" s="6"/>
      <c r="D332" s="6"/>
      <c r="E332" s="6"/>
      <c r="F332" s="6"/>
      <c r="G332" s="7"/>
      <c r="H332" s="7"/>
      <c r="I332" s="7"/>
      <c r="J332" s="7"/>
      <c r="K332" s="10"/>
      <c r="L332" s="7"/>
      <c r="M332" s="7"/>
      <c r="N332" s="7"/>
      <c r="O332" s="13"/>
      <c r="P332" s="13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8"/>
      <c r="AI332" s="7"/>
      <c r="AJ332" s="7"/>
      <c r="AK332" s="7"/>
      <c r="AL332" s="10"/>
      <c r="AM332" s="7" t="e">
        <f>VLOOKUP(AL332,Personal!$A$2:$I$300,2,FALSE)</f>
        <v>#N/A</v>
      </c>
      <c r="AN332" s="7" t="e">
        <f>VLOOKUP(AL332,Personal!$A$2:$I$300,3,FALSE)</f>
        <v>#N/A</v>
      </c>
      <c r="AO332" s="7" t="e">
        <f>VLOOKUP(AL332,Personal!$A$2:$I$300,6,FALSE)</f>
        <v>#N/A</v>
      </c>
      <c r="AP332" s="7" t="e">
        <f>VLOOKUP(AL332,Personal!$A$2:$I$300,7,FALSE)</f>
        <v>#N/A</v>
      </c>
      <c r="AQ332" s="7" t="e">
        <f>VLOOKUP(AL332,Personal!$A$2:$I$300,8,FALSE)</f>
        <v>#N/A</v>
      </c>
      <c r="AR332" s="7"/>
    </row>
    <row r="333" spans="2:44" x14ac:dyDescent="0.3">
      <c r="B333" s="6">
        <v>328</v>
      </c>
      <c r="C333" s="6"/>
      <c r="D333" s="6"/>
      <c r="E333" s="6"/>
      <c r="F333" s="6"/>
      <c r="G333" s="7"/>
      <c r="H333" s="7"/>
      <c r="I333" s="7"/>
      <c r="J333" s="7"/>
      <c r="K333" s="10"/>
      <c r="L333" s="7"/>
      <c r="M333" s="7"/>
      <c r="N333" s="7"/>
      <c r="O333" s="13"/>
      <c r="P333" s="13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8"/>
      <c r="AI333" s="7"/>
      <c r="AJ333" s="7"/>
      <c r="AK333" s="7"/>
      <c r="AL333" s="10"/>
      <c r="AM333" s="7" t="e">
        <f>VLOOKUP(AL333,Personal!$A$2:$I$300,2,FALSE)</f>
        <v>#N/A</v>
      </c>
      <c r="AN333" s="7" t="e">
        <f>VLOOKUP(AL333,Personal!$A$2:$I$300,3,FALSE)</f>
        <v>#N/A</v>
      </c>
      <c r="AO333" s="7" t="e">
        <f>VLOOKUP(AL333,Personal!$A$2:$I$300,6,FALSE)</f>
        <v>#N/A</v>
      </c>
      <c r="AP333" s="7" t="e">
        <f>VLOOKUP(AL333,Personal!$A$2:$I$300,7,FALSE)</f>
        <v>#N/A</v>
      </c>
      <c r="AQ333" s="7" t="e">
        <f>VLOOKUP(AL333,Personal!$A$2:$I$300,8,FALSE)</f>
        <v>#N/A</v>
      </c>
      <c r="AR333" s="7"/>
    </row>
    <row r="334" spans="2:44" x14ac:dyDescent="0.3">
      <c r="B334" s="6">
        <v>329</v>
      </c>
      <c r="C334" s="6"/>
      <c r="D334" s="6"/>
      <c r="E334" s="6"/>
      <c r="F334" s="6"/>
      <c r="G334" s="7"/>
      <c r="H334" s="7"/>
      <c r="I334" s="7"/>
      <c r="J334" s="7"/>
      <c r="K334" s="10"/>
      <c r="L334" s="7"/>
      <c r="M334" s="7"/>
      <c r="N334" s="7"/>
      <c r="O334" s="13"/>
      <c r="P334" s="13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8"/>
      <c r="AI334" s="7"/>
      <c r="AJ334" s="7"/>
      <c r="AK334" s="7"/>
      <c r="AL334" s="10"/>
      <c r="AM334" s="7" t="e">
        <f>VLOOKUP(AL334,Personal!$A$2:$I$300,2,FALSE)</f>
        <v>#N/A</v>
      </c>
      <c r="AN334" s="7" t="e">
        <f>VLOOKUP(AL334,Personal!$A$2:$I$300,3,FALSE)</f>
        <v>#N/A</v>
      </c>
      <c r="AO334" s="7" t="e">
        <f>VLOOKUP(AL334,Personal!$A$2:$I$300,6,FALSE)</f>
        <v>#N/A</v>
      </c>
      <c r="AP334" s="7" t="e">
        <f>VLOOKUP(AL334,Personal!$A$2:$I$300,7,FALSE)</f>
        <v>#N/A</v>
      </c>
      <c r="AQ334" s="7" t="e">
        <f>VLOOKUP(AL334,Personal!$A$2:$I$300,8,FALSE)</f>
        <v>#N/A</v>
      </c>
      <c r="AR334" s="7"/>
    </row>
    <row r="335" spans="2:44" x14ac:dyDescent="0.3">
      <c r="B335" s="6">
        <v>330</v>
      </c>
      <c r="C335" s="6"/>
      <c r="D335" s="6"/>
      <c r="E335" s="6"/>
      <c r="F335" s="6"/>
      <c r="G335" s="7"/>
      <c r="H335" s="7"/>
      <c r="I335" s="7"/>
      <c r="J335" s="7"/>
      <c r="K335" s="10"/>
      <c r="L335" s="7"/>
      <c r="M335" s="7"/>
      <c r="N335" s="7"/>
      <c r="O335" s="13"/>
      <c r="P335" s="13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8"/>
      <c r="AI335" s="7"/>
      <c r="AJ335" s="7"/>
      <c r="AK335" s="7"/>
      <c r="AL335" s="10"/>
      <c r="AM335" s="7" t="e">
        <f>VLOOKUP(AL335,Personal!$A$2:$I$300,2,FALSE)</f>
        <v>#N/A</v>
      </c>
      <c r="AN335" s="7" t="e">
        <f>VLOOKUP(AL335,Personal!$A$2:$I$300,3,FALSE)</f>
        <v>#N/A</v>
      </c>
      <c r="AO335" s="7" t="e">
        <f>VLOOKUP(AL335,Personal!$A$2:$I$300,6,FALSE)</f>
        <v>#N/A</v>
      </c>
      <c r="AP335" s="7" t="e">
        <f>VLOOKUP(AL335,Personal!$A$2:$I$300,7,FALSE)</f>
        <v>#N/A</v>
      </c>
      <c r="AQ335" s="7" t="e">
        <f>VLOOKUP(AL335,Personal!$A$2:$I$300,8,FALSE)</f>
        <v>#N/A</v>
      </c>
      <c r="AR335" s="7"/>
    </row>
    <row r="336" spans="2:44" x14ac:dyDescent="0.3">
      <c r="B336" s="6">
        <v>331</v>
      </c>
      <c r="C336" s="6"/>
      <c r="D336" s="6"/>
      <c r="E336" s="6"/>
      <c r="F336" s="6"/>
      <c r="G336" s="7"/>
      <c r="H336" s="7"/>
      <c r="I336" s="7"/>
      <c r="J336" s="7"/>
      <c r="K336" s="10"/>
      <c r="L336" s="7"/>
      <c r="M336" s="7"/>
      <c r="N336" s="7"/>
      <c r="O336" s="13"/>
      <c r="P336" s="13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8"/>
      <c r="AI336" s="7"/>
      <c r="AJ336" s="7"/>
      <c r="AK336" s="7"/>
      <c r="AL336" s="10"/>
      <c r="AM336" s="7" t="e">
        <f>VLOOKUP(AL336,Personal!$A$2:$I$300,2,FALSE)</f>
        <v>#N/A</v>
      </c>
      <c r="AN336" s="7" t="e">
        <f>VLOOKUP(AL336,Personal!$A$2:$I$300,3,FALSE)</f>
        <v>#N/A</v>
      </c>
      <c r="AO336" s="7" t="e">
        <f>VLOOKUP(AL336,Personal!$A$2:$I$300,6,FALSE)</f>
        <v>#N/A</v>
      </c>
      <c r="AP336" s="7" t="e">
        <f>VLOOKUP(AL336,Personal!$A$2:$I$300,7,FALSE)</f>
        <v>#N/A</v>
      </c>
      <c r="AQ336" s="7" t="e">
        <f>VLOOKUP(AL336,Personal!$A$2:$I$300,8,FALSE)</f>
        <v>#N/A</v>
      </c>
      <c r="AR336" s="7"/>
    </row>
    <row r="337" spans="2:44" x14ac:dyDescent="0.3">
      <c r="B337" s="6">
        <v>332</v>
      </c>
      <c r="C337" s="6"/>
      <c r="D337" s="6"/>
      <c r="E337" s="6"/>
      <c r="F337" s="6"/>
      <c r="G337" s="7"/>
      <c r="H337" s="7"/>
      <c r="I337" s="7"/>
      <c r="J337" s="7"/>
      <c r="K337" s="10"/>
      <c r="L337" s="7"/>
      <c r="M337" s="7"/>
      <c r="N337" s="7"/>
      <c r="O337" s="13"/>
      <c r="P337" s="13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8"/>
      <c r="AI337" s="7"/>
      <c r="AJ337" s="7"/>
      <c r="AK337" s="7"/>
      <c r="AL337" s="10"/>
      <c r="AM337" s="7" t="e">
        <f>VLOOKUP(AL337,Personal!$A$2:$I$300,2,FALSE)</f>
        <v>#N/A</v>
      </c>
      <c r="AN337" s="7" t="e">
        <f>VLOOKUP(AL337,Personal!$A$2:$I$300,3,FALSE)</f>
        <v>#N/A</v>
      </c>
      <c r="AO337" s="7" t="e">
        <f>VLOOKUP(AL337,Personal!$A$2:$I$300,6,FALSE)</f>
        <v>#N/A</v>
      </c>
      <c r="AP337" s="7" t="e">
        <f>VLOOKUP(AL337,Personal!$A$2:$I$300,7,FALSE)</f>
        <v>#N/A</v>
      </c>
      <c r="AQ337" s="7" t="e">
        <f>VLOOKUP(AL337,Personal!$A$2:$I$300,8,FALSE)</f>
        <v>#N/A</v>
      </c>
      <c r="AR337" s="7"/>
    </row>
    <row r="338" spans="2:44" x14ac:dyDescent="0.3">
      <c r="B338" s="6">
        <v>333</v>
      </c>
      <c r="C338" s="6"/>
      <c r="D338" s="6"/>
      <c r="E338" s="6"/>
      <c r="F338" s="6"/>
      <c r="G338" s="7"/>
      <c r="H338" s="7"/>
      <c r="I338" s="7"/>
      <c r="J338" s="7"/>
      <c r="K338" s="10"/>
      <c r="L338" s="7"/>
      <c r="M338" s="7"/>
      <c r="N338" s="7"/>
      <c r="O338" s="13"/>
      <c r="P338" s="13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8"/>
      <c r="AI338" s="7"/>
      <c r="AJ338" s="7"/>
      <c r="AK338" s="7"/>
      <c r="AL338" s="10"/>
      <c r="AM338" s="7" t="e">
        <f>VLOOKUP(AL338,Personal!$A$2:$I$300,2,FALSE)</f>
        <v>#N/A</v>
      </c>
      <c r="AN338" s="7" t="e">
        <f>VLOOKUP(AL338,Personal!$A$2:$I$300,3,FALSE)</f>
        <v>#N/A</v>
      </c>
      <c r="AO338" s="7" t="e">
        <f>VLOOKUP(AL338,Personal!$A$2:$I$300,6,FALSE)</f>
        <v>#N/A</v>
      </c>
      <c r="AP338" s="7" t="e">
        <f>VLOOKUP(AL338,Personal!$A$2:$I$300,7,FALSE)</f>
        <v>#N/A</v>
      </c>
      <c r="AQ338" s="7" t="e">
        <f>VLOOKUP(AL338,Personal!$A$2:$I$300,8,FALSE)</f>
        <v>#N/A</v>
      </c>
      <c r="AR338" s="7"/>
    </row>
    <row r="339" spans="2:44" x14ac:dyDescent="0.3">
      <c r="B339" s="6">
        <v>334</v>
      </c>
      <c r="C339" s="6"/>
      <c r="D339" s="6"/>
      <c r="E339" s="6"/>
      <c r="F339" s="6"/>
      <c r="G339" s="7"/>
      <c r="H339" s="7"/>
      <c r="I339" s="7"/>
      <c r="J339" s="7"/>
      <c r="K339" s="10"/>
      <c r="L339" s="7"/>
      <c r="M339" s="7"/>
      <c r="N339" s="7"/>
      <c r="O339" s="13"/>
      <c r="P339" s="13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8"/>
      <c r="AI339" s="7"/>
      <c r="AJ339" s="7"/>
      <c r="AK339" s="7"/>
      <c r="AL339" s="10"/>
      <c r="AM339" s="7" t="e">
        <f>VLOOKUP(AL339,Personal!$A$2:$I$300,2,FALSE)</f>
        <v>#N/A</v>
      </c>
      <c r="AN339" s="7" t="e">
        <f>VLOOKUP(AL339,Personal!$A$2:$I$300,3,FALSE)</f>
        <v>#N/A</v>
      </c>
      <c r="AO339" s="7" t="e">
        <f>VLOOKUP(AL339,Personal!$A$2:$I$300,6,FALSE)</f>
        <v>#N/A</v>
      </c>
      <c r="AP339" s="7" t="e">
        <f>VLOOKUP(AL339,Personal!$A$2:$I$300,7,FALSE)</f>
        <v>#N/A</v>
      </c>
      <c r="AQ339" s="7" t="e">
        <f>VLOOKUP(AL339,Personal!$A$2:$I$300,8,FALSE)</f>
        <v>#N/A</v>
      </c>
      <c r="AR339" s="7"/>
    </row>
    <row r="340" spans="2:44" x14ac:dyDescent="0.3">
      <c r="B340" s="6">
        <v>335</v>
      </c>
      <c r="C340" s="6"/>
      <c r="D340" s="6"/>
      <c r="E340" s="6"/>
      <c r="F340" s="6"/>
      <c r="G340" s="7"/>
      <c r="H340" s="7"/>
      <c r="I340" s="7"/>
      <c r="J340" s="7"/>
      <c r="K340" s="10"/>
      <c r="L340" s="7"/>
      <c r="M340" s="7"/>
      <c r="N340" s="7"/>
      <c r="O340" s="13"/>
      <c r="P340" s="13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8"/>
      <c r="AI340" s="7"/>
      <c r="AJ340" s="7"/>
      <c r="AK340" s="7"/>
      <c r="AL340" s="10"/>
      <c r="AM340" s="7" t="e">
        <f>VLOOKUP(AL340,Personal!$A$2:$I$300,2,FALSE)</f>
        <v>#N/A</v>
      </c>
      <c r="AN340" s="7" t="e">
        <f>VLOOKUP(AL340,Personal!$A$2:$I$300,3,FALSE)</f>
        <v>#N/A</v>
      </c>
      <c r="AO340" s="7" t="e">
        <f>VLOOKUP(AL340,Personal!$A$2:$I$300,6,FALSE)</f>
        <v>#N/A</v>
      </c>
      <c r="AP340" s="7" t="e">
        <f>VLOOKUP(AL340,Personal!$A$2:$I$300,7,FALSE)</f>
        <v>#N/A</v>
      </c>
      <c r="AQ340" s="7" t="e">
        <f>VLOOKUP(AL340,Personal!$A$2:$I$300,8,FALSE)</f>
        <v>#N/A</v>
      </c>
      <c r="AR340" s="7"/>
    </row>
    <row r="341" spans="2:44" x14ac:dyDescent="0.3">
      <c r="B341" s="6">
        <v>336</v>
      </c>
      <c r="C341" s="6"/>
      <c r="D341" s="6"/>
      <c r="E341" s="6"/>
      <c r="F341" s="6"/>
      <c r="G341" s="7"/>
      <c r="H341" s="7"/>
      <c r="I341" s="7"/>
      <c r="J341" s="7"/>
      <c r="K341" s="10"/>
      <c r="L341" s="7"/>
      <c r="M341" s="7"/>
      <c r="N341" s="7"/>
      <c r="O341" s="13"/>
      <c r="P341" s="13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8"/>
      <c r="AI341" s="7"/>
      <c r="AJ341" s="7"/>
      <c r="AK341" s="7"/>
      <c r="AL341" s="10"/>
      <c r="AM341" s="7" t="e">
        <f>VLOOKUP(AL341,Personal!$A$2:$I$300,2,FALSE)</f>
        <v>#N/A</v>
      </c>
      <c r="AN341" s="7" t="e">
        <f>VLOOKUP(AL341,Personal!$A$2:$I$300,3,FALSE)</f>
        <v>#N/A</v>
      </c>
      <c r="AO341" s="7" t="e">
        <f>VLOOKUP(AL341,Personal!$A$2:$I$300,6,FALSE)</f>
        <v>#N/A</v>
      </c>
      <c r="AP341" s="7" t="e">
        <f>VLOOKUP(AL341,Personal!$A$2:$I$300,7,FALSE)</f>
        <v>#N/A</v>
      </c>
      <c r="AQ341" s="7" t="e">
        <f>VLOOKUP(AL341,Personal!$A$2:$I$300,8,FALSE)</f>
        <v>#N/A</v>
      </c>
      <c r="AR341" s="7"/>
    </row>
    <row r="342" spans="2:44" x14ac:dyDescent="0.3">
      <c r="B342" s="6">
        <v>337</v>
      </c>
      <c r="C342" s="6"/>
      <c r="D342" s="6"/>
      <c r="E342" s="6"/>
      <c r="F342" s="6"/>
      <c r="G342" s="7"/>
      <c r="H342" s="7"/>
      <c r="I342" s="7"/>
      <c r="J342" s="7"/>
      <c r="K342" s="10"/>
      <c r="L342" s="7"/>
      <c r="M342" s="7"/>
      <c r="N342" s="7"/>
      <c r="O342" s="13"/>
      <c r="P342" s="13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8"/>
      <c r="AI342" s="7"/>
      <c r="AJ342" s="7"/>
      <c r="AK342" s="7"/>
      <c r="AL342" s="10"/>
      <c r="AM342" s="7" t="e">
        <f>VLOOKUP(AL342,Personal!$A$2:$I$300,2,FALSE)</f>
        <v>#N/A</v>
      </c>
      <c r="AN342" s="7" t="e">
        <f>VLOOKUP(AL342,Personal!$A$2:$I$300,3,FALSE)</f>
        <v>#N/A</v>
      </c>
      <c r="AO342" s="7" t="e">
        <f>VLOOKUP(AL342,Personal!$A$2:$I$300,6,FALSE)</f>
        <v>#N/A</v>
      </c>
      <c r="AP342" s="7" t="e">
        <f>VLOOKUP(AL342,Personal!$A$2:$I$300,7,FALSE)</f>
        <v>#N/A</v>
      </c>
      <c r="AQ342" s="7" t="e">
        <f>VLOOKUP(AL342,Personal!$A$2:$I$300,8,FALSE)</f>
        <v>#N/A</v>
      </c>
      <c r="AR342" s="7"/>
    </row>
    <row r="343" spans="2:44" x14ac:dyDescent="0.3">
      <c r="B343" s="6">
        <v>338</v>
      </c>
      <c r="C343" s="6"/>
      <c r="D343" s="6"/>
      <c r="E343" s="6"/>
      <c r="F343" s="6"/>
      <c r="G343" s="7"/>
      <c r="H343" s="7"/>
      <c r="I343" s="7"/>
      <c r="J343" s="7"/>
      <c r="K343" s="10"/>
      <c r="L343" s="7"/>
      <c r="M343" s="7"/>
      <c r="N343" s="7"/>
      <c r="O343" s="13"/>
      <c r="P343" s="13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8"/>
      <c r="AI343" s="7"/>
      <c r="AJ343" s="7"/>
      <c r="AK343" s="7"/>
      <c r="AL343" s="10"/>
      <c r="AM343" s="7" t="e">
        <f>VLOOKUP(AL343,Personal!$A$2:$I$300,2,FALSE)</f>
        <v>#N/A</v>
      </c>
      <c r="AN343" s="7" t="e">
        <f>VLOOKUP(AL343,Personal!$A$2:$I$300,3,FALSE)</f>
        <v>#N/A</v>
      </c>
      <c r="AO343" s="7" t="e">
        <f>VLOOKUP(AL343,Personal!$A$2:$I$300,6,FALSE)</f>
        <v>#N/A</v>
      </c>
      <c r="AP343" s="7" t="e">
        <f>VLOOKUP(AL343,Personal!$A$2:$I$300,7,FALSE)</f>
        <v>#N/A</v>
      </c>
      <c r="AQ343" s="7" t="e">
        <f>VLOOKUP(AL343,Personal!$A$2:$I$300,8,FALSE)</f>
        <v>#N/A</v>
      </c>
      <c r="AR343" s="7"/>
    </row>
    <row r="344" spans="2:44" x14ac:dyDescent="0.3">
      <c r="B344" s="6">
        <v>339</v>
      </c>
      <c r="C344" s="6"/>
      <c r="D344" s="6"/>
      <c r="E344" s="6"/>
      <c r="F344" s="6"/>
      <c r="G344" s="7"/>
      <c r="H344" s="7"/>
      <c r="I344" s="7"/>
      <c r="J344" s="7"/>
      <c r="K344" s="10"/>
      <c r="L344" s="7"/>
      <c r="M344" s="7"/>
      <c r="N344" s="7"/>
      <c r="O344" s="13"/>
      <c r="P344" s="13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8"/>
      <c r="AI344" s="7"/>
      <c r="AJ344" s="7"/>
      <c r="AK344" s="7"/>
      <c r="AL344" s="10"/>
      <c r="AM344" s="7" t="e">
        <f>VLOOKUP(AL344,Personal!$A$2:$I$300,2,FALSE)</f>
        <v>#N/A</v>
      </c>
      <c r="AN344" s="7" t="e">
        <f>VLOOKUP(AL344,Personal!$A$2:$I$300,3,FALSE)</f>
        <v>#N/A</v>
      </c>
      <c r="AO344" s="7" t="e">
        <f>VLOOKUP(AL344,Personal!$A$2:$I$300,6,FALSE)</f>
        <v>#N/A</v>
      </c>
      <c r="AP344" s="7" t="e">
        <f>VLOOKUP(AL344,Personal!$A$2:$I$300,7,FALSE)</f>
        <v>#N/A</v>
      </c>
      <c r="AQ344" s="7" t="e">
        <f>VLOOKUP(AL344,Personal!$A$2:$I$300,8,FALSE)</f>
        <v>#N/A</v>
      </c>
      <c r="AR344" s="7"/>
    </row>
    <row r="345" spans="2:44" x14ac:dyDescent="0.3">
      <c r="B345" s="6">
        <v>340</v>
      </c>
      <c r="C345" s="6"/>
      <c r="D345" s="6"/>
      <c r="E345" s="6"/>
      <c r="F345" s="6"/>
      <c r="G345" s="7"/>
      <c r="H345" s="7"/>
      <c r="I345" s="7"/>
      <c r="J345" s="7"/>
      <c r="K345" s="10"/>
      <c r="L345" s="7"/>
      <c r="M345" s="7"/>
      <c r="N345" s="7"/>
      <c r="O345" s="13"/>
      <c r="P345" s="13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8"/>
      <c r="AI345" s="7"/>
      <c r="AJ345" s="7"/>
      <c r="AK345" s="7"/>
      <c r="AL345" s="10"/>
      <c r="AM345" s="7" t="e">
        <f>VLOOKUP(AL345,Personal!$A$2:$I$300,2,FALSE)</f>
        <v>#N/A</v>
      </c>
      <c r="AN345" s="7" t="e">
        <f>VLOOKUP(AL345,Personal!$A$2:$I$300,3,FALSE)</f>
        <v>#N/A</v>
      </c>
      <c r="AO345" s="7" t="e">
        <f>VLOOKUP(AL345,Personal!$A$2:$I$300,6,FALSE)</f>
        <v>#N/A</v>
      </c>
      <c r="AP345" s="7" t="e">
        <f>VLOOKUP(AL345,Personal!$A$2:$I$300,7,FALSE)</f>
        <v>#N/A</v>
      </c>
      <c r="AQ345" s="7" t="e">
        <f>VLOOKUP(AL345,Personal!$A$2:$I$300,8,FALSE)</f>
        <v>#N/A</v>
      </c>
      <c r="AR345" s="7"/>
    </row>
    <row r="346" spans="2:44" x14ac:dyDescent="0.3">
      <c r="B346" s="6">
        <v>341</v>
      </c>
      <c r="C346" s="6"/>
      <c r="D346" s="6"/>
      <c r="E346" s="6"/>
      <c r="F346" s="6"/>
      <c r="G346" s="7"/>
      <c r="H346" s="7"/>
      <c r="I346" s="7"/>
      <c r="J346" s="7"/>
      <c r="K346" s="10"/>
      <c r="L346" s="7"/>
      <c r="M346" s="7"/>
      <c r="N346" s="7"/>
      <c r="O346" s="13"/>
      <c r="P346" s="13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8"/>
      <c r="AI346" s="7"/>
      <c r="AJ346" s="7"/>
      <c r="AK346" s="7"/>
      <c r="AL346" s="10"/>
      <c r="AM346" s="7" t="e">
        <f>VLOOKUP(AL346,Personal!$A$2:$I$300,2,FALSE)</f>
        <v>#N/A</v>
      </c>
      <c r="AN346" s="7" t="e">
        <f>VLOOKUP(AL346,Personal!$A$2:$I$300,3,FALSE)</f>
        <v>#N/A</v>
      </c>
      <c r="AO346" s="7" t="e">
        <f>VLOOKUP(AL346,Personal!$A$2:$I$300,6,FALSE)</f>
        <v>#N/A</v>
      </c>
      <c r="AP346" s="7" t="e">
        <f>VLOOKUP(AL346,Personal!$A$2:$I$300,7,FALSE)</f>
        <v>#N/A</v>
      </c>
      <c r="AQ346" s="7" t="e">
        <f>VLOOKUP(AL346,Personal!$A$2:$I$300,8,FALSE)</f>
        <v>#N/A</v>
      </c>
      <c r="AR346" s="7"/>
    </row>
    <row r="347" spans="2:44" x14ac:dyDescent="0.3">
      <c r="B347" s="6">
        <v>342</v>
      </c>
      <c r="C347" s="6"/>
      <c r="D347" s="6"/>
      <c r="E347" s="6"/>
      <c r="F347" s="6"/>
      <c r="G347" s="7"/>
      <c r="H347" s="7"/>
      <c r="I347" s="7"/>
      <c r="J347" s="7"/>
      <c r="K347" s="10"/>
      <c r="L347" s="7"/>
      <c r="M347" s="7"/>
      <c r="N347" s="7"/>
      <c r="O347" s="13"/>
      <c r="P347" s="13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8"/>
      <c r="AI347" s="7"/>
      <c r="AJ347" s="7"/>
      <c r="AK347" s="7"/>
      <c r="AL347" s="10"/>
      <c r="AM347" s="7" t="e">
        <f>VLOOKUP(AL347,Personal!$A$2:$I$300,2,FALSE)</f>
        <v>#N/A</v>
      </c>
      <c r="AN347" s="7" t="e">
        <f>VLOOKUP(AL347,Personal!$A$2:$I$300,3,FALSE)</f>
        <v>#N/A</v>
      </c>
      <c r="AO347" s="7" t="e">
        <f>VLOOKUP(AL347,Personal!$A$2:$I$300,6,FALSE)</f>
        <v>#N/A</v>
      </c>
      <c r="AP347" s="7" t="e">
        <f>VLOOKUP(AL347,Personal!$A$2:$I$300,7,FALSE)</f>
        <v>#N/A</v>
      </c>
      <c r="AQ347" s="7" t="e">
        <f>VLOOKUP(AL347,Personal!$A$2:$I$300,8,FALSE)</f>
        <v>#N/A</v>
      </c>
      <c r="AR347" s="7"/>
    </row>
    <row r="348" spans="2:44" x14ac:dyDescent="0.3">
      <c r="B348" s="6">
        <v>343</v>
      </c>
      <c r="C348" s="6"/>
      <c r="D348" s="6"/>
      <c r="E348" s="6"/>
      <c r="F348" s="6"/>
      <c r="G348" s="7"/>
      <c r="H348" s="7"/>
      <c r="I348" s="7"/>
      <c r="J348" s="7"/>
      <c r="K348" s="10"/>
      <c r="L348" s="7"/>
      <c r="M348" s="7"/>
      <c r="N348" s="7"/>
      <c r="O348" s="13"/>
      <c r="P348" s="13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8"/>
      <c r="AI348" s="7"/>
      <c r="AJ348" s="7"/>
      <c r="AK348" s="7"/>
      <c r="AL348" s="10"/>
      <c r="AM348" s="7" t="e">
        <f>VLOOKUP(AL348,Personal!$A$2:$I$300,2,FALSE)</f>
        <v>#N/A</v>
      </c>
      <c r="AN348" s="7" t="e">
        <f>VLOOKUP(AL348,Personal!$A$2:$I$300,3,FALSE)</f>
        <v>#N/A</v>
      </c>
      <c r="AO348" s="7" t="e">
        <f>VLOOKUP(AL348,Personal!$A$2:$I$300,6,FALSE)</f>
        <v>#N/A</v>
      </c>
      <c r="AP348" s="7" t="e">
        <f>VLOOKUP(AL348,Personal!$A$2:$I$300,7,FALSE)</f>
        <v>#N/A</v>
      </c>
      <c r="AQ348" s="7" t="e">
        <f>VLOOKUP(AL348,Personal!$A$2:$I$300,8,FALSE)</f>
        <v>#N/A</v>
      </c>
      <c r="AR348" s="7"/>
    </row>
    <row r="349" spans="2:44" x14ac:dyDescent="0.3">
      <c r="B349" s="6">
        <v>344</v>
      </c>
      <c r="C349" s="6"/>
      <c r="D349" s="6"/>
      <c r="E349" s="6"/>
      <c r="F349" s="6"/>
      <c r="G349" s="7"/>
      <c r="H349" s="7"/>
      <c r="I349" s="7"/>
      <c r="J349" s="7"/>
      <c r="K349" s="10"/>
      <c r="L349" s="7"/>
      <c r="M349" s="7"/>
      <c r="N349" s="7"/>
      <c r="O349" s="13"/>
      <c r="P349" s="13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8"/>
      <c r="AI349" s="7"/>
      <c r="AJ349" s="7"/>
      <c r="AK349" s="7"/>
      <c r="AL349" s="10"/>
      <c r="AM349" s="7" t="e">
        <f>VLOOKUP(AL349,Personal!$A$2:$I$300,2,FALSE)</f>
        <v>#N/A</v>
      </c>
      <c r="AN349" s="7" t="e">
        <f>VLOOKUP(AL349,Personal!$A$2:$I$300,3,FALSE)</f>
        <v>#N/A</v>
      </c>
      <c r="AO349" s="7" t="e">
        <f>VLOOKUP(AL349,Personal!$A$2:$I$300,6,FALSE)</f>
        <v>#N/A</v>
      </c>
      <c r="AP349" s="7" t="e">
        <f>VLOOKUP(AL349,Personal!$A$2:$I$300,7,FALSE)</f>
        <v>#N/A</v>
      </c>
      <c r="AQ349" s="7" t="e">
        <f>VLOOKUP(AL349,Personal!$A$2:$I$300,8,FALSE)</f>
        <v>#N/A</v>
      </c>
      <c r="AR349" s="7"/>
    </row>
    <row r="350" spans="2:44" x14ac:dyDescent="0.3">
      <c r="B350" s="6">
        <v>345</v>
      </c>
      <c r="C350" s="6"/>
      <c r="D350" s="6"/>
      <c r="E350" s="6"/>
      <c r="F350" s="6"/>
      <c r="G350" s="7"/>
      <c r="H350" s="7"/>
      <c r="I350" s="7"/>
      <c r="J350" s="7"/>
      <c r="K350" s="10"/>
      <c r="L350" s="7"/>
      <c r="M350" s="7"/>
      <c r="N350" s="7"/>
      <c r="O350" s="13"/>
      <c r="P350" s="13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8"/>
      <c r="AI350" s="7"/>
      <c r="AJ350" s="7"/>
      <c r="AK350" s="7"/>
      <c r="AL350" s="10"/>
      <c r="AM350" s="7" t="e">
        <f>VLOOKUP(AL350,Personal!$A$2:$I$300,2,FALSE)</f>
        <v>#N/A</v>
      </c>
      <c r="AN350" s="7" t="e">
        <f>VLOOKUP(AL350,Personal!$A$2:$I$300,3,FALSE)</f>
        <v>#N/A</v>
      </c>
      <c r="AO350" s="7" t="e">
        <f>VLOOKUP(AL350,Personal!$A$2:$I$300,6,FALSE)</f>
        <v>#N/A</v>
      </c>
      <c r="AP350" s="7" t="e">
        <f>VLOOKUP(AL350,Personal!$A$2:$I$300,7,FALSE)</f>
        <v>#N/A</v>
      </c>
      <c r="AQ350" s="7" t="e">
        <f>VLOOKUP(AL350,Personal!$A$2:$I$300,8,FALSE)</f>
        <v>#N/A</v>
      </c>
      <c r="AR350" s="7"/>
    </row>
    <row r="351" spans="2:44" x14ac:dyDescent="0.3">
      <c r="B351" s="6">
        <v>346</v>
      </c>
      <c r="C351" s="6"/>
      <c r="D351" s="6"/>
      <c r="E351" s="6"/>
      <c r="F351" s="6"/>
      <c r="G351" s="7"/>
      <c r="H351" s="7"/>
      <c r="I351" s="7"/>
      <c r="J351" s="7"/>
      <c r="K351" s="10"/>
      <c r="L351" s="7"/>
      <c r="M351" s="7"/>
      <c r="N351" s="7"/>
      <c r="O351" s="13"/>
      <c r="P351" s="13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8"/>
      <c r="AI351" s="7"/>
      <c r="AJ351" s="7"/>
      <c r="AK351" s="7"/>
      <c r="AL351" s="10"/>
      <c r="AM351" s="7" t="e">
        <f>VLOOKUP(AL351,Personal!$A$2:$I$300,2,FALSE)</f>
        <v>#N/A</v>
      </c>
      <c r="AN351" s="7" t="e">
        <f>VLOOKUP(AL351,Personal!$A$2:$I$300,3,FALSE)</f>
        <v>#N/A</v>
      </c>
      <c r="AO351" s="7" t="e">
        <f>VLOOKUP(AL351,Personal!$A$2:$I$300,6,FALSE)</f>
        <v>#N/A</v>
      </c>
      <c r="AP351" s="7" t="e">
        <f>VLOOKUP(AL351,Personal!$A$2:$I$300,7,FALSE)</f>
        <v>#N/A</v>
      </c>
      <c r="AQ351" s="7" t="e">
        <f>VLOOKUP(AL351,Personal!$A$2:$I$300,8,FALSE)</f>
        <v>#N/A</v>
      </c>
      <c r="AR351" s="7"/>
    </row>
    <row r="352" spans="2:44" x14ac:dyDescent="0.3">
      <c r="B352" s="6">
        <v>347</v>
      </c>
      <c r="C352" s="6"/>
      <c r="D352" s="6"/>
      <c r="E352" s="6"/>
      <c r="F352" s="6"/>
      <c r="G352" s="7"/>
      <c r="H352" s="7"/>
      <c r="I352" s="7"/>
      <c r="J352" s="7"/>
      <c r="K352" s="10"/>
      <c r="L352" s="7"/>
      <c r="M352" s="7"/>
      <c r="N352" s="7"/>
      <c r="O352" s="13"/>
      <c r="P352" s="13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8"/>
      <c r="AI352" s="7"/>
      <c r="AJ352" s="7"/>
      <c r="AK352" s="7"/>
      <c r="AL352" s="10"/>
      <c r="AM352" s="7" t="e">
        <f>VLOOKUP(AL352,Personal!$A$2:$I$300,2,FALSE)</f>
        <v>#N/A</v>
      </c>
      <c r="AN352" s="7" t="e">
        <f>VLOOKUP(AL352,Personal!$A$2:$I$300,3,FALSE)</f>
        <v>#N/A</v>
      </c>
      <c r="AO352" s="7" t="e">
        <f>VLOOKUP(AL352,Personal!$A$2:$I$300,6,FALSE)</f>
        <v>#N/A</v>
      </c>
      <c r="AP352" s="7" t="e">
        <f>VLOOKUP(AL352,Personal!$A$2:$I$300,7,FALSE)</f>
        <v>#N/A</v>
      </c>
      <c r="AQ352" s="7" t="e">
        <f>VLOOKUP(AL352,Personal!$A$2:$I$300,8,FALSE)</f>
        <v>#N/A</v>
      </c>
      <c r="AR352" s="7"/>
    </row>
    <row r="353" spans="2:44" x14ac:dyDescent="0.3">
      <c r="B353" s="6">
        <v>348</v>
      </c>
      <c r="C353" s="6"/>
      <c r="D353" s="6"/>
      <c r="E353" s="6"/>
      <c r="F353" s="6"/>
      <c r="G353" s="7"/>
      <c r="H353" s="7"/>
      <c r="I353" s="7"/>
      <c r="J353" s="7"/>
      <c r="K353" s="10"/>
      <c r="L353" s="7"/>
      <c r="M353" s="7"/>
      <c r="N353" s="7"/>
      <c r="O353" s="13"/>
      <c r="P353" s="13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8"/>
      <c r="AI353" s="7"/>
      <c r="AJ353" s="7"/>
      <c r="AK353" s="7"/>
      <c r="AL353" s="10"/>
      <c r="AM353" s="7" t="e">
        <f>VLOOKUP(AL353,Personal!$A$2:$I$300,2,FALSE)</f>
        <v>#N/A</v>
      </c>
      <c r="AN353" s="7" t="e">
        <f>VLOOKUP(AL353,Personal!$A$2:$I$300,3,FALSE)</f>
        <v>#N/A</v>
      </c>
      <c r="AO353" s="7" t="e">
        <f>VLOOKUP(AL353,Personal!$A$2:$I$300,6,FALSE)</f>
        <v>#N/A</v>
      </c>
      <c r="AP353" s="7" t="e">
        <f>VLOOKUP(AL353,Personal!$A$2:$I$300,7,FALSE)</f>
        <v>#N/A</v>
      </c>
      <c r="AQ353" s="7" t="e">
        <f>VLOOKUP(AL353,Personal!$A$2:$I$300,8,FALSE)</f>
        <v>#N/A</v>
      </c>
      <c r="AR353" s="7"/>
    </row>
    <row r="354" spans="2:44" x14ac:dyDescent="0.3">
      <c r="B354" s="6">
        <v>349</v>
      </c>
      <c r="C354" s="6"/>
      <c r="D354" s="6"/>
      <c r="E354" s="6"/>
      <c r="F354" s="6"/>
      <c r="G354" s="7"/>
      <c r="H354" s="7"/>
      <c r="I354" s="7"/>
      <c r="J354" s="7"/>
      <c r="K354" s="10"/>
      <c r="L354" s="7"/>
      <c r="M354" s="7"/>
      <c r="N354" s="7"/>
      <c r="O354" s="13"/>
      <c r="P354" s="13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8"/>
      <c r="AI354" s="7"/>
      <c r="AJ354" s="7"/>
      <c r="AK354" s="7"/>
      <c r="AL354" s="10"/>
      <c r="AM354" s="7" t="e">
        <f>VLOOKUP(AL354,Personal!$A$2:$I$300,2,FALSE)</f>
        <v>#N/A</v>
      </c>
      <c r="AN354" s="7" t="e">
        <f>VLOOKUP(AL354,Personal!$A$2:$I$300,3,FALSE)</f>
        <v>#N/A</v>
      </c>
      <c r="AO354" s="7" t="e">
        <f>VLOOKUP(AL354,Personal!$A$2:$I$300,6,FALSE)</f>
        <v>#N/A</v>
      </c>
      <c r="AP354" s="7" t="e">
        <f>VLOOKUP(AL354,Personal!$A$2:$I$300,7,FALSE)</f>
        <v>#N/A</v>
      </c>
      <c r="AQ354" s="7" t="e">
        <f>VLOOKUP(AL354,Personal!$A$2:$I$300,8,FALSE)</f>
        <v>#N/A</v>
      </c>
      <c r="AR354" s="7"/>
    </row>
    <row r="355" spans="2:44" x14ac:dyDescent="0.3">
      <c r="B355" s="6">
        <v>350</v>
      </c>
      <c r="C355" s="6"/>
      <c r="D355" s="6"/>
      <c r="E355" s="6"/>
      <c r="F355" s="6"/>
      <c r="G355" s="7"/>
      <c r="H355" s="7"/>
      <c r="I355" s="7"/>
      <c r="J355" s="7"/>
      <c r="K355" s="10"/>
      <c r="L355" s="7"/>
      <c r="M355" s="7"/>
      <c r="N355" s="7"/>
      <c r="O355" s="13"/>
      <c r="P355" s="13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8"/>
      <c r="AI355" s="7"/>
      <c r="AJ355" s="7"/>
      <c r="AK355" s="7"/>
      <c r="AL355" s="10"/>
      <c r="AM355" s="7" t="e">
        <f>VLOOKUP(AL355,Personal!$A$2:$I$300,2,FALSE)</f>
        <v>#N/A</v>
      </c>
      <c r="AN355" s="7" t="e">
        <f>VLOOKUP(AL355,Personal!$A$2:$I$300,3,FALSE)</f>
        <v>#N/A</v>
      </c>
      <c r="AO355" s="7" t="e">
        <f>VLOOKUP(AL355,Personal!$A$2:$I$300,6,FALSE)</f>
        <v>#N/A</v>
      </c>
      <c r="AP355" s="7" t="e">
        <f>VLOOKUP(AL355,Personal!$A$2:$I$300,7,FALSE)</f>
        <v>#N/A</v>
      </c>
      <c r="AQ355" s="7" t="e">
        <f>VLOOKUP(AL355,Personal!$A$2:$I$300,8,FALSE)</f>
        <v>#N/A</v>
      </c>
      <c r="AR355" s="7"/>
    </row>
    <row r="356" spans="2:44" x14ac:dyDescent="0.3">
      <c r="B356" s="6">
        <v>351</v>
      </c>
      <c r="C356" s="6"/>
      <c r="D356" s="6"/>
      <c r="E356" s="6"/>
      <c r="F356" s="6"/>
      <c r="G356" s="7"/>
      <c r="H356" s="7"/>
      <c r="I356" s="7"/>
      <c r="J356" s="7"/>
      <c r="K356" s="10"/>
      <c r="L356" s="7"/>
      <c r="M356" s="7"/>
      <c r="N356" s="7"/>
      <c r="O356" s="13"/>
      <c r="P356" s="13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8"/>
      <c r="AI356" s="7"/>
      <c r="AJ356" s="7"/>
      <c r="AK356" s="7"/>
      <c r="AL356" s="10"/>
      <c r="AM356" s="7" t="e">
        <f>VLOOKUP(AL356,Personal!$A$2:$I$300,2,FALSE)</f>
        <v>#N/A</v>
      </c>
      <c r="AN356" s="7" t="e">
        <f>VLOOKUP(AL356,Personal!$A$2:$I$300,3,FALSE)</f>
        <v>#N/A</v>
      </c>
      <c r="AO356" s="7" t="e">
        <f>VLOOKUP(AL356,Personal!$A$2:$I$300,6,FALSE)</f>
        <v>#N/A</v>
      </c>
      <c r="AP356" s="7" t="e">
        <f>VLOOKUP(AL356,Personal!$A$2:$I$300,7,FALSE)</f>
        <v>#N/A</v>
      </c>
      <c r="AQ356" s="7" t="e">
        <f>VLOOKUP(AL356,Personal!$A$2:$I$300,8,FALSE)</f>
        <v>#N/A</v>
      </c>
      <c r="AR356" s="7"/>
    </row>
    <row r="357" spans="2:44" x14ac:dyDescent="0.3">
      <c r="B357" s="6">
        <v>352</v>
      </c>
      <c r="C357" s="6"/>
      <c r="D357" s="6"/>
      <c r="E357" s="6"/>
      <c r="F357" s="6"/>
      <c r="G357" s="7"/>
      <c r="H357" s="7"/>
      <c r="I357" s="7"/>
      <c r="J357" s="7"/>
      <c r="K357" s="10"/>
      <c r="L357" s="7"/>
      <c r="M357" s="7"/>
      <c r="N357" s="7"/>
      <c r="O357" s="13"/>
      <c r="P357" s="13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8"/>
      <c r="AI357" s="7"/>
      <c r="AJ357" s="7"/>
      <c r="AK357" s="7"/>
      <c r="AL357" s="10"/>
      <c r="AM357" s="7" t="e">
        <f>VLOOKUP(AL357,Personal!$A$2:$I$300,2,FALSE)</f>
        <v>#N/A</v>
      </c>
      <c r="AN357" s="7" t="e">
        <f>VLOOKUP(AL357,Personal!$A$2:$I$300,3,FALSE)</f>
        <v>#N/A</v>
      </c>
      <c r="AO357" s="7" t="e">
        <f>VLOOKUP(AL357,Personal!$A$2:$I$300,6,FALSE)</f>
        <v>#N/A</v>
      </c>
      <c r="AP357" s="7" t="e">
        <f>VLOOKUP(AL357,Personal!$A$2:$I$300,7,FALSE)</f>
        <v>#N/A</v>
      </c>
      <c r="AQ357" s="7" t="e">
        <f>VLOOKUP(AL357,Personal!$A$2:$I$300,8,FALSE)</f>
        <v>#N/A</v>
      </c>
      <c r="AR357" s="7"/>
    </row>
    <row r="358" spans="2:44" x14ac:dyDescent="0.3">
      <c r="B358" s="6">
        <v>353</v>
      </c>
      <c r="C358" s="6"/>
      <c r="D358" s="6"/>
      <c r="E358" s="6"/>
      <c r="F358" s="6"/>
      <c r="G358" s="7"/>
      <c r="H358" s="7"/>
      <c r="I358" s="7"/>
      <c r="J358" s="7"/>
      <c r="K358" s="10"/>
      <c r="L358" s="7"/>
      <c r="M358" s="7"/>
      <c r="N358" s="7"/>
      <c r="O358" s="13"/>
      <c r="P358" s="13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8"/>
      <c r="AI358" s="7"/>
      <c r="AJ358" s="7"/>
      <c r="AK358" s="7"/>
      <c r="AL358" s="10"/>
      <c r="AM358" s="7" t="e">
        <f>VLOOKUP(AL358,Personal!$A$2:$I$300,2,FALSE)</f>
        <v>#N/A</v>
      </c>
      <c r="AN358" s="7" t="e">
        <f>VLOOKUP(AL358,Personal!$A$2:$I$300,3,FALSE)</f>
        <v>#N/A</v>
      </c>
      <c r="AO358" s="7" t="e">
        <f>VLOOKUP(AL358,Personal!$A$2:$I$300,6,FALSE)</f>
        <v>#N/A</v>
      </c>
      <c r="AP358" s="7" t="e">
        <f>VLOOKUP(AL358,Personal!$A$2:$I$300,7,FALSE)</f>
        <v>#N/A</v>
      </c>
      <c r="AQ358" s="7" t="e">
        <f>VLOOKUP(AL358,Personal!$A$2:$I$300,8,FALSE)</f>
        <v>#N/A</v>
      </c>
      <c r="AR358" s="7"/>
    </row>
    <row r="359" spans="2:44" x14ac:dyDescent="0.3">
      <c r="B359" s="6">
        <v>354</v>
      </c>
      <c r="C359" s="6"/>
      <c r="D359" s="6"/>
      <c r="E359" s="6"/>
      <c r="F359" s="6"/>
      <c r="G359" s="7"/>
      <c r="H359" s="7"/>
      <c r="I359" s="7"/>
      <c r="J359" s="7"/>
      <c r="K359" s="10"/>
      <c r="L359" s="7"/>
      <c r="M359" s="7"/>
      <c r="N359" s="7"/>
      <c r="O359" s="13"/>
      <c r="P359" s="13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8"/>
      <c r="AI359" s="7"/>
      <c r="AJ359" s="7"/>
      <c r="AK359" s="7"/>
      <c r="AL359" s="10"/>
      <c r="AM359" s="7" t="e">
        <f>VLOOKUP(AL359,Personal!$A$2:$I$300,2,FALSE)</f>
        <v>#N/A</v>
      </c>
      <c r="AN359" s="7" t="e">
        <f>VLOOKUP(AL359,Personal!$A$2:$I$300,3,FALSE)</f>
        <v>#N/A</v>
      </c>
      <c r="AO359" s="7" t="e">
        <f>VLOOKUP(AL359,Personal!$A$2:$I$300,6,FALSE)</f>
        <v>#N/A</v>
      </c>
      <c r="AP359" s="7" t="e">
        <f>VLOOKUP(AL359,Personal!$A$2:$I$300,7,FALSE)</f>
        <v>#N/A</v>
      </c>
      <c r="AQ359" s="7" t="e">
        <f>VLOOKUP(AL359,Personal!$A$2:$I$300,8,FALSE)</f>
        <v>#N/A</v>
      </c>
      <c r="AR359" s="7"/>
    </row>
    <row r="360" spans="2:44" x14ac:dyDescent="0.3">
      <c r="B360" s="6">
        <v>355</v>
      </c>
      <c r="C360" s="6"/>
      <c r="D360" s="6"/>
      <c r="E360" s="6"/>
      <c r="F360" s="6"/>
      <c r="G360" s="7"/>
      <c r="H360" s="7"/>
      <c r="I360" s="7"/>
      <c r="J360" s="7"/>
      <c r="K360" s="10"/>
      <c r="L360" s="7"/>
      <c r="M360" s="7"/>
      <c r="N360" s="7"/>
      <c r="O360" s="13"/>
      <c r="P360" s="13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8"/>
      <c r="AI360" s="7"/>
      <c r="AJ360" s="7"/>
      <c r="AK360" s="7"/>
      <c r="AL360" s="10"/>
      <c r="AM360" s="7" t="e">
        <f>VLOOKUP(AL360,Personal!$A$2:$I$300,2,FALSE)</f>
        <v>#N/A</v>
      </c>
      <c r="AN360" s="7" t="e">
        <f>VLOOKUP(AL360,Personal!$A$2:$I$300,3,FALSE)</f>
        <v>#N/A</v>
      </c>
      <c r="AO360" s="7" t="e">
        <f>VLOOKUP(AL360,Personal!$A$2:$I$300,6,FALSE)</f>
        <v>#N/A</v>
      </c>
      <c r="AP360" s="7" t="e">
        <f>VLOOKUP(AL360,Personal!$A$2:$I$300,7,FALSE)</f>
        <v>#N/A</v>
      </c>
      <c r="AQ360" s="7" t="e">
        <f>VLOOKUP(AL360,Personal!$A$2:$I$300,8,FALSE)</f>
        <v>#N/A</v>
      </c>
      <c r="AR360" s="7"/>
    </row>
    <row r="361" spans="2:44" x14ac:dyDescent="0.3">
      <c r="B361" s="6">
        <v>356</v>
      </c>
      <c r="C361" s="6"/>
      <c r="D361" s="6"/>
      <c r="E361" s="6"/>
      <c r="F361" s="6"/>
      <c r="G361" s="7"/>
      <c r="H361" s="7"/>
      <c r="I361" s="7"/>
      <c r="J361" s="7"/>
      <c r="K361" s="10"/>
      <c r="L361" s="7"/>
      <c r="M361" s="7"/>
      <c r="N361" s="7"/>
      <c r="O361" s="13"/>
      <c r="P361" s="13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8"/>
      <c r="AI361" s="7"/>
      <c r="AJ361" s="7"/>
      <c r="AK361" s="7"/>
      <c r="AL361" s="10"/>
      <c r="AM361" s="7" t="e">
        <f>VLOOKUP(AL361,Personal!$A$2:$I$300,2,FALSE)</f>
        <v>#N/A</v>
      </c>
      <c r="AN361" s="7" t="e">
        <f>VLOOKUP(AL361,Personal!$A$2:$I$300,3,FALSE)</f>
        <v>#N/A</v>
      </c>
      <c r="AO361" s="7" t="e">
        <f>VLOOKUP(AL361,Personal!$A$2:$I$300,6,FALSE)</f>
        <v>#N/A</v>
      </c>
      <c r="AP361" s="7" t="e">
        <f>VLOOKUP(AL361,Personal!$A$2:$I$300,7,FALSE)</f>
        <v>#N/A</v>
      </c>
      <c r="AQ361" s="7" t="e">
        <f>VLOOKUP(AL361,Personal!$A$2:$I$300,8,FALSE)</f>
        <v>#N/A</v>
      </c>
      <c r="AR361" s="7"/>
    </row>
    <row r="362" spans="2:44" x14ac:dyDescent="0.3">
      <c r="B362" s="6">
        <v>357</v>
      </c>
      <c r="C362" s="6"/>
      <c r="D362" s="6"/>
      <c r="E362" s="6"/>
      <c r="F362" s="6"/>
      <c r="G362" s="7"/>
      <c r="H362" s="7"/>
      <c r="I362" s="7"/>
      <c r="J362" s="7"/>
      <c r="K362" s="10"/>
      <c r="L362" s="7"/>
      <c r="M362" s="7"/>
      <c r="N362" s="7"/>
      <c r="O362" s="13"/>
      <c r="P362" s="13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8"/>
      <c r="AI362" s="7"/>
      <c r="AJ362" s="7"/>
      <c r="AK362" s="7"/>
      <c r="AL362" s="10"/>
      <c r="AM362" s="7" t="e">
        <f>VLOOKUP(AL362,Personal!$A$2:$I$300,2,FALSE)</f>
        <v>#N/A</v>
      </c>
      <c r="AN362" s="7" t="e">
        <f>VLOOKUP(AL362,Personal!$A$2:$I$300,3,FALSE)</f>
        <v>#N/A</v>
      </c>
      <c r="AO362" s="7" t="e">
        <f>VLOOKUP(AL362,Personal!$A$2:$I$300,6,FALSE)</f>
        <v>#N/A</v>
      </c>
      <c r="AP362" s="7" t="e">
        <f>VLOOKUP(AL362,Personal!$A$2:$I$300,7,FALSE)</f>
        <v>#N/A</v>
      </c>
      <c r="AQ362" s="7" t="e">
        <f>VLOOKUP(AL362,Personal!$A$2:$I$300,8,FALSE)</f>
        <v>#N/A</v>
      </c>
      <c r="AR362" s="7"/>
    </row>
    <row r="363" spans="2:44" x14ac:dyDescent="0.3">
      <c r="B363" s="6">
        <v>358</v>
      </c>
      <c r="C363" s="6"/>
      <c r="D363" s="6"/>
      <c r="E363" s="6"/>
      <c r="F363" s="6"/>
      <c r="G363" s="7"/>
      <c r="H363" s="7"/>
      <c r="I363" s="7"/>
      <c r="J363" s="7"/>
      <c r="K363" s="10"/>
      <c r="L363" s="7"/>
      <c r="M363" s="7"/>
      <c r="N363" s="7"/>
      <c r="O363" s="13"/>
      <c r="P363" s="13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8"/>
      <c r="AI363" s="7"/>
      <c r="AJ363" s="7"/>
      <c r="AK363" s="7"/>
      <c r="AL363" s="10"/>
      <c r="AM363" s="7" t="e">
        <f>VLOOKUP(AL363,Personal!$A$2:$I$300,2,FALSE)</f>
        <v>#N/A</v>
      </c>
      <c r="AN363" s="7" t="e">
        <f>VLOOKUP(AL363,Personal!$A$2:$I$300,3,FALSE)</f>
        <v>#N/A</v>
      </c>
      <c r="AO363" s="7" t="e">
        <f>VLOOKUP(AL363,Personal!$A$2:$I$300,6,FALSE)</f>
        <v>#N/A</v>
      </c>
      <c r="AP363" s="7" t="e">
        <f>VLOOKUP(AL363,Personal!$A$2:$I$300,7,FALSE)</f>
        <v>#N/A</v>
      </c>
      <c r="AQ363" s="7" t="e">
        <f>VLOOKUP(AL363,Personal!$A$2:$I$300,8,FALSE)</f>
        <v>#N/A</v>
      </c>
      <c r="AR363" s="7"/>
    </row>
    <row r="364" spans="2:44" x14ac:dyDescent="0.3">
      <c r="B364" s="6">
        <v>359</v>
      </c>
      <c r="C364" s="6"/>
      <c r="D364" s="6"/>
      <c r="E364" s="6"/>
      <c r="F364" s="6"/>
      <c r="G364" s="7"/>
      <c r="H364" s="7"/>
      <c r="I364" s="7"/>
      <c r="J364" s="7"/>
      <c r="K364" s="10"/>
      <c r="L364" s="7"/>
      <c r="M364" s="7"/>
      <c r="N364" s="7"/>
      <c r="O364" s="13"/>
      <c r="P364" s="13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8"/>
      <c r="AI364" s="7"/>
      <c r="AJ364" s="7"/>
      <c r="AK364" s="7"/>
      <c r="AL364" s="10"/>
      <c r="AM364" s="7" t="e">
        <f>VLOOKUP(AL364,Personal!$A$2:$I$300,2,FALSE)</f>
        <v>#N/A</v>
      </c>
      <c r="AN364" s="7" t="e">
        <f>VLOOKUP(AL364,Personal!$A$2:$I$300,3,FALSE)</f>
        <v>#N/A</v>
      </c>
      <c r="AO364" s="7" t="e">
        <f>VLOOKUP(AL364,Personal!$A$2:$I$300,6,FALSE)</f>
        <v>#N/A</v>
      </c>
      <c r="AP364" s="7" t="e">
        <f>VLOOKUP(AL364,Personal!$A$2:$I$300,7,FALSE)</f>
        <v>#N/A</v>
      </c>
      <c r="AQ364" s="7" t="e">
        <f>VLOOKUP(AL364,Personal!$A$2:$I$300,8,FALSE)</f>
        <v>#N/A</v>
      </c>
      <c r="AR364" s="7"/>
    </row>
    <row r="365" spans="2:44" x14ac:dyDescent="0.3">
      <c r="B365" s="6">
        <v>360</v>
      </c>
      <c r="C365" s="6"/>
      <c r="D365" s="6"/>
      <c r="E365" s="6"/>
      <c r="F365" s="6"/>
      <c r="G365" s="7"/>
      <c r="H365" s="7"/>
      <c r="I365" s="7"/>
      <c r="J365" s="7"/>
      <c r="K365" s="10"/>
      <c r="L365" s="7"/>
      <c r="M365" s="7"/>
      <c r="N365" s="7"/>
      <c r="O365" s="13"/>
      <c r="P365" s="13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8"/>
      <c r="AI365" s="7"/>
      <c r="AJ365" s="7"/>
      <c r="AK365" s="7"/>
      <c r="AL365" s="10"/>
      <c r="AM365" s="7" t="e">
        <f>VLOOKUP(AL365,Personal!$A$2:$I$300,2,FALSE)</f>
        <v>#N/A</v>
      </c>
      <c r="AN365" s="7" t="e">
        <f>VLOOKUP(AL365,Personal!$A$2:$I$300,3,FALSE)</f>
        <v>#N/A</v>
      </c>
      <c r="AO365" s="7" t="e">
        <f>VLOOKUP(AL365,Personal!$A$2:$I$300,6,FALSE)</f>
        <v>#N/A</v>
      </c>
      <c r="AP365" s="7" t="e">
        <f>VLOOKUP(AL365,Personal!$A$2:$I$300,7,FALSE)</f>
        <v>#N/A</v>
      </c>
      <c r="AQ365" s="7" t="e">
        <f>VLOOKUP(AL365,Personal!$A$2:$I$300,8,FALSE)</f>
        <v>#N/A</v>
      </c>
      <c r="AR365" s="7"/>
    </row>
    <row r="366" spans="2:44" x14ac:dyDescent="0.3">
      <c r="B366" s="6">
        <v>361</v>
      </c>
      <c r="C366" s="6"/>
      <c r="D366" s="6"/>
      <c r="E366" s="6"/>
      <c r="F366" s="6"/>
      <c r="G366" s="7"/>
      <c r="H366" s="7"/>
      <c r="I366" s="7"/>
      <c r="J366" s="7"/>
      <c r="K366" s="10"/>
      <c r="L366" s="7"/>
      <c r="M366" s="7"/>
      <c r="N366" s="7"/>
      <c r="O366" s="13"/>
      <c r="P366" s="13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8"/>
      <c r="AI366" s="7"/>
      <c r="AJ366" s="7"/>
      <c r="AK366" s="7"/>
      <c r="AL366" s="10"/>
      <c r="AM366" s="7" t="e">
        <f>VLOOKUP(AL366,Personal!$A$2:$I$300,2,FALSE)</f>
        <v>#N/A</v>
      </c>
      <c r="AN366" s="7" t="e">
        <f>VLOOKUP(AL366,Personal!$A$2:$I$300,3,FALSE)</f>
        <v>#N/A</v>
      </c>
      <c r="AO366" s="7" t="e">
        <f>VLOOKUP(AL366,Personal!$A$2:$I$300,6,FALSE)</f>
        <v>#N/A</v>
      </c>
      <c r="AP366" s="7" t="e">
        <f>VLOOKUP(AL366,Personal!$A$2:$I$300,7,FALSE)</f>
        <v>#N/A</v>
      </c>
      <c r="AQ366" s="7" t="e">
        <f>VLOOKUP(AL366,Personal!$A$2:$I$300,8,FALSE)</f>
        <v>#N/A</v>
      </c>
      <c r="AR366" s="7"/>
    </row>
    <row r="367" spans="2:44" x14ac:dyDescent="0.3">
      <c r="B367" s="6">
        <v>362</v>
      </c>
      <c r="C367" s="6"/>
      <c r="D367" s="6"/>
      <c r="E367" s="6"/>
      <c r="F367" s="6"/>
      <c r="G367" s="7"/>
      <c r="H367" s="7"/>
      <c r="I367" s="7"/>
      <c r="J367" s="7"/>
      <c r="K367" s="10"/>
      <c r="L367" s="7"/>
      <c r="M367" s="7"/>
      <c r="N367" s="7"/>
      <c r="O367" s="13"/>
      <c r="P367" s="13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8"/>
      <c r="AI367" s="7"/>
      <c r="AJ367" s="7"/>
      <c r="AK367" s="7"/>
      <c r="AL367" s="10"/>
      <c r="AM367" s="7" t="e">
        <f>VLOOKUP(AL367,Personal!$A$2:$I$300,2,FALSE)</f>
        <v>#N/A</v>
      </c>
      <c r="AN367" s="7" t="e">
        <f>VLOOKUP(AL367,Personal!$A$2:$I$300,3,FALSE)</f>
        <v>#N/A</v>
      </c>
      <c r="AO367" s="7" t="e">
        <f>VLOOKUP(AL367,Personal!$A$2:$I$300,6,FALSE)</f>
        <v>#N/A</v>
      </c>
      <c r="AP367" s="7" t="e">
        <f>VLOOKUP(AL367,Personal!$A$2:$I$300,7,FALSE)</f>
        <v>#N/A</v>
      </c>
      <c r="AQ367" s="7" t="e">
        <f>VLOOKUP(AL367,Personal!$A$2:$I$300,8,FALSE)</f>
        <v>#N/A</v>
      </c>
      <c r="AR367" s="7"/>
    </row>
    <row r="368" spans="2:44" x14ac:dyDescent="0.3">
      <c r="B368" s="6">
        <v>363</v>
      </c>
      <c r="C368" s="6"/>
      <c r="D368" s="6"/>
      <c r="E368" s="6"/>
      <c r="F368" s="6"/>
      <c r="G368" s="7"/>
      <c r="H368" s="7"/>
      <c r="I368" s="7"/>
      <c r="J368" s="7"/>
      <c r="K368" s="10"/>
      <c r="L368" s="7"/>
      <c r="M368" s="7"/>
      <c r="N368" s="7"/>
      <c r="O368" s="13"/>
      <c r="P368" s="13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8"/>
      <c r="AI368" s="7"/>
      <c r="AJ368" s="7"/>
      <c r="AK368" s="7"/>
      <c r="AL368" s="10"/>
      <c r="AM368" s="7" t="e">
        <f>VLOOKUP(AL368,Personal!$A$2:$I$300,2,FALSE)</f>
        <v>#N/A</v>
      </c>
      <c r="AN368" s="7" t="e">
        <f>VLOOKUP(AL368,Personal!$A$2:$I$300,3,FALSE)</f>
        <v>#N/A</v>
      </c>
      <c r="AO368" s="7" t="e">
        <f>VLOOKUP(AL368,Personal!$A$2:$I$300,6,FALSE)</f>
        <v>#N/A</v>
      </c>
      <c r="AP368" s="7" t="e">
        <f>VLOOKUP(AL368,Personal!$A$2:$I$300,7,FALSE)</f>
        <v>#N/A</v>
      </c>
      <c r="AQ368" s="7" t="e">
        <f>VLOOKUP(AL368,Personal!$A$2:$I$300,8,FALSE)</f>
        <v>#N/A</v>
      </c>
      <c r="AR368" s="7"/>
    </row>
    <row r="369" spans="2:44" x14ac:dyDescent="0.3">
      <c r="B369" s="6">
        <v>364</v>
      </c>
      <c r="C369" s="6"/>
      <c r="D369" s="6"/>
      <c r="E369" s="6"/>
      <c r="F369" s="6"/>
      <c r="G369" s="7"/>
      <c r="H369" s="7"/>
      <c r="I369" s="7"/>
      <c r="J369" s="7"/>
      <c r="K369" s="10"/>
      <c r="L369" s="7"/>
      <c r="M369" s="7"/>
      <c r="N369" s="7"/>
      <c r="O369" s="13"/>
      <c r="P369" s="13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8"/>
      <c r="AI369" s="7"/>
      <c r="AJ369" s="7"/>
      <c r="AK369" s="7"/>
      <c r="AL369" s="10"/>
      <c r="AM369" s="7" t="e">
        <f>VLOOKUP(AL369,Personal!$A$2:$I$300,2,FALSE)</f>
        <v>#N/A</v>
      </c>
      <c r="AN369" s="7" t="e">
        <f>VLOOKUP(AL369,Personal!$A$2:$I$300,3,FALSE)</f>
        <v>#N/A</v>
      </c>
      <c r="AO369" s="7" t="e">
        <f>VLOOKUP(AL369,Personal!$A$2:$I$300,6,FALSE)</f>
        <v>#N/A</v>
      </c>
      <c r="AP369" s="7" t="e">
        <f>VLOOKUP(AL369,Personal!$A$2:$I$300,7,FALSE)</f>
        <v>#N/A</v>
      </c>
      <c r="AQ369" s="7" t="e">
        <f>VLOOKUP(AL369,Personal!$A$2:$I$300,8,FALSE)</f>
        <v>#N/A</v>
      </c>
      <c r="AR369" s="7"/>
    </row>
    <row r="370" spans="2:44" x14ac:dyDescent="0.3">
      <c r="B370" s="6">
        <v>365</v>
      </c>
      <c r="C370" s="6"/>
      <c r="D370" s="6"/>
      <c r="E370" s="6"/>
      <c r="F370" s="6"/>
      <c r="G370" s="7"/>
      <c r="H370" s="7"/>
      <c r="I370" s="7"/>
      <c r="J370" s="7"/>
      <c r="K370" s="10"/>
      <c r="L370" s="7"/>
      <c r="M370" s="7"/>
      <c r="N370" s="7"/>
      <c r="O370" s="13"/>
      <c r="P370" s="13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8"/>
      <c r="AI370" s="7"/>
      <c r="AJ370" s="7"/>
      <c r="AK370" s="7"/>
      <c r="AL370" s="10"/>
      <c r="AM370" s="7" t="e">
        <f>VLOOKUP(AL370,Personal!$A$2:$I$300,2,FALSE)</f>
        <v>#N/A</v>
      </c>
      <c r="AN370" s="7" t="e">
        <f>VLOOKUP(AL370,Personal!$A$2:$I$300,3,FALSE)</f>
        <v>#N/A</v>
      </c>
      <c r="AO370" s="7" t="e">
        <f>VLOOKUP(AL370,Personal!$A$2:$I$300,6,FALSE)</f>
        <v>#N/A</v>
      </c>
      <c r="AP370" s="7" t="e">
        <f>VLOOKUP(AL370,Personal!$A$2:$I$300,7,FALSE)</f>
        <v>#N/A</v>
      </c>
      <c r="AQ370" s="7" t="e">
        <f>VLOOKUP(AL370,Personal!$A$2:$I$300,8,FALSE)</f>
        <v>#N/A</v>
      </c>
      <c r="AR370" s="7"/>
    </row>
    <row r="371" spans="2:44" x14ac:dyDescent="0.3">
      <c r="B371" s="6">
        <v>366</v>
      </c>
      <c r="C371" s="6"/>
      <c r="D371" s="6"/>
      <c r="E371" s="6"/>
      <c r="F371" s="6"/>
      <c r="G371" s="7"/>
      <c r="H371" s="7"/>
      <c r="I371" s="7"/>
      <c r="J371" s="7"/>
      <c r="K371" s="10"/>
      <c r="L371" s="7"/>
      <c r="M371" s="7"/>
      <c r="N371" s="7"/>
      <c r="O371" s="13"/>
      <c r="P371" s="13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8"/>
      <c r="AI371" s="7"/>
      <c r="AJ371" s="7"/>
      <c r="AK371" s="7"/>
      <c r="AL371" s="10"/>
      <c r="AM371" s="7" t="e">
        <f>VLOOKUP(AL371,Personal!$A$2:$I$300,2,FALSE)</f>
        <v>#N/A</v>
      </c>
      <c r="AN371" s="7" t="e">
        <f>VLOOKUP(AL371,Personal!$A$2:$I$300,3,FALSE)</f>
        <v>#N/A</v>
      </c>
      <c r="AO371" s="7" t="e">
        <f>VLOOKUP(AL371,Personal!$A$2:$I$300,6,FALSE)</f>
        <v>#N/A</v>
      </c>
      <c r="AP371" s="7" t="e">
        <f>VLOOKUP(AL371,Personal!$A$2:$I$300,7,FALSE)</f>
        <v>#N/A</v>
      </c>
      <c r="AQ371" s="7" t="e">
        <f>VLOOKUP(AL371,Personal!$A$2:$I$300,8,FALSE)</f>
        <v>#N/A</v>
      </c>
      <c r="AR371" s="7"/>
    </row>
    <row r="372" spans="2:44" x14ac:dyDescent="0.3">
      <c r="B372" s="6">
        <v>367</v>
      </c>
      <c r="C372" s="6"/>
      <c r="D372" s="6"/>
      <c r="E372" s="6"/>
      <c r="F372" s="6"/>
      <c r="G372" s="7"/>
      <c r="H372" s="7"/>
      <c r="I372" s="7"/>
      <c r="J372" s="7"/>
      <c r="K372" s="10"/>
      <c r="L372" s="7"/>
      <c r="M372" s="7"/>
      <c r="N372" s="7"/>
      <c r="O372" s="13"/>
      <c r="P372" s="13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8"/>
      <c r="AI372" s="7"/>
      <c r="AJ372" s="7"/>
      <c r="AK372" s="7"/>
      <c r="AL372" s="10"/>
      <c r="AM372" s="7" t="e">
        <f>VLOOKUP(AL372,Personal!$A$2:$I$300,2,FALSE)</f>
        <v>#N/A</v>
      </c>
      <c r="AN372" s="7" t="e">
        <f>VLOOKUP(AL372,Personal!$A$2:$I$300,3,FALSE)</f>
        <v>#N/A</v>
      </c>
      <c r="AO372" s="7" t="e">
        <f>VLOOKUP(AL372,Personal!$A$2:$I$300,6,FALSE)</f>
        <v>#N/A</v>
      </c>
      <c r="AP372" s="7" t="e">
        <f>VLOOKUP(AL372,Personal!$A$2:$I$300,7,FALSE)</f>
        <v>#N/A</v>
      </c>
      <c r="AQ372" s="7" t="e">
        <f>VLOOKUP(AL372,Personal!$A$2:$I$300,8,FALSE)</f>
        <v>#N/A</v>
      </c>
      <c r="AR372" s="7"/>
    </row>
    <row r="373" spans="2:44" x14ac:dyDescent="0.3">
      <c r="B373" s="6">
        <v>368</v>
      </c>
      <c r="C373" s="6"/>
      <c r="D373" s="6"/>
      <c r="E373" s="6"/>
      <c r="F373" s="6"/>
      <c r="G373" s="7"/>
      <c r="H373" s="7"/>
      <c r="I373" s="7"/>
      <c r="J373" s="7"/>
      <c r="K373" s="10"/>
      <c r="L373" s="7"/>
      <c r="M373" s="7"/>
      <c r="N373" s="7"/>
      <c r="O373" s="13"/>
      <c r="P373" s="13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8"/>
      <c r="AI373" s="7"/>
      <c r="AJ373" s="7"/>
      <c r="AK373" s="7"/>
      <c r="AL373" s="10"/>
      <c r="AM373" s="7" t="e">
        <f>VLOOKUP(AL373,Personal!$A$2:$I$300,2,FALSE)</f>
        <v>#N/A</v>
      </c>
      <c r="AN373" s="7" t="e">
        <f>VLOOKUP(AL373,Personal!$A$2:$I$300,3,FALSE)</f>
        <v>#N/A</v>
      </c>
      <c r="AO373" s="7" t="e">
        <f>VLOOKUP(AL373,Personal!$A$2:$I$300,6,FALSE)</f>
        <v>#N/A</v>
      </c>
      <c r="AP373" s="7" t="e">
        <f>VLOOKUP(AL373,Personal!$A$2:$I$300,7,FALSE)</f>
        <v>#N/A</v>
      </c>
      <c r="AQ373" s="7" t="e">
        <f>VLOOKUP(AL373,Personal!$A$2:$I$300,8,FALSE)</f>
        <v>#N/A</v>
      </c>
      <c r="AR373" s="7"/>
    </row>
    <row r="374" spans="2:44" x14ac:dyDescent="0.3">
      <c r="B374" s="6">
        <v>369</v>
      </c>
      <c r="C374" s="6"/>
      <c r="D374" s="6"/>
      <c r="E374" s="6"/>
      <c r="F374" s="6"/>
      <c r="G374" s="7"/>
      <c r="H374" s="7"/>
      <c r="I374" s="7"/>
      <c r="J374" s="7"/>
      <c r="K374" s="10"/>
      <c r="L374" s="7"/>
      <c r="M374" s="7"/>
      <c r="N374" s="7"/>
      <c r="O374" s="13"/>
      <c r="P374" s="13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8"/>
      <c r="AI374" s="7"/>
      <c r="AJ374" s="7"/>
      <c r="AK374" s="7"/>
      <c r="AL374" s="10"/>
      <c r="AM374" s="7" t="e">
        <f>VLOOKUP(AL374,Personal!$A$2:$I$300,2,FALSE)</f>
        <v>#N/A</v>
      </c>
      <c r="AN374" s="7" t="e">
        <f>VLOOKUP(AL374,Personal!$A$2:$I$300,3,FALSE)</f>
        <v>#N/A</v>
      </c>
      <c r="AO374" s="7" t="e">
        <f>VLOOKUP(AL374,Personal!$A$2:$I$300,6,FALSE)</f>
        <v>#N/A</v>
      </c>
      <c r="AP374" s="7" t="e">
        <f>VLOOKUP(AL374,Personal!$A$2:$I$300,7,FALSE)</f>
        <v>#N/A</v>
      </c>
      <c r="AQ374" s="7" t="e">
        <f>VLOOKUP(AL374,Personal!$A$2:$I$300,8,FALSE)</f>
        <v>#N/A</v>
      </c>
      <c r="AR374" s="7"/>
    </row>
    <row r="375" spans="2:44" x14ac:dyDescent="0.3">
      <c r="B375" s="6">
        <v>370</v>
      </c>
      <c r="C375" s="6"/>
      <c r="D375" s="6"/>
      <c r="E375" s="6"/>
      <c r="F375" s="6"/>
      <c r="G375" s="7"/>
      <c r="H375" s="7"/>
      <c r="I375" s="7"/>
      <c r="J375" s="7"/>
      <c r="K375" s="10"/>
      <c r="L375" s="7"/>
      <c r="M375" s="7"/>
      <c r="N375" s="7"/>
      <c r="O375" s="13"/>
      <c r="P375" s="13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8"/>
      <c r="AI375" s="7"/>
      <c r="AJ375" s="7"/>
      <c r="AK375" s="7"/>
      <c r="AL375" s="10"/>
      <c r="AM375" s="7" t="e">
        <f>VLOOKUP(AL375,Personal!$A$2:$I$300,2,FALSE)</f>
        <v>#N/A</v>
      </c>
      <c r="AN375" s="7" t="e">
        <f>VLOOKUP(AL375,Personal!$A$2:$I$300,3,FALSE)</f>
        <v>#N/A</v>
      </c>
      <c r="AO375" s="7" t="e">
        <f>VLOOKUP(AL375,Personal!$A$2:$I$300,6,FALSE)</f>
        <v>#N/A</v>
      </c>
      <c r="AP375" s="7" t="e">
        <f>VLOOKUP(AL375,Personal!$A$2:$I$300,7,FALSE)</f>
        <v>#N/A</v>
      </c>
      <c r="AQ375" s="7" t="e">
        <f>VLOOKUP(AL375,Personal!$A$2:$I$300,8,FALSE)</f>
        <v>#N/A</v>
      </c>
      <c r="AR375" s="7"/>
    </row>
    <row r="376" spans="2:44" x14ac:dyDescent="0.3">
      <c r="B376" s="6">
        <v>371</v>
      </c>
      <c r="C376" s="6"/>
      <c r="D376" s="6"/>
      <c r="E376" s="6"/>
      <c r="F376" s="6"/>
      <c r="G376" s="7"/>
      <c r="H376" s="7"/>
      <c r="I376" s="7"/>
      <c r="J376" s="7"/>
      <c r="K376" s="10"/>
      <c r="L376" s="7"/>
      <c r="M376" s="7"/>
      <c r="N376" s="7"/>
      <c r="O376" s="13"/>
      <c r="P376" s="13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8"/>
      <c r="AI376" s="7"/>
      <c r="AJ376" s="7"/>
      <c r="AK376" s="7"/>
      <c r="AL376" s="10"/>
      <c r="AM376" s="7" t="e">
        <f>VLOOKUP(AL376,Personal!$A$2:$I$300,2,FALSE)</f>
        <v>#N/A</v>
      </c>
      <c r="AN376" s="7" t="e">
        <f>VLOOKUP(AL376,Personal!$A$2:$I$300,3,FALSE)</f>
        <v>#N/A</v>
      </c>
      <c r="AO376" s="7" t="e">
        <f>VLOOKUP(AL376,Personal!$A$2:$I$300,6,FALSE)</f>
        <v>#N/A</v>
      </c>
      <c r="AP376" s="7" t="e">
        <f>VLOOKUP(AL376,Personal!$A$2:$I$300,7,FALSE)</f>
        <v>#N/A</v>
      </c>
      <c r="AQ376" s="7" t="e">
        <f>VLOOKUP(AL376,Personal!$A$2:$I$300,8,FALSE)</f>
        <v>#N/A</v>
      </c>
      <c r="AR376" s="7"/>
    </row>
    <row r="377" spans="2:44" x14ac:dyDescent="0.3">
      <c r="B377" s="6">
        <v>372</v>
      </c>
      <c r="C377" s="6"/>
      <c r="D377" s="6"/>
      <c r="E377" s="6"/>
      <c r="F377" s="6"/>
      <c r="G377" s="7"/>
      <c r="H377" s="7"/>
      <c r="I377" s="7"/>
      <c r="J377" s="7"/>
      <c r="K377" s="10"/>
      <c r="L377" s="7"/>
      <c r="M377" s="7"/>
      <c r="N377" s="7"/>
      <c r="O377" s="13"/>
      <c r="P377" s="13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8"/>
      <c r="AI377" s="7"/>
      <c r="AJ377" s="7"/>
      <c r="AK377" s="7"/>
      <c r="AL377" s="10"/>
      <c r="AM377" s="7" t="e">
        <f>VLOOKUP(AL377,Personal!$A$2:$I$300,2,FALSE)</f>
        <v>#N/A</v>
      </c>
      <c r="AN377" s="7" t="e">
        <f>VLOOKUP(AL377,Personal!$A$2:$I$300,3,FALSE)</f>
        <v>#N/A</v>
      </c>
      <c r="AO377" s="7" t="e">
        <f>VLOOKUP(AL377,Personal!$A$2:$I$300,6,FALSE)</f>
        <v>#N/A</v>
      </c>
      <c r="AP377" s="7" t="e">
        <f>VLOOKUP(AL377,Personal!$A$2:$I$300,7,FALSE)</f>
        <v>#N/A</v>
      </c>
      <c r="AQ377" s="7" t="e">
        <f>VLOOKUP(AL377,Personal!$A$2:$I$300,8,FALSE)</f>
        <v>#N/A</v>
      </c>
      <c r="AR377" s="7"/>
    </row>
    <row r="378" spans="2:44" x14ac:dyDescent="0.3">
      <c r="B378" s="6">
        <v>373</v>
      </c>
      <c r="C378" s="6"/>
      <c r="D378" s="6"/>
      <c r="E378" s="6"/>
      <c r="F378" s="6"/>
      <c r="G378" s="7"/>
      <c r="H378" s="7"/>
      <c r="I378" s="7"/>
      <c r="J378" s="7"/>
      <c r="K378" s="10"/>
      <c r="L378" s="7"/>
      <c r="M378" s="7"/>
      <c r="N378" s="7"/>
      <c r="O378" s="13"/>
      <c r="P378" s="13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8"/>
      <c r="AI378" s="7"/>
      <c r="AJ378" s="7"/>
      <c r="AK378" s="7"/>
      <c r="AL378" s="10"/>
      <c r="AM378" s="7" t="e">
        <f>VLOOKUP(AL378,Personal!$A$2:$I$300,2,FALSE)</f>
        <v>#N/A</v>
      </c>
      <c r="AN378" s="7" t="e">
        <f>VLOOKUP(AL378,Personal!$A$2:$I$300,3,FALSE)</f>
        <v>#N/A</v>
      </c>
      <c r="AO378" s="7" t="e">
        <f>VLOOKUP(AL378,Personal!$A$2:$I$300,6,FALSE)</f>
        <v>#N/A</v>
      </c>
      <c r="AP378" s="7" t="e">
        <f>VLOOKUP(AL378,Personal!$A$2:$I$300,7,FALSE)</f>
        <v>#N/A</v>
      </c>
      <c r="AQ378" s="7" t="e">
        <f>VLOOKUP(AL378,Personal!$A$2:$I$300,8,FALSE)</f>
        <v>#N/A</v>
      </c>
      <c r="AR378" s="7"/>
    </row>
    <row r="379" spans="2:44" x14ac:dyDescent="0.3">
      <c r="B379" s="6">
        <v>374</v>
      </c>
      <c r="C379" s="6"/>
      <c r="D379" s="6"/>
      <c r="E379" s="6"/>
      <c r="F379" s="6"/>
      <c r="G379" s="7"/>
      <c r="H379" s="7"/>
      <c r="I379" s="7"/>
      <c r="J379" s="7"/>
      <c r="K379" s="10"/>
      <c r="L379" s="7"/>
      <c r="M379" s="7"/>
      <c r="N379" s="7"/>
      <c r="O379" s="13"/>
      <c r="P379" s="13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8"/>
      <c r="AI379" s="7"/>
      <c r="AJ379" s="7"/>
      <c r="AK379" s="7"/>
      <c r="AL379" s="10"/>
      <c r="AM379" s="7" t="e">
        <f>VLOOKUP(AL379,Personal!$A$2:$I$300,2,FALSE)</f>
        <v>#N/A</v>
      </c>
      <c r="AN379" s="7" t="e">
        <f>VLOOKUP(AL379,Personal!$A$2:$I$300,3,FALSE)</f>
        <v>#N/A</v>
      </c>
      <c r="AO379" s="7" t="e">
        <f>VLOOKUP(AL379,Personal!$A$2:$I$300,6,FALSE)</f>
        <v>#N/A</v>
      </c>
      <c r="AP379" s="7" t="e">
        <f>VLOOKUP(AL379,Personal!$A$2:$I$300,7,FALSE)</f>
        <v>#N/A</v>
      </c>
      <c r="AQ379" s="7" t="e">
        <f>VLOOKUP(AL379,Personal!$A$2:$I$300,8,FALSE)</f>
        <v>#N/A</v>
      </c>
      <c r="AR379" s="7"/>
    </row>
    <row r="380" spans="2:44" x14ac:dyDescent="0.3">
      <c r="B380" s="6">
        <v>375</v>
      </c>
      <c r="C380" s="6"/>
      <c r="D380" s="6"/>
      <c r="E380" s="6"/>
      <c r="F380" s="6"/>
      <c r="G380" s="7"/>
      <c r="H380" s="7"/>
      <c r="I380" s="7"/>
      <c r="J380" s="7"/>
      <c r="K380" s="10"/>
      <c r="L380" s="7"/>
      <c r="M380" s="7"/>
      <c r="N380" s="7"/>
      <c r="O380" s="13"/>
      <c r="P380" s="13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8"/>
      <c r="AI380" s="7"/>
      <c r="AJ380" s="7"/>
      <c r="AK380" s="7"/>
      <c r="AL380" s="10"/>
      <c r="AM380" s="7" t="e">
        <f>VLOOKUP(AL380,Personal!$A$2:$I$300,2,FALSE)</f>
        <v>#N/A</v>
      </c>
      <c r="AN380" s="7" t="e">
        <f>VLOOKUP(AL380,Personal!$A$2:$I$300,3,FALSE)</f>
        <v>#N/A</v>
      </c>
      <c r="AO380" s="7" t="e">
        <f>VLOOKUP(AL380,Personal!$A$2:$I$300,6,FALSE)</f>
        <v>#N/A</v>
      </c>
      <c r="AP380" s="7" t="e">
        <f>VLOOKUP(AL380,Personal!$A$2:$I$300,7,FALSE)</f>
        <v>#N/A</v>
      </c>
      <c r="AQ380" s="7" t="e">
        <f>VLOOKUP(AL380,Personal!$A$2:$I$300,8,FALSE)</f>
        <v>#N/A</v>
      </c>
      <c r="AR380" s="7"/>
    </row>
    <row r="381" spans="2:44" x14ac:dyDescent="0.3">
      <c r="B381" s="6">
        <v>376</v>
      </c>
      <c r="C381" s="6"/>
      <c r="D381" s="6"/>
      <c r="E381" s="6"/>
      <c r="F381" s="6"/>
      <c r="G381" s="7"/>
      <c r="H381" s="7"/>
      <c r="I381" s="7"/>
      <c r="J381" s="7"/>
      <c r="K381" s="10"/>
      <c r="L381" s="7"/>
      <c r="M381" s="7"/>
      <c r="N381" s="7"/>
      <c r="O381" s="13"/>
      <c r="P381" s="13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8"/>
      <c r="AI381" s="7"/>
      <c r="AJ381" s="7"/>
      <c r="AK381" s="7"/>
      <c r="AL381" s="10"/>
      <c r="AM381" s="7" t="e">
        <f>VLOOKUP(AL381,Personal!$A$2:$I$300,2,FALSE)</f>
        <v>#N/A</v>
      </c>
      <c r="AN381" s="7" t="e">
        <f>VLOOKUP(AL381,Personal!$A$2:$I$300,3,FALSE)</f>
        <v>#N/A</v>
      </c>
      <c r="AO381" s="7" t="e">
        <f>VLOOKUP(AL381,Personal!$A$2:$I$300,6,FALSE)</f>
        <v>#N/A</v>
      </c>
      <c r="AP381" s="7" t="e">
        <f>VLOOKUP(AL381,Personal!$A$2:$I$300,7,FALSE)</f>
        <v>#N/A</v>
      </c>
      <c r="AQ381" s="7" t="e">
        <f>VLOOKUP(AL381,Personal!$A$2:$I$300,8,FALSE)</f>
        <v>#N/A</v>
      </c>
      <c r="AR381" s="7"/>
    </row>
    <row r="382" spans="2:44" x14ac:dyDescent="0.3">
      <c r="B382" s="6">
        <v>377</v>
      </c>
      <c r="C382" s="6"/>
      <c r="D382" s="6"/>
      <c r="E382" s="6"/>
      <c r="F382" s="6"/>
      <c r="G382" s="7"/>
      <c r="H382" s="7"/>
      <c r="I382" s="7"/>
      <c r="J382" s="7"/>
      <c r="K382" s="10"/>
      <c r="L382" s="7"/>
      <c r="M382" s="7"/>
      <c r="N382" s="7"/>
      <c r="O382" s="13"/>
      <c r="P382" s="13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8"/>
      <c r="AI382" s="7"/>
      <c r="AJ382" s="7"/>
      <c r="AK382" s="7"/>
      <c r="AL382" s="10"/>
      <c r="AM382" s="7" t="e">
        <f>VLOOKUP(AL382,Personal!$A$2:$I$300,2,FALSE)</f>
        <v>#N/A</v>
      </c>
      <c r="AN382" s="7" t="e">
        <f>VLOOKUP(AL382,Personal!$A$2:$I$300,3,FALSE)</f>
        <v>#N/A</v>
      </c>
      <c r="AO382" s="7" t="e">
        <f>VLOOKUP(AL382,Personal!$A$2:$I$300,6,FALSE)</f>
        <v>#N/A</v>
      </c>
      <c r="AP382" s="7" t="e">
        <f>VLOOKUP(AL382,Personal!$A$2:$I$300,7,FALSE)</f>
        <v>#N/A</v>
      </c>
      <c r="AQ382" s="7" t="e">
        <f>VLOOKUP(AL382,Personal!$A$2:$I$300,8,FALSE)</f>
        <v>#N/A</v>
      </c>
      <c r="AR382" s="7"/>
    </row>
    <row r="383" spans="2:44" x14ac:dyDescent="0.3">
      <c r="B383" s="6">
        <v>378</v>
      </c>
      <c r="C383" s="6"/>
      <c r="D383" s="6"/>
      <c r="E383" s="6"/>
      <c r="F383" s="6"/>
      <c r="G383" s="7"/>
      <c r="H383" s="7"/>
      <c r="I383" s="7"/>
      <c r="J383" s="7"/>
      <c r="K383" s="10"/>
      <c r="L383" s="7"/>
      <c r="M383" s="7"/>
      <c r="N383" s="7"/>
      <c r="O383" s="13"/>
      <c r="P383" s="13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8"/>
      <c r="AI383" s="7"/>
      <c r="AJ383" s="7"/>
      <c r="AK383" s="7"/>
      <c r="AL383" s="10"/>
      <c r="AM383" s="7" t="e">
        <f>VLOOKUP(AL383,Personal!$A$2:$I$300,2,FALSE)</f>
        <v>#N/A</v>
      </c>
      <c r="AN383" s="7" t="e">
        <f>VLOOKUP(AL383,Personal!$A$2:$I$300,3,FALSE)</f>
        <v>#N/A</v>
      </c>
      <c r="AO383" s="7" t="e">
        <f>VLOOKUP(AL383,Personal!$A$2:$I$300,6,FALSE)</f>
        <v>#N/A</v>
      </c>
      <c r="AP383" s="7" t="e">
        <f>VLOOKUP(AL383,Personal!$A$2:$I$300,7,FALSE)</f>
        <v>#N/A</v>
      </c>
      <c r="AQ383" s="7" t="e">
        <f>VLOOKUP(AL383,Personal!$A$2:$I$300,8,FALSE)</f>
        <v>#N/A</v>
      </c>
      <c r="AR383" s="7"/>
    </row>
    <row r="384" spans="2:44" x14ac:dyDescent="0.3">
      <c r="B384" s="6">
        <v>379</v>
      </c>
      <c r="C384" s="6"/>
      <c r="D384" s="6"/>
      <c r="E384" s="6"/>
      <c r="F384" s="6"/>
      <c r="G384" s="7"/>
      <c r="H384" s="7"/>
      <c r="I384" s="7"/>
      <c r="J384" s="7"/>
      <c r="K384" s="10"/>
      <c r="L384" s="7"/>
      <c r="M384" s="7"/>
      <c r="N384" s="7"/>
      <c r="O384" s="13"/>
      <c r="P384" s="13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8"/>
      <c r="AI384" s="7"/>
      <c r="AJ384" s="7"/>
      <c r="AK384" s="7"/>
      <c r="AL384" s="10"/>
      <c r="AM384" s="7" t="e">
        <f>VLOOKUP(AL384,Personal!$A$2:$I$300,2,FALSE)</f>
        <v>#N/A</v>
      </c>
      <c r="AN384" s="7" t="e">
        <f>VLOOKUP(AL384,Personal!$A$2:$I$300,3,FALSE)</f>
        <v>#N/A</v>
      </c>
      <c r="AO384" s="7" t="e">
        <f>VLOOKUP(AL384,Personal!$A$2:$I$300,6,FALSE)</f>
        <v>#N/A</v>
      </c>
      <c r="AP384" s="7" t="e">
        <f>VLOOKUP(AL384,Personal!$A$2:$I$300,7,FALSE)</f>
        <v>#N/A</v>
      </c>
      <c r="AQ384" s="7" t="e">
        <f>VLOOKUP(AL384,Personal!$A$2:$I$300,8,FALSE)</f>
        <v>#N/A</v>
      </c>
      <c r="AR384" s="7"/>
    </row>
    <row r="385" spans="2:44" x14ac:dyDescent="0.3">
      <c r="B385" s="6">
        <v>380</v>
      </c>
      <c r="C385" s="6"/>
      <c r="D385" s="6"/>
      <c r="E385" s="6"/>
      <c r="F385" s="6"/>
      <c r="G385" s="7"/>
      <c r="H385" s="7"/>
      <c r="I385" s="7"/>
      <c r="J385" s="7"/>
      <c r="K385" s="10"/>
      <c r="L385" s="7"/>
      <c r="M385" s="7"/>
      <c r="N385" s="7"/>
      <c r="O385" s="13"/>
      <c r="P385" s="13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8"/>
      <c r="AI385" s="7"/>
      <c r="AJ385" s="7"/>
      <c r="AK385" s="7"/>
      <c r="AL385" s="10"/>
      <c r="AM385" s="7" t="e">
        <f>VLOOKUP(AL385,Personal!$A$2:$I$300,2,FALSE)</f>
        <v>#N/A</v>
      </c>
      <c r="AN385" s="7" t="e">
        <f>VLOOKUP(AL385,Personal!$A$2:$I$300,3,FALSE)</f>
        <v>#N/A</v>
      </c>
      <c r="AO385" s="7" t="e">
        <f>VLOOKUP(AL385,Personal!$A$2:$I$300,6,FALSE)</f>
        <v>#N/A</v>
      </c>
      <c r="AP385" s="7" t="e">
        <f>VLOOKUP(AL385,Personal!$A$2:$I$300,7,FALSE)</f>
        <v>#N/A</v>
      </c>
      <c r="AQ385" s="7" t="e">
        <f>VLOOKUP(AL385,Personal!$A$2:$I$300,8,FALSE)</f>
        <v>#N/A</v>
      </c>
      <c r="AR385" s="7"/>
    </row>
    <row r="386" spans="2:44" x14ac:dyDescent="0.3">
      <c r="B386" s="6">
        <v>381</v>
      </c>
      <c r="C386" s="6"/>
      <c r="D386" s="6"/>
      <c r="E386" s="6"/>
      <c r="F386" s="6"/>
      <c r="G386" s="7"/>
      <c r="H386" s="7"/>
      <c r="I386" s="7"/>
      <c r="J386" s="7"/>
      <c r="K386" s="10"/>
      <c r="L386" s="7"/>
      <c r="M386" s="7"/>
      <c r="N386" s="7"/>
      <c r="O386" s="13"/>
      <c r="P386" s="13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8"/>
      <c r="AI386" s="7"/>
      <c r="AJ386" s="7"/>
      <c r="AK386" s="7"/>
      <c r="AL386" s="10"/>
      <c r="AM386" s="7" t="e">
        <f>VLOOKUP(AL386,Personal!$A$2:$I$300,2,FALSE)</f>
        <v>#N/A</v>
      </c>
      <c r="AN386" s="7" t="e">
        <f>VLOOKUP(AL386,Personal!$A$2:$I$300,3,FALSE)</f>
        <v>#N/A</v>
      </c>
      <c r="AO386" s="7" t="e">
        <f>VLOOKUP(AL386,Personal!$A$2:$I$300,6,FALSE)</f>
        <v>#N/A</v>
      </c>
      <c r="AP386" s="7" t="e">
        <f>VLOOKUP(AL386,Personal!$A$2:$I$300,7,FALSE)</f>
        <v>#N/A</v>
      </c>
      <c r="AQ386" s="7" t="e">
        <f>VLOOKUP(AL386,Personal!$A$2:$I$300,8,FALSE)</f>
        <v>#N/A</v>
      </c>
      <c r="AR386" s="7"/>
    </row>
    <row r="387" spans="2:44" x14ac:dyDescent="0.3">
      <c r="B387" s="6">
        <v>382</v>
      </c>
      <c r="C387" s="6"/>
      <c r="D387" s="6"/>
      <c r="E387" s="6"/>
      <c r="F387" s="6"/>
      <c r="G387" s="7"/>
      <c r="H387" s="7"/>
      <c r="I387" s="7"/>
      <c r="J387" s="7"/>
      <c r="K387" s="10"/>
      <c r="L387" s="7"/>
      <c r="M387" s="7"/>
      <c r="N387" s="7"/>
      <c r="O387" s="13"/>
      <c r="P387" s="13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8"/>
      <c r="AI387" s="7"/>
      <c r="AJ387" s="7"/>
      <c r="AK387" s="7"/>
      <c r="AL387" s="10"/>
      <c r="AM387" s="7" t="e">
        <f>VLOOKUP(AL387,Personal!$A$2:$I$300,2,FALSE)</f>
        <v>#N/A</v>
      </c>
      <c r="AN387" s="7" t="e">
        <f>VLOOKUP(AL387,Personal!$A$2:$I$300,3,FALSE)</f>
        <v>#N/A</v>
      </c>
      <c r="AO387" s="7" t="e">
        <f>VLOOKUP(AL387,Personal!$A$2:$I$300,6,FALSE)</f>
        <v>#N/A</v>
      </c>
      <c r="AP387" s="7" t="e">
        <f>VLOOKUP(AL387,Personal!$A$2:$I$300,7,FALSE)</f>
        <v>#N/A</v>
      </c>
      <c r="AQ387" s="7" t="e">
        <f>VLOOKUP(AL387,Personal!$A$2:$I$300,8,FALSE)</f>
        <v>#N/A</v>
      </c>
      <c r="AR387" s="7"/>
    </row>
    <row r="388" spans="2:44" x14ac:dyDescent="0.3">
      <c r="B388" s="6">
        <v>383</v>
      </c>
      <c r="C388" s="6"/>
      <c r="D388" s="6"/>
      <c r="E388" s="6"/>
      <c r="F388" s="6"/>
      <c r="G388" s="7"/>
      <c r="H388" s="7"/>
      <c r="I388" s="7"/>
      <c r="J388" s="7"/>
      <c r="K388" s="10"/>
      <c r="L388" s="7"/>
      <c r="M388" s="7"/>
      <c r="N388" s="7"/>
      <c r="O388" s="13"/>
      <c r="P388" s="13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8"/>
      <c r="AI388" s="7"/>
      <c r="AJ388" s="7"/>
      <c r="AK388" s="7"/>
      <c r="AL388" s="10"/>
      <c r="AM388" s="7" t="e">
        <f>VLOOKUP(AL388,Personal!$A$2:$I$300,2,FALSE)</f>
        <v>#N/A</v>
      </c>
      <c r="AN388" s="7" t="e">
        <f>VLOOKUP(AL388,Personal!$A$2:$I$300,3,FALSE)</f>
        <v>#N/A</v>
      </c>
      <c r="AO388" s="7" t="e">
        <f>VLOOKUP(AL388,Personal!$A$2:$I$300,6,FALSE)</f>
        <v>#N/A</v>
      </c>
      <c r="AP388" s="7" t="e">
        <f>VLOOKUP(AL388,Personal!$A$2:$I$300,7,FALSE)</f>
        <v>#N/A</v>
      </c>
      <c r="AQ388" s="7" t="e">
        <f>VLOOKUP(AL388,Personal!$A$2:$I$300,8,FALSE)</f>
        <v>#N/A</v>
      </c>
      <c r="AR388" s="7"/>
    </row>
    <row r="389" spans="2:44" x14ac:dyDescent="0.3">
      <c r="B389" s="6">
        <v>384</v>
      </c>
      <c r="C389" s="6"/>
      <c r="D389" s="6"/>
      <c r="E389" s="6"/>
      <c r="F389" s="6"/>
      <c r="G389" s="7"/>
      <c r="H389" s="7"/>
      <c r="I389" s="7"/>
      <c r="J389" s="7"/>
      <c r="K389" s="10"/>
      <c r="L389" s="7"/>
      <c r="M389" s="7"/>
      <c r="N389" s="7"/>
      <c r="O389" s="13"/>
      <c r="P389" s="13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8"/>
      <c r="AI389" s="7"/>
      <c r="AJ389" s="7"/>
      <c r="AK389" s="7"/>
      <c r="AL389" s="10"/>
      <c r="AM389" s="7" t="e">
        <f>VLOOKUP(AL389,Personal!$A$2:$I$300,2,FALSE)</f>
        <v>#N/A</v>
      </c>
      <c r="AN389" s="7" t="e">
        <f>VLOOKUP(AL389,Personal!$A$2:$I$300,3,FALSE)</f>
        <v>#N/A</v>
      </c>
      <c r="AO389" s="7" t="e">
        <f>VLOOKUP(AL389,Personal!$A$2:$I$300,6,FALSE)</f>
        <v>#N/A</v>
      </c>
      <c r="AP389" s="7" t="e">
        <f>VLOOKUP(AL389,Personal!$A$2:$I$300,7,FALSE)</f>
        <v>#N/A</v>
      </c>
      <c r="AQ389" s="7" t="e">
        <f>VLOOKUP(AL389,Personal!$A$2:$I$300,8,FALSE)</f>
        <v>#N/A</v>
      </c>
      <c r="AR389" s="7"/>
    </row>
    <row r="390" spans="2:44" x14ac:dyDescent="0.3">
      <c r="B390" s="6">
        <v>385</v>
      </c>
      <c r="C390" s="6"/>
      <c r="D390" s="6"/>
      <c r="E390" s="6"/>
      <c r="F390" s="6"/>
      <c r="G390" s="7"/>
      <c r="H390" s="7"/>
      <c r="I390" s="7"/>
      <c r="J390" s="7"/>
      <c r="K390" s="10"/>
      <c r="L390" s="7"/>
      <c r="M390" s="7"/>
      <c r="N390" s="7"/>
      <c r="O390" s="13"/>
      <c r="P390" s="13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8"/>
      <c r="AI390" s="7"/>
      <c r="AJ390" s="7"/>
      <c r="AK390" s="7"/>
      <c r="AL390" s="10"/>
      <c r="AM390" s="7" t="e">
        <f>VLOOKUP(AL390,Personal!$A$2:$I$300,2,FALSE)</f>
        <v>#N/A</v>
      </c>
      <c r="AN390" s="7" t="e">
        <f>VLOOKUP(AL390,Personal!$A$2:$I$300,3,FALSE)</f>
        <v>#N/A</v>
      </c>
      <c r="AO390" s="7" t="e">
        <f>VLOOKUP(AL390,Personal!$A$2:$I$300,6,FALSE)</f>
        <v>#N/A</v>
      </c>
      <c r="AP390" s="7" t="e">
        <f>VLOOKUP(AL390,Personal!$A$2:$I$300,7,FALSE)</f>
        <v>#N/A</v>
      </c>
      <c r="AQ390" s="7" t="e">
        <f>VLOOKUP(AL390,Personal!$A$2:$I$300,8,FALSE)</f>
        <v>#N/A</v>
      </c>
      <c r="AR390" s="7"/>
    </row>
    <row r="391" spans="2:44" x14ac:dyDescent="0.3">
      <c r="B391" s="6">
        <v>386</v>
      </c>
      <c r="C391" s="6"/>
      <c r="D391" s="6"/>
      <c r="E391" s="6"/>
      <c r="F391" s="6"/>
      <c r="G391" s="7"/>
      <c r="H391" s="7"/>
      <c r="I391" s="7"/>
      <c r="J391" s="7"/>
      <c r="K391" s="10"/>
      <c r="L391" s="7"/>
      <c r="M391" s="7"/>
      <c r="N391" s="7"/>
      <c r="O391" s="13"/>
      <c r="P391" s="13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8"/>
      <c r="AI391" s="7"/>
      <c r="AJ391" s="7"/>
      <c r="AK391" s="7"/>
      <c r="AL391" s="10"/>
      <c r="AM391" s="7" t="e">
        <f>VLOOKUP(AL391,Personal!$A$2:$I$300,2,FALSE)</f>
        <v>#N/A</v>
      </c>
      <c r="AN391" s="7" t="e">
        <f>VLOOKUP(AL391,Personal!$A$2:$I$300,3,FALSE)</f>
        <v>#N/A</v>
      </c>
      <c r="AO391" s="7" t="e">
        <f>VLOOKUP(AL391,Personal!$A$2:$I$300,6,FALSE)</f>
        <v>#N/A</v>
      </c>
      <c r="AP391" s="7" t="e">
        <f>VLOOKUP(AL391,Personal!$A$2:$I$300,7,FALSE)</f>
        <v>#N/A</v>
      </c>
      <c r="AQ391" s="7" t="e">
        <f>VLOOKUP(AL391,Personal!$A$2:$I$300,8,FALSE)</f>
        <v>#N/A</v>
      </c>
      <c r="AR391" s="7"/>
    </row>
    <row r="392" spans="2:44" x14ac:dyDescent="0.3">
      <c r="B392" s="6">
        <v>387</v>
      </c>
      <c r="C392" s="6"/>
      <c r="D392" s="6"/>
      <c r="E392" s="6"/>
      <c r="F392" s="6"/>
      <c r="G392" s="7"/>
      <c r="H392" s="7"/>
      <c r="I392" s="7"/>
      <c r="J392" s="7"/>
      <c r="K392" s="10"/>
      <c r="L392" s="7"/>
      <c r="M392" s="7"/>
      <c r="N392" s="7"/>
      <c r="O392" s="13"/>
      <c r="P392" s="13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8"/>
      <c r="AI392" s="7"/>
      <c r="AJ392" s="7"/>
      <c r="AK392" s="7"/>
      <c r="AL392" s="10"/>
      <c r="AM392" s="7" t="e">
        <f>VLOOKUP(AL392,Personal!$A$2:$I$300,2,FALSE)</f>
        <v>#N/A</v>
      </c>
      <c r="AN392" s="7" t="e">
        <f>VLOOKUP(AL392,Personal!$A$2:$I$300,3,FALSE)</f>
        <v>#N/A</v>
      </c>
      <c r="AO392" s="7" t="e">
        <f>VLOOKUP(AL392,Personal!$A$2:$I$300,6,FALSE)</f>
        <v>#N/A</v>
      </c>
      <c r="AP392" s="7" t="e">
        <f>VLOOKUP(AL392,Personal!$A$2:$I$300,7,FALSE)</f>
        <v>#N/A</v>
      </c>
      <c r="AQ392" s="7" t="e">
        <f>VLOOKUP(AL392,Personal!$A$2:$I$300,8,FALSE)</f>
        <v>#N/A</v>
      </c>
      <c r="AR392" s="7"/>
    </row>
    <row r="393" spans="2:44" x14ac:dyDescent="0.3">
      <c r="B393" s="6">
        <v>388</v>
      </c>
      <c r="C393" s="6"/>
      <c r="D393" s="6"/>
      <c r="E393" s="6"/>
      <c r="F393" s="6"/>
      <c r="G393" s="7"/>
      <c r="H393" s="7"/>
      <c r="I393" s="7"/>
      <c r="J393" s="7"/>
      <c r="K393" s="10"/>
      <c r="L393" s="7"/>
      <c r="M393" s="7"/>
      <c r="N393" s="7"/>
      <c r="O393" s="13"/>
      <c r="P393" s="13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8"/>
      <c r="AI393" s="7"/>
      <c r="AJ393" s="7"/>
      <c r="AK393" s="7"/>
      <c r="AL393" s="10"/>
      <c r="AM393" s="7" t="e">
        <f>VLOOKUP(AL393,Personal!$A$2:$I$300,2,FALSE)</f>
        <v>#N/A</v>
      </c>
      <c r="AN393" s="7" t="e">
        <f>VLOOKUP(AL393,Personal!$A$2:$I$300,3,FALSE)</f>
        <v>#N/A</v>
      </c>
      <c r="AO393" s="7" t="e">
        <f>VLOOKUP(AL393,Personal!$A$2:$I$300,6,FALSE)</f>
        <v>#N/A</v>
      </c>
      <c r="AP393" s="7" t="e">
        <f>VLOOKUP(AL393,Personal!$A$2:$I$300,7,FALSE)</f>
        <v>#N/A</v>
      </c>
      <c r="AQ393" s="7" t="e">
        <f>VLOOKUP(AL393,Personal!$A$2:$I$300,8,FALSE)</f>
        <v>#N/A</v>
      </c>
      <c r="AR393" s="7"/>
    </row>
    <row r="394" spans="2:44" x14ac:dyDescent="0.3">
      <c r="B394" s="6">
        <v>389</v>
      </c>
      <c r="C394" s="6"/>
      <c r="D394" s="6"/>
      <c r="E394" s="6"/>
      <c r="F394" s="6"/>
      <c r="G394" s="7"/>
      <c r="H394" s="7"/>
      <c r="I394" s="7"/>
      <c r="J394" s="7"/>
      <c r="K394" s="10"/>
      <c r="L394" s="7"/>
      <c r="M394" s="7"/>
      <c r="N394" s="7"/>
      <c r="O394" s="13"/>
      <c r="P394" s="13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8"/>
      <c r="AI394" s="7"/>
      <c r="AJ394" s="7"/>
      <c r="AK394" s="7"/>
      <c r="AL394" s="10"/>
      <c r="AM394" s="7" t="e">
        <f>VLOOKUP(AL394,Personal!$A$2:$I$300,2,FALSE)</f>
        <v>#N/A</v>
      </c>
      <c r="AN394" s="7" t="e">
        <f>VLOOKUP(AL394,Personal!$A$2:$I$300,3,FALSE)</f>
        <v>#N/A</v>
      </c>
      <c r="AO394" s="7" t="e">
        <f>VLOOKUP(AL394,Personal!$A$2:$I$300,6,FALSE)</f>
        <v>#N/A</v>
      </c>
      <c r="AP394" s="7" t="e">
        <f>VLOOKUP(AL394,Personal!$A$2:$I$300,7,FALSE)</f>
        <v>#N/A</v>
      </c>
      <c r="AQ394" s="7" t="e">
        <f>VLOOKUP(AL394,Personal!$A$2:$I$300,8,FALSE)</f>
        <v>#N/A</v>
      </c>
      <c r="AR394" s="7"/>
    </row>
    <row r="395" spans="2:44" x14ac:dyDescent="0.3">
      <c r="B395" s="6">
        <v>390</v>
      </c>
      <c r="C395" s="6"/>
      <c r="D395" s="6"/>
      <c r="E395" s="6"/>
      <c r="F395" s="6"/>
      <c r="G395" s="7"/>
      <c r="H395" s="7"/>
      <c r="I395" s="7"/>
      <c r="J395" s="7"/>
      <c r="K395" s="10"/>
      <c r="L395" s="7"/>
      <c r="M395" s="7"/>
      <c r="N395" s="7"/>
      <c r="O395" s="13"/>
      <c r="P395" s="13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8"/>
      <c r="AI395" s="7"/>
      <c r="AJ395" s="7"/>
      <c r="AK395" s="7"/>
      <c r="AL395" s="10"/>
      <c r="AM395" s="7" t="e">
        <f>VLOOKUP(AL395,Personal!$A$2:$I$300,2,FALSE)</f>
        <v>#N/A</v>
      </c>
      <c r="AN395" s="7" t="e">
        <f>VLOOKUP(AL395,Personal!$A$2:$I$300,3,FALSE)</f>
        <v>#N/A</v>
      </c>
      <c r="AO395" s="7" t="e">
        <f>VLOOKUP(AL395,Personal!$A$2:$I$300,6,FALSE)</f>
        <v>#N/A</v>
      </c>
      <c r="AP395" s="7" t="e">
        <f>VLOOKUP(AL395,Personal!$A$2:$I$300,7,FALSE)</f>
        <v>#N/A</v>
      </c>
      <c r="AQ395" s="7" t="e">
        <f>VLOOKUP(AL395,Personal!$A$2:$I$300,8,FALSE)</f>
        <v>#N/A</v>
      </c>
      <c r="AR395" s="7"/>
    </row>
    <row r="396" spans="2:44" x14ac:dyDescent="0.3">
      <c r="B396" s="6">
        <v>391</v>
      </c>
      <c r="C396" s="6"/>
      <c r="D396" s="6"/>
      <c r="E396" s="6"/>
      <c r="F396" s="6"/>
      <c r="G396" s="7"/>
      <c r="H396" s="7"/>
      <c r="I396" s="7"/>
      <c r="J396" s="7"/>
      <c r="K396" s="10"/>
      <c r="L396" s="7"/>
      <c r="M396" s="7"/>
      <c r="N396" s="7"/>
      <c r="O396" s="13"/>
      <c r="P396" s="13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8"/>
      <c r="AI396" s="7"/>
      <c r="AJ396" s="7"/>
      <c r="AK396" s="7"/>
      <c r="AL396" s="10"/>
      <c r="AM396" s="7" t="e">
        <f>VLOOKUP(AL396,Personal!$A$2:$I$300,2,FALSE)</f>
        <v>#N/A</v>
      </c>
      <c r="AN396" s="7" t="e">
        <f>VLOOKUP(AL396,Personal!$A$2:$I$300,3,FALSE)</f>
        <v>#N/A</v>
      </c>
      <c r="AO396" s="7" t="e">
        <f>VLOOKUP(AL396,Personal!$A$2:$I$300,6,FALSE)</f>
        <v>#N/A</v>
      </c>
      <c r="AP396" s="7" t="e">
        <f>VLOOKUP(AL396,Personal!$A$2:$I$300,7,FALSE)</f>
        <v>#N/A</v>
      </c>
      <c r="AQ396" s="7" t="e">
        <f>VLOOKUP(AL396,Personal!$A$2:$I$300,8,FALSE)</f>
        <v>#N/A</v>
      </c>
      <c r="AR396" s="7"/>
    </row>
    <row r="397" spans="2:44" x14ac:dyDescent="0.3">
      <c r="B397" s="6">
        <v>392</v>
      </c>
      <c r="C397" s="6"/>
      <c r="D397" s="6"/>
      <c r="E397" s="6"/>
      <c r="F397" s="6"/>
      <c r="G397" s="7"/>
      <c r="H397" s="7"/>
      <c r="I397" s="7"/>
      <c r="J397" s="7"/>
      <c r="K397" s="10"/>
      <c r="L397" s="7"/>
      <c r="M397" s="7"/>
      <c r="N397" s="7"/>
      <c r="O397" s="13"/>
      <c r="P397" s="13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8"/>
      <c r="AI397" s="7"/>
      <c r="AJ397" s="7"/>
      <c r="AK397" s="7"/>
      <c r="AL397" s="10"/>
      <c r="AM397" s="7" t="e">
        <f>VLOOKUP(AL397,Personal!$A$2:$I$300,2,FALSE)</f>
        <v>#N/A</v>
      </c>
      <c r="AN397" s="7" t="e">
        <f>VLOOKUP(AL397,Personal!$A$2:$I$300,3,FALSE)</f>
        <v>#N/A</v>
      </c>
      <c r="AO397" s="7" t="e">
        <f>VLOOKUP(AL397,Personal!$A$2:$I$300,6,FALSE)</f>
        <v>#N/A</v>
      </c>
      <c r="AP397" s="7" t="e">
        <f>VLOOKUP(AL397,Personal!$A$2:$I$300,7,FALSE)</f>
        <v>#N/A</v>
      </c>
      <c r="AQ397" s="7" t="e">
        <f>VLOOKUP(AL397,Personal!$A$2:$I$300,8,FALSE)</f>
        <v>#N/A</v>
      </c>
      <c r="AR397" s="7"/>
    </row>
    <row r="398" spans="2:44" x14ac:dyDescent="0.3">
      <c r="B398" s="6">
        <v>393</v>
      </c>
      <c r="C398" s="6"/>
      <c r="D398" s="6"/>
      <c r="E398" s="6"/>
      <c r="F398" s="6"/>
      <c r="G398" s="7"/>
      <c r="H398" s="7"/>
      <c r="I398" s="7"/>
      <c r="J398" s="7"/>
      <c r="K398" s="10"/>
      <c r="L398" s="7"/>
      <c r="M398" s="7"/>
      <c r="N398" s="7"/>
      <c r="O398" s="13"/>
      <c r="P398" s="13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8"/>
      <c r="AI398" s="7"/>
      <c r="AJ398" s="7"/>
      <c r="AK398" s="7"/>
      <c r="AL398" s="10"/>
      <c r="AM398" s="7" t="e">
        <f>VLOOKUP(AL398,Personal!$A$2:$I$300,2,FALSE)</f>
        <v>#N/A</v>
      </c>
      <c r="AN398" s="7" t="e">
        <f>VLOOKUP(AL398,Personal!$A$2:$I$300,3,FALSE)</f>
        <v>#N/A</v>
      </c>
      <c r="AO398" s="7" t="e">
        <f>VLOOKUP(AL398,Personal!$A$2:$I$300,6,FALSE)</f>
        <v>#N/A</v>
      </c>
      <c r="AP398" s="7" t="e">
        <f>VLOOKUP(AL398,Personal!$A$2:$I$300,7,FALSE)</f>
        <v>#N/A</v>
      </c>
      <c r="AQ398" s="7" t="e">
        <f>VLOOKUP(AL398,Personal!$A$2:$I$300,8,FALSE)</f>
        <v>#N/A</v>
      </c>
      <c r="AR398" s="7"/>
    </row>
    <row r="399" spans="2:44" x14ac:dyDescent="0.3">
      <c r="B399" s="6">
        <v>394</v>
      </c>
      <c r="C399" s="6"/>
      <c r="D399" s="6"/>
      <c r="E399" s="6"/>
      <c r="F399" s="6"/>
      <c r="G399" s="7"/>
      <c r="H399" s="7"/>
      <c r="I399" s="7"/>
      <c r="J399" s="7"/>
      <c r="K399" s="10"/>
      <c r="L399" s="7"/>
      <c r="M399" s="7"/>
      <c r="N399" s="7"/>
      <c r="O399" s="13"/>
      <c r="P399" s="13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8"/>
      <c r="AI399" s="7"/>
      <c r="AJ399" s="7"/>
      <c r="AK399" s="7"/>
      <c r="AL399" s="10"/>
      <c r="AM399" s="7" t="e">
        <f>VLOOKUP(AL399,Personal!$A$2:$I$300,2,FALSE)</f>
        <v>#N/A</v>
      </c>
      <c r="AN399" s="7" t="e">
        <f>VLOOKUP(AL399,Personal!$A$2:$I$300,3,FALSE)</f>
        <v>#N/A</v>
      </c>
      <c r="AO399" s="7" t="e">
        <f>VLOOKUP(AL399,Personal!$A$2:$I$300,6,FALSE)</f>
        <v>#N/A</v>
      </c>
      <c r="AP399" s="7" t="e">
        <f>VLOOKUP(AL399,Personal!$A$2:$I$300,7,FALSE)</f>
        <v>#N/A</v>
      </c>
      <c r="AQ399" s="7" t="e">
        <f>VLOOKUP(AL399,Personal!$A$2:$I$300,8,FALSE)</f>
        <v>#N/A</v>
      </c>
      <c r="AR399" s="7"/>
    </row>
    <row r="400" spans="2:44" x14ac:dyDescent="0.3">
      <c r="B400" s="6">
        <v>395</v>
      </c>
      <c r="C400" s="6"/>
      <c r="D400" s="6"/>
      <c r="E400" s="6"/>
      <c r="F400" s="6"/>
      <c r="G400" s="7"/>
      <c r="H400" s="7"/>
      <c r="I400" s="7"/>
      <c r="J400" s="7"/>
      <c r="K400" s="10"/>
      <c r="L400" s="7"/>
      <c r="M400" s="7"/>
      <c r="N400" s="7"/>
      <c r="O400" s="13"/>
      <c r="P400" s="13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8"/>
      <c r="AI400" s="7"/>
      <c r="AJ400" s="7"/>
      <c r="AK400" s="7"/>
      <c r="AL400" s="10"/>
      <c r="AM400" s="7" t="e">
        <f>VLOOKUP(AL400,Personal!$A$2:$I$300,2,FALSE)</f>
        <v>#N/A</v>
      </c>
      <c r="AN400" s="7" t="e">
        <f>VLOOKUP(AL400,Personal!$A$2:$I$300,3,FALSE)</f>
        <v>#N/A</v>
      </c>
      <c r="AO400" s="7" t="e">
        <f>VLOOKUP(AL400,Personal!$A$2:$I$300,6,FALSE)</f>
        <v>#N/A</v>
      </c>
      <c r="AP400" s="7" t="e">
        <f>VLOOKUP(AL400,Personal!$A$2:$I$300,7,FALSE)</f>
        <v>#N/A</v>
      </c>
      <c r="AQ400" s="7" t="e">
        <f>VLOOKUP(AL400,Personal!$A$2:$I$300,8,FALSE)</f>
        <v>#N/A</v>
      </c>
      <c r="AR400" s="7"/>
    </row>
    <row r="401" spans="2:44" x14ac:dyDescent="0.3">
      <c r="B401" s="6">
        <v>396</v>
      </c>
      <c r="C401" s="6"/>
      <c r="D401" s="6"/>
      <c r="E401" s="6"/>
      <c r="F401" s="6"/>
      <c r="G401" s="7"/>
      <c r="H401" s="7"/>
      <c r="I401" s="7"/>
      <c r="J401" s="7"/>
      <c r="K401" s="10"/>
      <c r="L401" s="7"/>
      <c r="M401" s="7"/>
      <c r="N401" s="7"/>
      <c r="O401" s="13"/>
      <c r="P401" s="13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8"/>
      <c r="AI401" s="7"/>
      <c r="AJ401" s="7"/>
      <c r="AK401" s="7"/>
      <c r="AL401" s="10"/>
      <c r="AM401" s="7" t="e">
        <f>VLOOKUP(AL401,Personal!$A$2:$I$300,2,FALSE)</f>
        <v>#N/A</v>
      </c>
      <c r="AN401" s="7" t="e">
        <f>VLOOKUP(AL401,Personal!$A$2:$I$300,3,FALSE)</f>
        <v>#N/A</v>
      </c>
      <c r="AO401" s="7" t="e">
        <f>VLOOKUP(AL401,Personal!$A$2:$I$300,6,FALSE)</f>
        <v>#N/A</v>
      </c>
      <c r="AP401" s="7" t="e">
        <f>VLOOKUP(AL401,Personal!$A$2:$I$300,7,FALSE)</f>
        <v>#N/A</v>
      </c>
      <c r="AQ401" s="7" t="e">
        <f>VLOOKUP(AL401,Personal!$A$2:$I$300,8,FALSE)</f>
        <v>#N/A</v>
      </c>
      <c r="AR401" s="7"/>
    </row>
    <row r="402" spans="2:44" x14ac:dyDescent="0.3">
      <c r="B402" s="6">
        <v>397</v>
      </c>
      <c r="C402" s="6"/>
      <c r="D402" s="6"/>
      <c r="E402" s="6"/>
      <c r="F402" s="6"/>
      <c r="G402" s="7"/>
      <c r="H402" s="7"/>
      <c r="I402" s="7"/>
      <c r="J402" s="7"/>
      <c r="K402" s="10"/>
      <c r="L402" s="7"/>
      <c r="M402" s="7"/>
      <c r="N402" s="7"/>
      <c r="O402" s="13"/>
      <c r="P402" s="13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8"/>
      <c r="AI402" s="7"/>
      <c r="AJ402" s="7"/>
      <c r="AK402" s="7"/>
      <c r="AL402" s="10"/>
      <c r="AM402" s="7" t="e">
        <f>VLOOKUP(AL402,Personal!$A$2:$I$300,2,FALSE)</f>
        <v>#N/A</v>
      </c>
      <c r="AN402" s="7" t="e">
        <f>VLOOKUP(AL402,Personal!$A$2:$I$300,3,FALSE)</f>
        <v>#N/A</v>
      </c>
      <c r="AO402" s="7" t="e">
        <f>VLOOKUP(AL402,Personal!$A$2:$I$300,6,FALSE)</f>
        <v>#N/A</v>
      </c>
      <c r="AP402" s="7" t="e">
        <f>VLOOKUP(AL402,Personal!$A$2:$I$300,7,FALSE)</f>
        <v>#N/A</v>
      </c>
      <c r="AQ402" s="7" t="e">
        <f>VLOOKUP(AL402,Personal!$A$2:$I$300,8,FALSE)</f>
        <v>#N/A</v>
      </c>
      <c r="AR402" s="7"/>
    </row>
    <row r="403" spans="2:44" x14ac:dyDescent="0.3">
      <c r="B403" s="6">
        <v>398</v>
      </c>
      <c r="C403" s="6"/>
      <c r="D403" s="6"/>
      <c r="E403" s="6"/>
      <c r="F403" s="6"/>
      <c r="G403" s="7"/>
      <c r="H403" s="7"/>
      <c r="I403" s="7"/>
      <c r="J403" s="7"/>
      <c r="K403" s="10"/>
      <c r="L403" s="7"/>
      <c r="M403" s="7"/>
      <c r="N403" s="7"/>
      <c r="O403" s="13"/>
      <c r="P403" s="13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8"/>
      <c r="AI403" s="7"/>
      <c r="AJ403" s="7"/>
      <c r="AK403" s="7"/>
      <c r="AL403" s="10"/>
      <c r="AM403" s="7" t="e">
        <f>VLOOKUP(AL403,Personal!$A$2:$I$300,2,FALSE)</f>
        <v>#N/A</v>
      </c>
      <c r="AN403" s="7" t="e">
        <f>VLOOKUP(AL403,Personal!$A$2:$I$300,3,FALSE)</f>
        <v>#N/A</v>
      </c>
      <c r="AO403" s="7" t="e">
        <f>VLOOKUP(AL403,Personal!$A$2:$I$300,6,FALSE)</f>
        <v>#N/A</v>
      </c>
      <c r="AP403" s="7" t="e">
        <f>VLOOKUP(AL403,Personal!$A$2:$I$300,7,FALSE)</f>
        <v>#N/A</v>
      </c>
      <c r="AQ403" s="7" t="e">
        <f>VLOOKUP(AL403,Personal!$A$2:$I$300,8,FALSE)</f>
        <v>#N/A</v>
      </c>
      <c r="AR403" s="7"/>
    </row>
    <row r="404" spans="2:44" x14ac:dyDescent="0.3">
      <c r="B404" s="6">
        <v>399</v>
      </c>
      <c r="C404" s="6"/>
      <c r="D404" s="6"/>
      <c r="E404" s="6"/>
      <c r="F404" s="6"/>
      <c r="G404" s="7"/>
      <c r="H404" s="7"/>
      <c r="I404" s="7"/>
      <c r="J404" s="7"/>
      <c r="K404" s="10"/>
      <c r="L404" s="7"/>
      <c r="M404" s="7"/>
      <c r="N404" s="7"/>
      <c r="O404" s="13"/>
      <c r="P404" s="13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8"/>
      <c r="AI404" s="7"/>
      <c r="AJ404" s="7"/>
      <c r="AK404" s="7"/>
      <c r="AL404" s="10"/>
      <c r="AM404" s="7" t="e">
        <f>VLOOKUP(AL404,Personal!$A$2:$I$300,2,FALSE)</f>
        <v>#N/A</v>
      </c>
      <c r="AN404" s="7" t="e">
        <f>VLOOKUP(AL404,Personal!$A$2:$I$300,3,FALSE)</f>
        <v>#N/A</v>
      </c>
      <c r="AO404" s="7" t="e">
        <f>VLOOKUP(AL404,Personal!$A$2:$I$300,6,FALSE)</f>
        <v>#N/A</v>
      </c>
      <c r="AP404" s="7" t="e">
        <f>VLOOKUP(AL404,Personal!$A$2:$I$300,7,FALSE)</f>
        <v>#N/A</v>
      </c>
      <c r="AQ404" s="7" t="e">
        <f>VLOOKUP(AL404,Personal!$A$2:$I$300,8,FALSE)</f>
        <v>#N/A</v>
      </c>
      <c r="AR404" s="7"/>
    </row>
    <row r="405" spans="2:44" x14ac:dyDescent="0.3">
      <c r="B405" s="6">
        <v>400</v>
      </c>
      <c r="C405" s="6"/>
      <c r="D405" s="6"/>
      <c r="E405" s="6"/>
      <c r="F405" s="6"/>
      <c r="G405" s="7"/>
      <c r="H405" s="7"/>
      <c r="I405" s="7"/>
      <c r="J405" s="7"/>
      <c r="K405" s="10"/>
      <c r="L405" s="7"/>
      <c r="M405" s="7"/>
      <c r="N405" s="7"/>
      <c r="O405" s="13"/>
      <c r="P405" s="13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8"/>
      <c r="AI405" s="7"/>
      <c r="AJ405" s="7"/>
      <c r="AK405" s="7"/>
      <c r="AL405" s="10"/>
      <c r="AM405" s="7" t="e">
        <f>VLOOKUP(AL405,Personal!$A$2:$I$300,2,FALSE)</f>
        <v>#N/A</v>
      </c>
      <c r="AN405" s="7" t="e">
        <f>VLOOKUP(AL405,Personal!$A$2:$I$300,3,FALSE)</f>
        <v>#N/A</v>
      </c>
      <c r="AO405" s="7" t="e">
        <f>VLOOKUP(AL405,Personal!$A$2:$I$300,6,FALSE)</f>
        <v>#N/A</v>
      </c>
      <c r="AP405" s="7" t="e">
        <f>VLOOKUP(AL405,Personal!$A$2:$I$300,7,FALSE)</f>
        <v>#N/A</v>
      </c>
      <c r="AQ405" s="7" t="e">
        <f>VLOOKUP(AL405,Personal!$A$2:$I$300,8,FALSE)</f>
        <v>#N/A</v>
      </c>
      <c r="AR405" s="7"/>
    </row>
    <row r="406" spans="2:44" x14ac:dyDescent="0.3">
      <c r="B406" s="6">
        <v>401</v>
      </c>
      <c r="C406" s="6"/>
      <c r="D406" s="6"/>
      <c r="E406" s="6"/>
      <c r="F406" s="6"/>
      <c r="G406" s="7"/>
      <c r="H406" s="7"/>
      <c r="I406" s="7"/>
      <c r="J406" s="7"/>
      <c r="K406" s="10"/>
      <c r="L406" s="7"/>
      <c r="M406" s="7"/>
      <c r="N406" s="7"/>
      <c r="O406" s="13"/>
      <c r="P406" s="13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8"/>
      <c r="AI406" s="7"/>
      <c r="AJ406" s="7"/>
      <c r="AK406" s="7"/>
      <c r="AL406" s="10"/>
      <c r="AM406" s="7" t="e">
        <f>VLOOKUP(AL406,Personal!$A$2:$I$300,2,FALSE)</f>
        <v>#N/A</v>
      </c>
      <c r="AN406" s="7" t="e">
        <f>VLOOKUP(AL406,Personal!$A$2:$I$300,3,FALSE)</f>
        <v>#N/A</v>
      </c>
      <c r="AO406" s="7" t="e">
        <f>VLOOKUP(AL406,Personal!$A$2:$I$300,6,FALSE)</f>
        <v>#N/A</v>
      </c>
      <c r="AP406" s="7" t="e">
        <f>VLOOKUP(AL406,Personal!$A$2:$I$300,7,FALSE)</f>
        <v>#N/A</v>
      </c>
      <c r="AQ406" s="7" t="e">
        <f>VLOOKUP(AL406,Personal!$A$2:$I$300,8,FALSE)</f>
        <v>#N/A</v>
      </c>
      <c r="AR406" s="7"/>
    </row>
    <row r="407" spans="2:44" x14ac:dyDescent="0.3">
      <c r="B407" s="6">
        <v>402</v>
      </c>
      <c r="C407" s="6"/>
      <c r="D407" s="6"/>
      <c r="E407" s="6"/>
      <c r="F407" s="6"/>
      <c r="G407" s="7"/>
      <c r="H407" s="7"/>
      <c r="I407" s="7"/>
      <c r="J407" s="7"/>
      <c r="K407" s="10"/>
      <c r="L407" s="7"/>
      <c r="M407" s="7"/>
      <c r="N407" s="7"/>
      <c r="O407" s="13"/>
      <c r="P407" s="13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8"/>
      <c r="AI407" s="7"/>
      <c r="AJ407" s="7"/>
      <c r="AK407" s="7"/>
      <c r="AL407" s="10"/>
      <c r="AM407" s="7" t="e">
        <f>VLOOKUP(AL407,Personal!$A$2:$I$300,2,FALSE)</f>
        <v>#N/A</v>
      </c>
      <c r="AN407" s="7" t="e">
        <f>VLOOKUP(AL407,Personal!$A$2:$I$300,3,FALSE)</f>
        <v>#N/A</v>
      </c>
      <c r="AO407" s="7" t="e">
        <f>VLOOKUP(AL407,Personal!$A$2:$I$300,6,FALSE)</f>
        <v>#N/A</v>
      </c>
      <c r="AP407" s="7" t="e">
        <f>VLOOKUP(AL407,Personal!$A$2:$I$300,7,FALSE)</f>
        <v>#N/A</v>
      </c>
      <c r="AQ407" s="7" t="e">
        <f>VLOOKUP(AL407,Personal!$A$2:$I$300,8,FALSE)</f>
        <v>#N/A</v>
      </c>
      <c r="AR407" s="7"/>
    </row>
    <row r="408" spans="2:44" x14ac:dyDescent="0.3">
      <c r="B408" s="6">
        <v>403</v>
      </c>
      <c r="C408" s="6"/>
      <c r="D408" s="6"/>
      <c r="E408" s="6"/>
      <c r="F408" s="6"/>
      <c r="G408" s="7"/>
      <c r="H408" s="7"/>
      <c r="I408" s="7"/>
      <c r="J408" s="7"/>
      <c r="K408" s="10"/>
      <c r="L408" s="7"/>
      <c r="M408" s="7"/>
      <c r="N408" s="7"/>
      <c r="O408" s="13"/>
      <c r="P408" s="13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8"/>
      <c r="AI408" s="7"/>
      <c r="AJ408" s="7"/>
      <c r="AK408" s="7"/>
      <c r="AL408" s="10"/>
      <c r="AM408" s="7" t="e">
        <f>VLOOKUP(AL408,Personal!$A$2:$I$300,2,FALSE)</f>
        <v>#N/A</v>
      </c>
      <c r="AN408" s="7" t="e">
        <f>VLOOKUP(AL408,Personal!$A$2:$I$300,3,FALSE)</f>
        <v>#N/A</v>
      </c>
      <c r="AO408" s="7" t="e">
        <f>VLOOKUP(AL408,Personal!$A$2:$I$300,6,FALSE)</f>
        <v>#N/A</v>
      </c>
      <c r="AP408" s="7" t="e">
        <f>VLOOKUP(AL408,Personal!$A$2:$I$300,7,FALSE)</f>
        <v>#N/A</v>
      </c>
      <c r="AQ408" s="7" t="e">
        <f>VLOOKUP(AL408,Personal!$A$2:$I$300,8,FALSE)</f>
        <v>#N/A</v>
      </c>
      <c r="AR408" s="7"/>
    </row>
    <row r="409" spans="2:44" x14ac:dyDescent="0.3">
      <c r="B409" s="6">
        <v>404</v>
      </c>
      <c r="C409" s="6"/>
      <c r="D409" s="6"/>
      <c r="E409" s="6"/>
      <c r="F409" s="6"/>
      <c r="G409" s="7"/>
      <c r="H409" s="7"/>
      <c r="I409" s="7"/>
      <c r="J409" s="7"/>
      <c r="K409" s="10"/>
      <c r="L409" s="7"/>
      <c r="M409" s="7"/>
      <c r="N409" s="7"/>
      <c r="O409" s="13"/>
      <c r="P409" s="13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8"/>
      <c r="AI409" s="7"/>
      <c r="AJ409" s="7"/>
      <c r="AK409" s="7"/>
      <c r="AL409" s="10"/>
      <c r="AM409" s="7" t="e">
        <f>VLOOKUP(AL409,Personal!$A$2:$I$300,2,FALSE)</f>
        <v>#N/A</v>
      </c>
      <c r="AN409" s="7" t="e">
        <f>VLOOKUP(AL409,Personal!$A$2:$I$300,3,FALSE)</f>
        <v>#N/A</v>
      </c>
      <c r="AO409" s="7" t="e">
        <f>VLOOKUP(AL409,Personal!$A$2:$I$300,6,FALSE)</f>
        <v>#N/A</v>
      </c>
      <c r="AP409" s="7" t="e">
        <f>VLOOKUP(AL409,Personal!$A$2:$I$300,7,FALSE)</f>
        <v>#N/A</v>
      </c>
      <c r="AQ409" s="7" t="e">
        <f>VLOOKUP(AL409,Personal!$A$2:$I$300,8,FALSE)</f>
        <v>#N/A</v>
      </c>
      <c r="AR409" s="7"/>
    </row>
    <row r="410" spans="2:44" x14ac:dyDescent="0.3">
      <c r="B410" s="6">
        <v>405</v>
      </c>
      <c r="C410" s="6"/>
      <c r="D410" s="6"/>
      <c r="E410" s="6"/>
      <c r="F410" s="6"/>
      <c r="G410" s="7"/>
      <c r="H410" s="7"/>
      <c r="I410" s="7"/>
      <c r="J410" s="7"/>
      <c r="K410" s="10"/>
      <c r="L410" s="7"/>
      <c r="M410" s="7"/>
      <c r="N410" s="7"/>
      <c r="O410" s="13"/>
      <c r="P410" s="13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8"/>
      <c r="AI410" s="7"/>
      <c r="AJ410" s="7"/>
      <c r="AK410" s="7"/>
      <c r="AL410" s="10"/>
      <c r="AM410" s="7" t="e">
        <f>VLOOKUP(AL410,Personal!$A$2:$I$300,2,FALSE)</f>
        <v>#N/A</v>
      </c>
      <c r="AN410" s="7" t="e">
        <f>VLOOKUP(AL410,Personal!$A$2:$I$300,3,FALSE)</f>
        <v>#N/A</v>
      </c>
      <c r="AO410" s="7" t="e">
        <f>VLOOKUP(AL410,Personal!$A$2:$I$300,6,FALSE)</f>
        <v>#N/A</v>
      </c>
      <c r="AP410" s="7" t="e">
        <f>VLOOKUP(AL410,Personal!$A$2:$I$300,7,FALSE)</f>
        <v>#N/A</v>
      </c>
      <c r="AQ410" s="7" t="e">
        <f>VLOOKUP(AL410,Personal!$A$2:$I$300,8,FALSE)</f>
        <v>#N/A</v>
      </c>
      <c r="AR410" s="7"/>
    </row>
    <row r="411" spans="2:44" x14ac:dyDescent="0.3">
      <c r="B411" s="6">
        <v>406</v>
      </c>
      <c r="C411" s="6"/>
      <c r="D411" s="6"/>
      <c r="E411" s="6"/>
      <c r="F411" s="6"/>
      <c r="G411" s="7"/>
      <c r="H411" s="7"/>
      <c r="I411" s="7"/>
      <c r="J411" s="7"/>
      <c r="K411" s="10"/>
      <c r="L411" s="7"/>
      <c r="M411" s="7"/>
      <c r="N411" s="7"/>
      <c r="O411" s="13"/>
      <c r="P411" s="13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8"/>
      <c r="AI411" s="7"/>
      <c r="AJ411" s="7"/>
      <c r="AK411" s="7"/>
      <c r="AL411" s="10"/>
      <c r="AM411" s="7" t="e">
        <f>VLOOKUP(AL411,Personal!$A$2:$I$300,2,FALSE)</f>
        <v>#N/A</v>
      </c>
      <c r="AN411" s="7" t="e">
        <f>VLOOKUP(AL411,Personal!$A$2:$I$300,3,FALSE)</f>
        <v>#N/A</v>
      </c>
      <c r="AO411" s="7" t="e">
        <f>VLOOKUP(AL411,Personal!$A$2:$I$300,6,FALSE)</f>
        <v>#N/A</v>
      </c>
      <c r="AP411" s="7" t="e">
        <f>VLOOKUP(AL411,Personal!$A$2:$I$300,7,FALSE)</f>
        <v>#N/A</v>
      </c>
      <c r="AQ411" s="7" t="e">
        <f>VLOOKUP(AL411,Personal!$A$2:$I$300,8,FALSE)</f>
        <v>#N/A</v>
      </c>
      <c r="AR411" s="7"/>
    </row>
    <row r="412" spans="2:44" x14ac:dyDescent="0.3">
      <c r="B412" s="6">
        <v>407</v>
      </c>
      <c r="C412" s="6"/>
      <c r="D412" s="6"/>
      <c r="E412" s="6"/>
      <c r="F412" s="6"/>
      <c r="G412" s="7"/>
      <c r="H412" s="7"/>
      <c r="I412" s="7"/>
      <c r="J412" s="7"/>
      <c r="K412" s="10"/>
      <c r="L412" s="7"/>
      <c r="M412" s="7"/>
      <c r="N412" s="7"/>
      <c r="O412" s="13"/>
      <c r="P412" s="13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8"/>
      <c r="AI412" s="7"/>
      <c r="AJ412" s="7"/>
      <c r="AK412" s="7"/>
      <c r="AL412" s="10"/>
      <c r="AM412" s="7" t="e">
        <f>VLOOKUP(AL412,Personal!$A$2:$I$300,2,FALSE)</f>
        <v>#N/A</v>
      </c>
      <c r="AN412" s="7" t="e">
        <f>VLOOKUP(AL412,Personal!$A$2:$I$300,3,FALSE)</f>
        <v>#N/A</v>
      </c>
      <c r="AO412" s="7" t="e">
        <f>VLOOKUP(AL412,Personal!$A$2:$I$300,6,FALSE)</f>
        <v>#N/A</v>
      </c>
      <c r="AP412" s="7" t="e">
        <f>VLOOKUP(AL412,Personal!$A$2:$I$300,7,FALSE)</f>
        <v>#N/A</v>
      </c>
      <c r="AQ412" s="7" t="e">
        <f>VLOOKUP(AL412,Personal!$A$2:$I$300,8,FALSE)</f>
        <v>#N/A</v>
      </c>
      <c r="AR412" s="7"/>
    </row>
    <row r="413" spans="2:44" x14ac:dyDescent="0.3">
      <c r="B413" s="6">
        <v>408</v>
      </c>
      <c r="C413" s="6"/>
      <c r="D413" s="6"/>
      <c r="E413" s="6"/>
      <c r="F413" s="6"/>
      <c r="G413" s="7"/>
      <c r="H413" s="7"/>
      <c r="I413" s="7"/>
      <c r="J413" s="7"/>
      <c r="K413" s="10"/>
      <c r="L413" s="7"/>
      <c r="M413" s="7"/>
      <c r="N413" s="7"/>
      <c r="O413" s="13"/>
      <c r="P413" s="13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8"/>
      <c r="AI413" s="7"/>
      <c r="AJ413" s="7"/>
      <c r="AK413" s="7"/>
      <c r="AL413" s="10"/>
      <c r="AM413" s="7" t="e">
        <f>VLOOKUP(AL413,Personal!$A$2:$I$300,2,FALSE)</f>
        <v>#N/A</v>
      </c>
      <c r="AN413" s="7" t="e">
        <f>VLOOKUP(AL413,Personal!$A$2:$I$300,3,FALSE)</f>
        <v>#N/A</v>
      </c>
      <c r="AO413" s="7" t="e">
        <f>VLOOKUP(AL413,Personal!$A$2:$I$300,6,FALSE)</f>
        <v>#N/A</v>
      </c>
      <c r="AP413" s="7" t="e">
        <f>VLOOKUP(AL413,Personal!$A$2:$I$300,7,FALSE)</f>
        <v>#N/A</v>
      </c>
      <c r="AQ413" s="7" t="e">
        <f>VLOOKUP(AL413,Personal!$A$2:$I$300,8,FALSE)</f>
        <v>#N/A</v>
      </c>
      <c r="AR413" s="7"/>
    </row>
    <row r="414" spans="2:44" x14ac:dyDescent="0.3">
      <c r="B414" s="6">
        <v>409</v>
      </c>
      <c r="C414" s="6"/>
      <c r="D414" s="6"/>
      <c r="E414" s="6"/>
      <c r="F414" s="6"/>
      <c r="G414" s="7"/>
      <c r="H414" s="7"/>
      <c r="I414" s="7"/>
      <c r="J414" s="7"/>
      <c r="K414" s="10"/>
      <c r="L414" s="7"/>
      <c r="M414" s="7"/>
      <c r="N414" s="7"/>
      <c r="O414" s="13"/>
      <c r="P414" s="13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8"/>
      <c r="AI414" s="7"/>
      <c r="AJ414" s="7"/>
      <c r="AK414" s="7"/>
      <c r="AL414" s="10"/>
      <c r="AM414" s="7" t="e">
        <f>VLOOKUP(AL414,Personal!$A$2:$I$300,2,FALSE)</f>
        <v>#N/A</v>
      </c>
      <c r="AN414" s="7" t="e">
        <f>VLOOKUP(AL414,Personal!$A$2:$I$300,3,FALSE)</f>
        <v>#N/A</v>
      </c>
      <c r="AO414" s="7" t="e">
        <f>VLOOKUP(AL414,Personal!$A$2:$I$300,6,FALSE)</f>
        <v>#N/A</v>
      </c>
      <c r="AP414" s="7" t="e">
        <f>VLOOKUP(AL414,Personal!$A$2:$I$300,7,FALSE)</f>
        <v>#N/A</v>
      </c>
      <c r="AQ414" s="7" t="e">
        <f>VLOOKUP(AL414,Personal!$A$2:$I$300,8,FALSE)</f>
        <v>#N/A</v>
      </c>
      <c r="AR414" s="7"/>
    </row>
    <row r="415" spans="2:44" x14ac:dyDescent="0.3">
      <c r="B415" s="6">
        <v>410</v>
      </c>
      <c r="C415" s="6"/>
      <c r="D415" s="6"/>
      <c r="E415" s="6"/>
      <c r="F415" s="6"/>
      <c r="G415" s="7"/>
      <c r="H415" s="7"/>
      <c r="I415" s="7"/>
      <c r="J415" s="7"/>
      <c r="K415" s="10"/>
      <c r="L415" s="7"/>
      <c r="M415" s="7"/>
      <c r="N415" s="7"/>
      <c r="O415" s="13"/>
      <c r="P415" s="13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8"/>
      <c r="AI415" s="7"/>
      <c r="AJ415" s="7"/>
      <c r="AK415" s="7"/>
      <c r="AL415" s="10"/>
      <c r="AM415" s="7" t="e">
        <f>VLOOKUP(AL415,Personal!$A$2:$I$300,2,FALSE)</f>
        <v>#N/A</v>
      </c>
      <c r="AN415" s="7" t="e">
        <f>VLOOKUP(AL415,Personal!$A$2:$I$300,3,FALSE)</f>
        <v>#N/A</v>
      </c>
      <c r="AO415" s="7" t="e">
        <f>VLOOKUP(AL415,Personal!$A$2:$I$300,6,FALSE)</f>
        <v>#N/A</v>
      </c>
      <c r="AP415" s="7" t="e">
        <f>VLOOKUP(AL415,Personal!$A$2:$I$300,7,FALSE)</f>
        <v>#N/A</v>
      </c>
      <c r="AQ415" s="7" t="e">
        <f>VLOOKUP(AL415,Personal!$A$2:$I$300,8,FALSE)</f>
        <v>#N/A</v>
      </c>
      <c r="AR415" s="7"/>
    </row>
    <row r="416" spans="2:44" x14ac:dyDescent="0.3">
      <c r="B416" s="6">
        <v>411</v>
      </c>
      <c r="C416" s="6"/>
      <c r="D416" s="6"/>
      <c r="E416" s="6"/>
      <c r="F416" s="6"/>
      <c r="G416" s="7"/>
      <c r="H416" s="7"/>
      <c r="I416" s="7"/>
      <c r="J416" s="7"/>
      <c r="K416" s="10"/>
      <c r="L416" s="7"/>
      <c r="M416" s="7"/>
      <c r="N416" s="7"/>
      <c r="O416" s="13"/>
      <c r="P416" s="13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8"/>
      <c r="AI416" s="7"/>
      <c r="AJ416" s="7"/>
      <c r="AK416" s="7"/>
      <c r="AL416" s="10"/>
      <c r="AM416" s="7" t="e">
        <f>VLOOKUP(AL416,Personal!$A$2:$I$300,2,FALSE)</f>
        <v>#N/A</v>
      </c>
      <c r="AN416" s="7" t="e">
        <f>VLOOKUP(AL416,Personal!$A$2:$I$300,3,FALSE)</f>
        <v>#N/A</v>
      </c>
      <c r="AO416" s="7" t="e">
        <f>VLOOKUP(AL416,Personal!$A$2:$I$300,6,FALSE)</f>
        <v>#N/A</v>
      </c>
      <c r="AP416" s="7" t="e">
        <f>VLOOKUP(AL416,Personal!$A$2:$I$300,7,FALSE)</f>
        <v>#N/A</v>
      </c>
      <c r="AQ416" s="7" t="e">
        <f>VLOOKUP(AL416,Personal!$A$2:$I$300,8,FALSE)</f>
        <v>#N/A</v>
      </c>
      <c r="AR416" s="7"/>
    </row>
    <row r="417" spans="2:44" x14ac:dyDescent="0.3">
      <c r="B417" s="6">
        <v>412</v>
      </c>
      <c r="C417" s="6"/>
      <c r="D417" s="6"/>
      <c r="E417" s="6"/>
      <c r="F417" s="6"/>
      <c r="G417" s="7"/>
      <c r="H417" s="7"/>
      <c r="I417" s="7"/>
      <c r="J417" s="7"/>
      <c r="K417" s="10"/>
      <c r="L417" s="7"/>
      <c r="M417" s="7"/>
      <c r="N417" s="7"/>
      <c r="O417" s="13"/>
      <c r="P417" s="13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8"/>
      <c r="AI417" s="7"/>
      <c r="AJ417" s="7"/>
      <c r="AK417" s="7"/>
      <c r="AL417" s="10"/>
      <c r="AM417" s="7" t="e">
        <f>VLOOKUP(AL417,Personal!$A$2:$I$300,2,FALSE)</f>
        <v>#N/A</v>
      </c>
      <c r="AN417" s="7" t="e">
        <f>VLOOKUP(AL417,Personal!$A$2:$I$300,3,FALSE)</f>
        <v>#N/A</v>
      </c>
      <c r="AO417" s="7" t="e">
        <f>VLOOKUP(AL417,Personal!$A$2:$I$300,6,FALSE)</f>
        <v>#N/A</v>
      </c>
      <c r="AP417" s="7" t="e">
        <f>VLOOKUP(AL417,Personal!$A$2:$I$300,7,FALSE)</f>
        <v>#N/A</v>
      </c>
      <c r="AQ417" s="7" t="e">
        <f>VLOOKUP(AL417,Personal!$A$2:$I$300,8,FALSE)</f>
        <v>#N/A</v>
      </c>
      <c r="AR417" s="7"/>
    </row>
    <row r="418" spans="2:44" x14ac:dyDescent="0.3">
      <c r="B418" s="6">
        <v>413</v>
      </c>
      <c r="C418" s="6"/>
      <c r="D418" s="6"/>
      <c r="E418" s="6"/>
      <c r="F418" s="6"/>
      <c r="G418" s="7"/>
      <c r="H418" s="7"/>
      <c r="I418" s="7"/>
      <c r="J418" s="7"/>
      <c r="K418" s="10"/>
      <c r="L418" s="7"/>
      <c r="M418" s="7"/>
      <c r="N418" s="7"/>
      <c r="O418" s="13"/>
      <c r="P418" s="13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8"/>
      <c r="AI418" s="7"/>
      <c r="AJ418" s="7"/>
      <c r="AK418" s="7"/>
      <c r="AL418" s="10"/>
      <c r="AM418" s="7" t="e">
        <f>VLOOKUP(AL418,Personal!$A$2:$I$300,2,FALSE)</f>
        <v>#N/A</v>
      </c>
      <c r="AN418" s="7" t="e">
        <f>VLOOKUP(AL418,Personal!$A$2:$I$300,3,FALSE)</f>
        <v>#N/A</v>
      </c>
      <c r="AO418" s="7" t="e">
        <f>VLOOKUP(AL418,Personal!$A$2:$I$300,6,FALSE)</f>
        <v>#N/A</v>
      </c>
      <c r="AP418" s="7" t="e">
        <f>VLOOKUP(AL418,Personal!$A$2:$I$300,7,FALSE)</f>
        <v>#N/A</v>
      </c>
      <c r="AQ418" s="7" t="e">
        <f>VLOOKUP(AL418,Personal!$A$2:$I$300,8,FALSE)</f>
        <v>#N/A</v>
      </c>
      <c r="AR418" s="7"/>
    </row>
    <row r="419" spans="2:44" x14ac:dyDescent="0.3">
      <c r="B419" s="6">
        <v>414</v>
      </c>
      <c r="C419" s="6"/>
      <c r="D419" s="6"/>
      <c r="E419" s="6"/>
      <c r="F419" s="6"/>
      <c r="G419" s="7"/>
      <c r="H419" s="7"/>
      <c r="I419" s="7"/>
      <c r="J419" s="7"/>
      <c r="K419" s="10"/>
      <c r="L419" s="7"/>
      <c r="M419" s="7"/>
      <c r="N419" s="7"/>
      <c r="O419" s="13"/>
      <c r="P419" s="13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8"/>
      <c r="AI419" s="7"/>
      <c r="AJ419" s="7"/>
      <c r="AK419" s="7"/>
      <c r="AL419" s="10"/>
      <c r="AM419" s="7" t="e">
        <f>VLOOKUP(AL419,Personal!$A$2:$I$300,2,FALSE)</f>
        <v>#N/A</v>
      </c>
      <c r="AN419" s="7" t="e">
        <f>VLOOKUP(AL419,Personal!$A$2:$I$300,3,FALSE)</f>
        <v>#N/A</v>
      </c>
      <c r="AO419" s="7" t="e">
        <f>VLOOKUP(AL419,Personal!$A$2:$I$300,6,FALSE)</f>
        <v>#N/A</v>
      </c>
      <c r="AP419" s="7" t="e">
        <f>VLOOKUP(AL419,Personal!$A$2:$I$300,7,FALSE)</f>
        <v>#N/A</v>
      </c>
      <c r="AQ419" s="7" t="e">
        <f>VLOOKUP(AL419,Personal!$A$2:$I$300,8,FALSE)</f>
        <v>#N/A</v>
      </c>
      <c r="AR419" s="7"/>
    </row>
    <row r="420" spans="2:44" x14ac:dyDescent="0.3">
      <c r="B420" s="6">
        <v>415</v>
      </c>
      <c r="C420" s="6"/>
      <c r="D420" s="6"/>
      <c r="E420" s="6"/>
      <c r="F420" s="6"/>
      <c r="G420" s="7"/>
      <c r="H420" s="7"/>
      <c r="I420" s="7"/>
      <c r="J420" s="7"/>
      <c r="K420" s="10"/>
      <c r="L420" s="7"/>
      <c r="M420" s="7"/>
      <c r="N420" s="7"/>
      <c r="O420" s="13"/>
      <c r="P420" s="13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8"/>
      <c r="AI420" s="7"/>
      <c r="AJ420" s="7"/>
      <c r="AK420" s="7"/>
      <c r="AL420" s="10"/>
      <c r="AM420" s="7" t="e">
        <f>VLOOKUP(AL420,Personal!$A$2:$I$300,2,FALSE)</f>
        <v>#N/A</v>
      </c>
      <c r="AN420" s="7" t="e">
        <f>VLOOKUP(AL420,Personal!$A$2:$I$300,3,FALSE)</f>
        <v>#N/A</v>
      </c>
      <c r="AO420" s="7" t="e">
        <f>VLOOKUP(AL420,Personal!$A$2:$I$300,6,FALSE)</f>
        <v>#N/A</v>
      </c>
      <c r="AP420" s="7" t="e">
        <f>VLOOKUP(AL420,Personal!$A$2:$I$300,7,FALSE)</f>
        <v>#N/A</v>
      </c>
      <c r="AQ420" s="7" t="e">
        <f>VLOOKUP(AL420,Personal!$A$2:$I$300,8,FALSE)</f>
        <v>#N/A</v>
      </c>
      <c r="AR420" s="7"/>
    </row>
    <row r="421" spans="2:44" x14ac:dyDescent="0.3">
      <c r="B421" s="6">
        <v>416</v>
      </c>
      <c r="C421" s="6"/>
      <c r="D421" s="6"/>
      <c r="E421" s="6"/>
      <c r="F421" s="6"/>
      <c r="G421" s="7"/>
      <c r="H421" s="7"/>
      <c r="I421" s="7"/>
      <c r="J421" s="7"/>
      <c r="K421" s="10"/>
      <c r="L421" s="7"/>
      <c r="M421" s="7"/>
      <c r="N421" s="7"/>
      <c r="O421" s="13"/>
      <c r="P421" s="13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8"/>
      <c r="AI421" s="7"/>
      <c r="AJ421" s="7"/>
      <c r="AK421" s="7"/>
      <c r="AL421" s="10"/>
      <c r="AM421" s="7" t="e">
        <f>VLOOKUP(AL421,Personal!$A$2:$I$300,2,FALSE)</f>
        <v>#N/A</v>
      </c>
      <c r="AN421" s="7" t="e">
        <f>VLOOKUP(AL421,Personal!$A$2:$I$300,3,FALSE)</f>
        <v>#N/A</v>
      </c>
      <c r="AO421" s="7" t="e">
        <f>VLOOKUP(AL421,Personal!$A$2:$I$300,6,FALSE)</f>
        <v>#N/A</v>
      </c>
      <c r="AP421" s="7" t="e">
        <f>VLOOKUP(AL421,Personal!$A$2:$I$300,7,FALSE)</f>
        <v>#N/A</v>
      </c>
      <c r="AQ421" s="7" t="e">
        <f>VLOOKUP(AL421,Personal!$A$2:$I$300,8,FALSE)</f>
        <v>#N/A</v>
      </c>
      <c r="AR421" s="7"/>
    </row>
    <row r="422" spans="2:44" x14ac:dyDescent="0.3">
      <c r="B422" s="6">
        <v>417</v>
      </c>
      <c r="C422" s="6"/>
      <c r="D422" s="6"/>
      <c r="E422" s="6"/>
      <c r="F422" s="6"/>
      <c r="G422" s="7"/>
      <c r="H422" s="7"/>
      <c r="I422" s="7"/>
      <c r="J422" s="7"/>
      <c r="K422" s="10"/>
      <c r="L422" s="7"/>
      <c r="M422" s="7"/>
      <c r="N422" s="7"/>
      <c r="O422" s="13"/>
      <c r="P422" s="13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8"/>
      <c r="AI422" s="7"/>
      <c r="AJ422" s="7"/>
      <c r="AK422" s="7"/>
      <c r="AL422" s="10"/>
      <c r="AM422" s="7" t="e">
        <f>VLOOKUP(AL422,Personal!$A$2:$I$300,2,FALSE)</f>
        <v>#N/A</v>
      </c>
      <c r="AN422" s="7" t="e">
        <f>VLOOKUP(AL422,Personal!$A$2:$I$300,3,FALSE)</f>
        <v>#N/A</v>
      </c>
      <c r="AO422" s="7" t="e">
        <f>VLOOKUP(AL422,Personal!$A$2:$I$300,6,FALSE)</f>
        <v>#N/A</v>
      </c>
      <c r="AP422" s="7" t="e">
        <f>VLOOKUP(AL422,Personal!$A$2:$I$300,7,FALSE)</f>
        <v>#N/A</v>
      </c>
      <c r="AQ422" s="7" t="e">
        <f>VLOOKUP(AL422,Personal!$A$2:$I$300,8,FALSE)</f>
        <v>#N/A</v>
      </c>
      <c r="AR422" s="7"/>
    </row>
    <row r="423" spans="2:44" x14ac:dyDescent="0.3">
      <c r="B423" s="6">
        <v>418</v>
      </c>
      <c r="C423" s="6"/>
      <c r="D423" s="6"/>
      <c r="E423" s="6"/>
      <c r="F423" s="6"/>
      <c r="G423" s="7"/>
      <c r="H423" s="7"/>
      <c r="I423" s="7"/>
      <c r="J423" s="7"/>
      <c r="K423" s="10"/>
      <c r="L423" s="7"/>
      <c r="M423" s="7"/>
      <c r="N423" s="7"/>
      <c r="O423" s="13"/>
      <c r="P423" s="13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8"/>
      <c r="AI423" s="7"/>
      <c r="AJ423" s="7"/>
      <c r="AK423" s="7"/>
      <c r="AL423" s="10"/>
      <c r="AM423" s="7" t="e">
        <f>VLOOKUP(AL423,Personal!$A$2:$I$300,2,FALSE)</f>
        <v>#N/A</v>
      </c>
      <c r="AN423" s="7" t="e">
        <f>VLOOKUP(AL423,Personal!$A$2:$I$300,3,FALSE)</f>
        <v>#N/A</v>
      </c>
      <c r="AO423" s="7" t="e">
        <f>VLOOKUP(AL423,Personal!$A$2:$I$300,6,FALSE)</f>
        <v>#N/A</v>
      </c>
      <c r="AP423" s="7" t="e">
        <f>VLOOKUP(AL423,Personal!$A$2:$I$300,7,FALSE)</f>
        <v>#N/A</v>
      </c>
      <c r="AQ423" s="7" t="e">
        <f>VLOOKUP(AL423,Personal!$A$2:$I$300,8,FALSE)</f>
        <v>#N/A</v>
      </c>
      <c r="AR423" s="7"/>
    </row>
    <row r="424" spans="2:44" x14ac:dyDescent="0.3">
      <c r="B424" s="6">
        <v>419</v>
      </c>
      <c r="C424" s="6"/>
      <c r="D424" s="6"/>
      <c r="E424" s="6"/>
      <c r="F424" s="6"/>
      <c r="G424" s="7"/>
      <c r="H424" s="7"/>
      <c r="I424" s="7"/>
      <c r="J424" s="7"/>
      <c r="K424" s="10"/>
      <c r="L424" s="7"/>
      <c r="M424" s="7"/>
      <c r="N424" s="7"/>
      <c r="O424" s="13"/>
      <c r="P424" s="13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8"/>
      <c r="AI424" s="7"/>
      <c r="AJ424" s="7"/>
      <c r="AK424" s="7"/>
      <c r="AL424" s="10"/>
      <c r="AM424" s="7" t="e">
        <f>VLOOKUP(AL424,Personal!$A$2:$I$300,2,FALSE)</f>
        <v>#N/A</v>
      </c>
      <c r="AN424" s="7" t="e">
        <f>VLOOKUP(AL424,Personal!$A$2:$I$300,3,FALSE)</f>
        <v>#N/A</v>
      </c>
      <c r="AO424" s="7" t="e">
        <f>VLOOKUP(AL424,Personal!$A$2:$I$300,6,FALSE)</f>
        <v>#N/A</v>
      </c>
      <c r="AP424" s="7" t="e">
        <f>VLOOKUP(AL424,Personal!$A$2:$I$300,7,FALSE)</f>
        <v>#N/A</v>
      </c>
      <c r="AQ424" s="7" t="e">
        <f>VLOOKUP(AL424,Personal!$A$2:$I$300,8,FALSE)</f>
        <v>#N/A</v>
      </c>
      <c r="AR424" s="7"/>
    </row>
    <row r="425" spans="2:44" x14ac:dyDescent="0.3">
      <c r="B425" s="6">
        <v>420</v>
      </c>
      <c r="C425" s="6"/>
      <c r="D425" s="6"/>
      <c r="E425" s="6"/>
      <c r="F425" s="6"/>
      <c r="G425" s="7"/>
      <c r="H425" s="7"/>
      <c r="I425" s="7"/>
      <c r="J425" s="7"/>
      <c r="K425" s="10"/>
      <c r="L425" s="7"/>
      <c r="M425" s="7"/>
      <c r="N425" s="7"/>
      <c r="O425" s="13"/>
      <c r="P425" s="13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8"/>
      <c r="AI425" s="7"/>
      <c r="AJ425" s="7"/>
      <c r="AK425" s="7"/>
      <c r="AL425" s="10"/>
      <c r="AM425" s="7" t="e">
        <f>VLOOKUP(AL425,Personal!$A$2:$I$300,2,FALSE)</f>
        <v>#N/A</v>
      </c>
      <c r="AN425" s="7" t="e">
        <f>VLOOKUP(AL425,Personal!$A$2:$I$300,3,FALSE)</f>
        <v>#N/A</v>
      </c>
      <c r="AO425" s="7" t="e">
        <f>VLOOKUP(AL425,Personal!$A$2:$I$300,6,FALSE)</f>
        <v>#N/A</v>
      </c>
      <c r="AP425" s="7" t="e">
        <f>VLOOKUP(AL425,Personal!$A$2:$I$300,7,FALSE)</f>
        <v>#N/A</v>
      </c>
      <c r="AQ425" s="7" t="e">
        <f>VLOOKUP(AL425,Personal!$A$2:$I$300,8,FALSE)</f>
        <v>#N/A</v>
      </c>
      <c r="AR425" s="7"/>
    </row>
    <row r="426" spans="2:44" x14ac:dyDescent="0.3">
      <c r="B426" s="6">
        <v>421</v>
      </c>
      <c r="C426" s="6"/>
      <c r="D426" s="6"/>
      <c r="E426" s="6"/>
      <c r="F426" s="6"/>
      <c r="G426" s="7"/>
      <c r="H426" s="7"/>
      <c r="I426" s="7"/>
      <c r="J426" s="7"/>
      <c r="K426" s="10"/>
      <c r="L426" s="7"/>
      <c r="M426" s="7"/>
      <c r="N426" s="7"/>
      <c r="O426" s="13"/>
      <c r="P426" s="13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8"/>
      <c r="AI426" s="7"/>
      <c r="AJ426" s="7"/>
      <c r="AK426" s="7"/>
      <c r="AL426" s="10"/>
      <c r="AM426" s="7" t="e">
        <f>VLOOKUP(AL426,Personal!$A$2:$I$300,2,FALSE)</f>
        <v>#N/A</v>
      </c>
      <c r="AN426" s="7" t="e">
        <f>VLOOKUP(AL426,Personal!$A$2:$I$300,3,FALSE)</f>
        <v>#N/A</v>
      </c>
      <c r="AO426" s="7" t="e">
        <f>VLOOKUP(AL426,Personal!$A$2:$I$300,6,FALSE)</f>
        <v>#N/A</v>
      </c>
      <c r="AP426" s="7" t="e">
        <f>VLOOKUP(AL426,Personal!$A$2:$I$300,7,FALSE)</f>
        <v>#N/A</v>
      </c>
      <c r="AQ426" s="7" t="e">
        <f>VLOOKUP(AL426,Personal!$A$2:$I$300,8,FALSE)</f>
        <v>#N/A</v>
      </c>
      <c r="AR426" s="7"/>
    </row>
    <row r="427" spans="2:44" x14ac:dyDescent="0.3">
      <c r="B427" s="6">
        <v>422</v>
      </c>
      <c r="C427" s="6"/>
      <c r="D427" s="6"/>
      <c r="E427" s="6"/>
      <c r="F427" s="6"/>
      <c r="G427" s="7"/>
      <c r="H427" s="7"/>
      <c r="I427" s="7"/>
      <c r="J427" s="7"/>
      <c r="K427" s="10"/>
      <c r="L427" s="7"/>
      <c r="M427" s="7"/>
      <c r="N427" s="7"/>
      <c r="O427" s="13"/>
      <c r="P427" s="13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8"/>
      <c r="AI427" s="7"/>
      <c r="AJ427" s="7"/>
      <c r="AK427" s="7"/>
      <c r="AL427" s="10"/>
      <c r="AM427" s="7" t="e">
        <f>VLOOKUP(AL427,Personal!$A$2:$I$300,2,FALSE)</f>
        <v>#N/A</v>
      </c>
      <c r="AN427" s="7" t="e">
        <f>VLOOKUP(AL427,Personal!$A$2:$I$300,3,FALSE)</f>
        <v>#N/A</v>
      </c>
      <c r="AO427" s="7" t="e">
        <f>VLOOKUP(AL427,Personal!$A$2:$I$300,6,FALSE)</f>
        <v>#N/A</v>
      </c>
      <c r="AP427" s="7" t="e">
        <f>VLOOKUP(AL427,Personal!$A$2:$I$300,7,FALSE)</f>
        <v>#N/A</v>
      </c>
      <c r="AQ427" s="7" t="e">
        <f>VLOOKUP(AL427,Personal!$A$2:$I$300,8,FALSE)</f>
        <v>#N/A</v>
      </c>
      <c r="AR427" s="7"/>
    </row>
    <row r="428" spans="2:44" x14ac:dyDescent="0.3">
      <c r="B428" s="6">
        <v>423</v>
      </c>
      <c r="C428" s="6"/>
      <c r="D428" s="6"/>
      <c r="E428" s="6"/>
      <c r="F428" s="6"/>
      <c r="G428" s="7"/>
      <c r="H428" s="7"/>
      <c r="I428" s="7"/>
      <c r="J428" s="7"/>
      <c r="K428" s="10"/>
      <c r="L428" s="7"/>
      <c r="M428" s="7"/>
      <c r="N428" s="7"/>
      <c r="O428" s="13"/>
      <c r="P428" s="13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8"/>
      <c r="AI428" s="7"/>
      <c r="AJ428" s="7"/>
      <c r="AK428" s="7"/>
      <c r="AL428" s="10"/>
      <c r="AM428" s="7" t="e">
        <f>VLOOKUP(AL428,Personal!$A$2:$I$300,2,FALSE)</f>
        <v>#N/A</v>
      </c>
      <c r="AN428" s="7" t="e">
        <f>VLOOKUP(AL428,Personal!$A$2:$I$300,3,FALSE)</f>
        <v>#N/A</v>
      </c>
      <c r="AO428" s="7" t="e">
        <f>VLOOKUP(AL428,Personal!$A$2:$I$300,6,FALSE)</f>
        <v>#N/A</v>
      </c>
      <c r="AP428" s="7" t="e">
        <f>VLOOKUP(AL428,Personal!$A$2:$I$300,7,FALSE)</f>
        <v>#N/A</v>
      </c>
      <c r="AQ428" s="7" t="e">
        <f>VLOOKUP(AL428,Personal!$A$2:$I$300,8,FALSE)</f>
        <v>#N/A</v>
      </c>
      <c r="AR428" s="7"/>
    </row>
    <row r="429" spans="2:44" x14ac:dyDescent="0.3">
      <c r="B429" s="6">
        <v>424</v>
      </c>
      <c r="C429" s="6"/>
      <c r="D429" s="6"/>
      <c r="E429" s="6"/>
      <c r="F429" s="6"/>
      <c r="G429" s="7"/>
      <c r="H429" s="7"/>
      <c r="I429" s="7"/>
      <c r="J429" s="7"/>
      <c r="K429" s="10"/>
      <c r="L429" s="7"/>
      <c r="M429" s="7"/>
      <c r="N429" s="7"/>
      <c r="O429" s="13"/>
      <c r="P429" s="13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8"/>
      <c r="AI429" s="7"/>
      <c r="AJ429" s="7"/>
      <c r="AK429" s="7"/>
      <c r="AL429" s="10"/>
      <c r="AM429" s="7" t="e">
        <f>VLOOKUP(AL429,Personal!$A$2:$I$300,2,FALSE)</f>
        <v>#N/A</v>
      </c>
      <c r="AN429" s="7" t="e">
        <f>VLOOKUP(AL429,Personal!$A$2:$I$300,3,FALSE)</f>
        <v>#N/A</v>
      </c>
      <c r="AO429" s="7" t="e">
        <f>VLOOKUP(AL429,Personal!$A$2:$I$300,6,FALSE)</f>
        <v>#N/A</v>
      </c>
      <c r="AP429" s="7" t="e">
        <f>VLOOKUP(AL429,Personal!$A$2:$I$300,7,FALSE)</f>
        <v>#N/A</v>
      </c>
      <c r="AQ429" s="7" t="e">
        <f>VLOOKUP(AL429,Personal!$A$2:$I$300,8,FALSE)</f>
        <v>#N/A</v>
      </c>
      <c r="AR429" s="7"/>
    </row>
    <row r="430" spans="2:44" x14ac:dyDescent="0.3">
      <c r="B430" s="6">
        <v>425</v>
      </c>
      <c r="C430" s="6"/>
      <c r="D430" s="6"/>
      <c r="E430" s="6"/>
      <c r="F430" s="6"/>
      <c r="G430" s="7"/>
      <c r="H430" s="7"/>
      <c r="I430" s="7"/>
      <c r="J430" s="7"/>
      <c r="K430" s="10"/>
      <c r="L430" s="7"/>
      <c r="M430" s="7"/>
      <c r="N430" s="7"/>
      <c r="O430" s="13"/>
      <c r="P430" s="13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8"/>
      <c r="AI430" s="7"/>
      <c r="AJ430" s="7"/>
      <c r="AK430" s="7"/>
      <c r="AL430" s="10"/>
      <c r="AM430" s="7" t="e">
        <f>VLOOKUP(AL430,Personal!$A$2:$I$300,2,FALSE)</f>
        <v>#N/A</v>
      </c>
      <c r="AN430" s="7" t="e">
        <f>VLOOKUP(AL430,Personal!$A$2:$I$300,3,FALSE)</f>
        <v>#N/A</v>
      </c>
      <c r="AO430" s="7" t="e">
        <f>VLOOKUP(AL430,Personal!$A$2:$I$300,6,FALSE)</f>
        <v>#N/A</v>
      </c>
      <c r="AP430" s="7" t="e">
        <f>VLOOKUP(AL430,Personal!$A$2:$I$300,7,FALSE)</f>
        <v>#N/A</v>
      </c>
      <c r="AQ430" s="7" t="e">
        <f>VLOOKUP(AL430,Personal!$A$2:$I$300,8,FALSE)</f>
        <v>#N/A</v>
      </c>
      <c r="AR430" s="7"/>
    </row>
    <row r="431" spans="2:44" x14ac:dyDescent="0.3">
      <c r="B431" s="6">
        <v>426</v>
      </c>
      <c r="C431" s="6"/>
      <c r="D431" s="6"/>
      <c r="E431" s="6"/>
      <c r="F431" s="6"/>
      <c r="G431" s="7"/>
      <c r="H431" s="7"/>
      <c r="I431" s="7"/>
      <c r="J431" s="7"/>
      <c r="K431" s="10"/>
      <c r="L431" s="7"/>
      <c r="M431" s="7"/>
      <c r="N431" s="7"/>
      <c r="O431" s="13"/>
      <c r="P431" s="13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8"/>
      <c r="AI431" s="7"/>
      <c r="AJ431" s="7"/>
      <c r="AK431" s="7"/>
      <c r="AL431" s="10"/>
      <c r="AM431" s="7" t="e">
        <f>VLOOKUP(AL431,Personal!$A$2:$I$300,2,FALSE)</f>
        <v>#N/A</v>
      </c>
      <c r="AN431" s="7" t="e">
        <f>VLOOKUP(AL431,Personal!$A$2:$I$300,3,FALSE)</f>
        <v>#N/A</v>
      </c>
      <c r="AO431" s="7" t="e">
        <f>VLOOKUP(AL431,Personal!$A$2:$I$300,6,FALSE)</f>
        <v>#N/A</v>
      </c>
      <c r="AP431" s="7" t="e">
        <f>VLOOKUP(AL431,Personal!$A$2:$I$300,7,FALSE)</f>
        <v>#N/A</v>
      </c>
      <c r="AQ431" s="7" t="e">
        <f>VLOOKUP(AL431,Personal!$A$2:$I$300,8,FALSE)</f>
        <v>#N/A</v>
      </c>
      <c r="AR431" s="7"/>
    </row>
    <row r="432" spans="2:44" x14ac:dyDescent="0.3">
      <c r="B432" s="6">
        <v>427</v>
      </c>
      <c r="C432" s="6"/>
      <c r="D432" s="6"/>
      <c r="E432" s="6"/>
      <c r="F432" s="6"/>
      <c r="G432" s="7"/>
      <c r="H432" s="7"/>
      <c r="I432" s="7"/>
      <c r="J432" s="7"/>
      <c r="K432" s="10"/>
      <c r="L432" s="7"/>
      <c r="M432" s="7"/>
      <c r="N432" s="7"/>
      <c r="O432" s="13"/>
      <c r="P432" s="13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8"/>
      <c r="AI432" s="7"/>
      <c r="AJ432" s="7"/>
      <c r="AK432" s="7"/>
      <c r="AL432" s="10"/>
      <c r="AM432" s="7" t="e">
        <f>VLOOKUP(AL432,Personal!$A$2:$I$300,2,FALSE)</f>
        <v>#N/A</v>
      </c>
      <c r="AN432" s="7" t="e">
        <f>VLOOKUP(AL432,Personal!$A$2:$I$300,3,FALSE)</f>
        <v>#N/A</v>
      </c>
      <c r="AO432" s="7" t="e">
        <f>VLOOKUP(AL432,Personal!$A$2:$I$300,6,FALSE)</f>
        <v>#N/A</v>
      </c>
      <c r="AP432" s="7" t="e">
        <f>VLOOKUP(AL432,Personal!$A$2:$I$300,7,FALSE)</f>
        <v>#N/A</v>
      </c>
      <c r="AQ432" s="7" t="e">
        <f>VLOOKUP(AL432,Personal!$A$2:$I$300,8,FALSE)</f>
        <v>#N/A</v>
      </c>
      <c r="AR432" s="7"/>
    </row>
    <row r="433" spans="2:44" x14ac:dyDescent="0.3">
      <c r="B433" s="6">
        <v>428</v>
      </c>
      <c r="C433" s="6"/>
      <c r="D433" s="6"/>
      <c r="E433" s="6"/>
      <c r="F433" s="6"/>
      <c r="G433" s="7"/>
      <c r="H433" s="7"/>
      <c r="I433" s="7"/>
      <c r="J433" s="7"/>
      <c r="K433" s="10"/>
      <c r="L433" s="7"/>
      <c r="M433" s="7"/>
      <c r="N433" s="7"/>
      <c r="O433" s="13"/>
      <c r="P433" s="13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8"/>
      <c r="AI433" s="7"/>
      <c r="AJ433" s="7"/>
      <c r="AK433" s="7"/>
      <c r="AL433" s="10"/>
      <c r="AM433" s="7" t="e">
        <f>VLOOKUP(AL433,Personal!$A$2:$I$300,2,FALSE)</f>
        <v>#N/A</v>
      </c>
      <c r="AN433" s="7" t="e">
        <f>VLOOKUP(AL433,Personal!$A$2:$I$300,3,FALSE)</f>
        <v>#N/A</v>
      </c>
      <c r="AO433" s="7" t="e">
        <f>VLOOKUP(AL433,Personal!$A$2:$I$300,6,FALSE)</f>
        <v>#N/A</v>
      </c>
      <c r="AP433" s="7" t="e">
        <f>VLOOKUP(AL433,Personal!$A$2:$I$300,7,FALSE)</f>
        <v>#N/A</v>
      </c>
      <c r="AQ433" s="7" t="e">
        <f>VLOOKUP(AL433,Personal!$A$2:$I$300,8,FALSE)</f>
        <v>#N/A</v>
      </c>
      <c r="AR433" s="7"/>
    </row>
    <row r="434" spans="2:44" x14ac:dyDescent="0.3">
      <c r="B434" s="6">
        <v>429</v>
      </c>
      <c r="C434" s="6"/>
      <c r="D434" s="6"/>
      <c r="E434" s="6"/>
      <c r="F434" s="6"/>
      <c r="G434" s="7"/>
      <c r="H434" s="7"/>
      <c r="I434" s="7"/>
      <c r="J434" s="7"/>
      <c r="K434" s="10"/>
      <c r="L434" s="7"/>
      <c r="M434" s="7"/>
      <c r="N434" s="7"/>
      <c r="O434" s="13"/>
      <c r="P434" s="13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8"/>
      <c r="AI434" s="7"/>
      <c r="AJ434" s="7"/>
      <c r="AK434" s="7"/>
      <c r="AL434" s="10"/>
      <c r="AM434" s="7" t="e">
        <f>VLOOKUP(AL434,Personal!$A$2:$I$300,2,FALSE)</f>
        <v>#N/A</v>
      </c>
      <c r="AN434" s="7" t="e">
        <f>VLOOKUP(AL434,Personal!$A$2:$I$300,3,FALSE)</f>
        <v>#N/A</v>
      </c>
      <c r="AO434" s="7" t="e">
        <f>VLOOKUP(AL434,Personal!$A$2:$I$300,6,FALSE)</f>
        <v>#N/A</v>
      </c>
      <c r="AP434" s="7" t="e">
        <f>VLOOKUP(AL434,Personal!$A$2:$I$300,7,FALSE)</f>
        <v>#N/A</v>
      </c>
      <c r="AQ434" s="7" t="e">
        <f>VLOOKUP(AL434,Personal!$A$2:$I$300,8,FALSE)</f>
        <v>#N/A</v>
      </c>
      <c r="AR434" s="7"/>
    </row>
    <row r="435" spans="2:44" x14ac:dyDescent="0.3">
      <c r="B435" s="6">
        <v>430</v>
      </c>
      <c r="C435" s="6"/>
      <c r="D435" s="6"/>
      <c r="E435" s="6"/>
      <c r="F435" s="6"/>
      <c r="G435" s="7"/>
      <c r="H435" s="7"/>
      <c r="I435" s="7"/>
      <c r="J435" s="7"/>
      <c r="K435" s="10"/>
      <c r="L435" s="7"/>
      <c r="M435" s="7"/>
      <c r="N435" s="7"/>
      <c r="O435" s="13"/>
      <c r="P435" s="13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8"/>
      <c r="AI435" s="7"/>
      <c r="AJ435" s="7"/>
      <c r="AK435" s="7"/>
      <c r="AL435" s="10"/>
      <c r="AM435" s="7" t="e">
        <f>VLOOKUP(AL435,Personal!$A$2:$I$300,2,FALSE)</f>
        <v>#N/A</v>
      </c>
      <c r="AN435" s="7" t="e">
        <f>VLOOKUP(AL435,Personal!$A$2:$I$300,3,FALSE)</f>
        <v>#N/A</v>
      </c>
      <c r="AO435" s="7" t="e">
        <f>VLOOKUP(AL435,Personal!$A$2:$I$300,6,FALSE)</f>
        <v>#N/A</v>
      </c>
      <c r="AP435" s="7" t="e">
        <f>VLOOKUP(AL435,Personal!$A$2:$I$300,7,FALSE)</f>
        <v>#N/A</v>
      </c>
      <c r="AQ435" s="7" t="e">
        <f>VLOOKUP(AL435,Personal!$A$2:$I$300,8,FALSE)</f>
        <v>#N/A</v>
      </c>
      <c r="AR435" s="7"/>
    </row>
    <row r="436" spans="2:44" x14ac:dyDescent="0.3">
      <c r="B436" s="6">
        <v>431</v>
      </c>
      <c r="C436" s="6"/>
      <c r="D436" s="6"/>
      <c r="E436" s="6"/>
      <c r="F436" s="6"/>
      <c r="G436" s="7"/>
      <c r="H436" s="7"/>
      <c r="I436" s="7"/>
      <c r="J436" s="7"/>
      <c r="K436" s="10"/>
      <c r="L436" s="7"/>
      <c r="M436" s="7"/>
      <c r="N436" s="7"/>
      <c r="O436" s="13"/>
      <c r="P436" s="13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8"/>
      <c r="AI436" s="7"/>
      <c r="AJ436" s="7"/>
      <c r="AK436" s="7"/>
      <c r="AL436" s="10"/>
      <c r="AM436" s="7" t="e">
        <f>VLOOKUP(AL436,Personal!$A$2:$I$300,2,FALSE)</f>
        <v>#N/A</v>
      </c>
      <c r="AN436" s="7" t="e">
        <f>VLOOKUP(AL436,Personal!$A$2:$I$300,3,FALSE)</f>
        <v>#N/A</v>
      </c>
      <c r="AO436" s="7" t="e">
        <f>VLOOKUP(AL436,Personal!$A$2:$I$300,6,FALSE)</f>
        <v>#N/A</v>
      </c>
      <c r="AP436" s="7" t="e">
        <f>VLOOKUP(AL436,Personal!$A$2:$I$300,7,FALSE)</f>
        <v>#N/A</v>
      </c>
      <c r="AQ436" s="7" t="e">
        <f>VLOOKUP(AL436,Personal!$A$2:$I$300,8,FALSE)</f>
        <v>#N/A</v>
      </c>
      <c r="AR436" s="7"/>
    </row>
    <row r="437" spans="2:44" x14ac:dyDescent="0.3">
      <c r="B437" s="6">
        <v>432</v>
      </c>
      <c r="C437" s="6"/>
      <c r="D437" s="6"/>
      <c r="E437" s="6"/>
      <c r="F437" s="6"/>
      <c r="G437" s="7"/>
      <c r="H437" s="7"/>
      <c r="I437" s="7"/>
      <c r="J437" s="7"/>
      <c r="K437" s="10"/>
      <c r="L437" s="7"/>
      <c r="M437" s="7"/>
      <c r="N437" s="7"/>
      <c r="O437" s="13"/>
      <c r="P437" s="13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8"/>
      <c r="AI437" s="7"/>
      <c r="AJ437" s="7"/>
      <c r="AK437" s="7"/>
      <c r="AL437" s="10"/>
      <c r="AM437" s="7" t="e">
        <f>VLOOKUP(AL437,Personal!$A$2:$I$300,2,FALSE)</f>
        <v>#N/A</v>
      </c>
      <c r="AN437" s="7" t="e">
        <f>VLOOKUP(AL437,Personal!$A$2:$I$300,3,FALSE)</f>
        <v>#N/A</v>
      </c>
      <c r="AO437" s="7" t="e">
        <f>VLOOKUP(AL437,Personal!$A$2:$I$300,6,FALSE)</f>
        <v>#N/A</v>
      </c>
      <c r="AP437" s="7" t="e">
        <f>VLOOKUP(AL437,Personal!$A$2:$I$300,7,FALSE)</f>
        <v>#N/A</v>
      </c>
      <c r="AQ437" s="7" t="e">
        <f>VLOOKUP(AL437,Personal!$A$2:$I$300,8,FALSE)</f>
        <v>#N/A</v>
      </c>
      <c r="AR437" s="7"/>
    </row>
    <row r="438" spans="2:44" x14ac:dyDescent="0.3">
      <c r="B438" s="6">
        <v>433</v>
      </c>
      <c r="C438" s="6"/>
      <c r="D438" s="6"/>
      <c r="E438" s="6"/>
      <c r="F438" s="6"/>
      <c r="G438" s="7"/>
      <c r="H438" s="7"/>
      <c r="I438" s="7"/>
      <c r="J438" s="7"/>
      <c r="K438" s="10"/>
      <c r="L438" s="7"/>
      <c r="M438" s="7"/>
      <c r="N438" s="7"/>
      <c r="O438" s="13"/>
      <c r="P438" s="13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8"/>
      <c r="AI438" s="7"/>
      <c r="AJ438" s="7"/>
      <c r="AK438" s="7"/>
      <c r="AL438" s="10"/>
      <c r="AM438" s="7" t="e">
        <f>VLOOKUP(AL438,Personal!$A$2:$I$300,2,FALSE)</f>
        <v>#N/A</v>
      </c>
      <c r="AN438" s="7" t="e">
        <f>VLOOKUP(AL438,Personal!$A$2:$I$300,3,FALSE)</f>
        <v>#N/A</v>
      </c>
      <c r="AO438" s="7" t="e">
        <f>VLOOKUP(AL438,Personal!$A$2:$I$300,6,FALSE)</f>
        <v>#N/A</v>
      </c>
      <c r="AP438" s="7" t="e">
        <f>VLOOKUP(AL438,Personal!$A$2:$I$300,7,FALSE)</f>
        <v>#N/A</v>
      </c>
      <c r="AQ438" s="7" t="e">
        <f>VLOOKUP(AL438,Personal!$A$2:$I$300,8,FALSE)</f>
        <v>#N/A</v>
      </c>
      <c r="AR438" s="7"/>
    </row>
    <row r="439" spans="2:44" x14ac:dyDescent="0.3">
      <c r="B439" s="6">
        <v>434</v>
      </c>
      <c r="C439" s="6"/>
      <c r="D439" s="6"/>
      <c r="E439" s="6"/>
      <c r="F439" s="6"/>
      <c r="G439" s="7"/>
      <c r="H439" s="7"/>
      <c r="I439" s="7"/>
      <c r="J439" s="7"/>
      <c r="K439" s="10"/>
      <c r="L439" s="7"/>
      <c r="M439" s="7"/>
      <c r="N439" s="7"/>
      <c r="O439" s="13"/>
      <c r="P439" s="13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8"/>
      <c r="AI439" s="7"/>
      <c r="AJ439" s="7"/>
      <c r="AK439" s="7"/>
      <c r="AL439" s="10"/>
      <c r="AM439" s="7" t="e">
        <f>VLOOKUP(AL439,Personal!$A$2:$I$300,2,FALSE)</f>
        <v>#N/A</v>
      </c>
      <c r="AN439" s="7" t="e">
        <f>VLOOKUP(AL439,Personal!$A$2:$I$300,3,FALSE)</f>
        <v>#N/A</v>
      </c>
      <c r="AO439" s="7" t="e">
        <f>VLOOKUP(AL439,Personal!$A$2:$I$300,6,FALSE)</f>
        <v>#N/A</v>
      </c>
      <c r="AP439" s="7" t="e">
        <f>VLOOKUP(AL439,Personal!$A$2:$I$300,7,FALSE)</f>
        <v>#N/A</v>
      </c>
      <c r="AQ439" s="7" t="e">
        <f>VLOOKUP(AL439,Personal!$A$2:$I$300,8,FALSE)</f>
        <v>#N/A</v>
      </c>
      <c r="AR439" s="7"/>
    </row>
    <row r="440" spans="2:44" x14ac:dyDescent="0.3">
      <c r="B440" s="6">
        <v>435</v>
      </c>
      <c r="C440" s="6"/>
      <c r="D440" s="6"/>
      <c r="E440" s="6"/>
      <c r="F440" s="6"/>
      <c r="G440" s="7"/>
      <c r="H440" s="7"/>
      <c r="I440" s="7"/>
      <c r="J440" s="7"/>
      <c r="K440" s="10"/>
      <c r="L440" s="7"/>
      <c r="M440" s="7"/>
      <c r="N440" s="7"/>
      <c r="O440" s="13"/>
      <c r="P440" s="13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8"/>
      <c r="AI440" s="7"/>
      <c r="AJ440" s="7"/>
      <c r="AK440" s="7"/>
      <c r="AL440" s="10"/>
      <c r="AM440" s="7" t="e">
        <f>VLOOKUP(AL440,Personal!$A$2:$I$300,2,FALSE)</f>
        <v>#N/A</v>
      </c>
      <c r="AN440" s="7" t="e">
        <f>VLOOKUP(AL440,Personal!$A$2:$I$300,3,FALSE)</f>
        <v>#N/A</v>
      </c>
      <c r="AO440" s="7" t="e">
        <f>VLOOKUP(AL440,Personal!$A$2:$I$300,6,FALSE)</f>
        <v>#N/A</v>
      </c>
      <c r="AP440" s="7" t="e">
        <f>VLOOKUP(AL440,Personal!$A$2:$I$300,7,FALSE)</f>
        <v>#N/A</v>
      </c>
      <c r="AQ440" s="7" t="e">
        <f>VLOOKUP(AL440,Personal!$A$2:$I$300,8,FALSE)</f>
        <v>#N/A</v>
      </c>
      <c r="AR440" s="7"/>
    </row>
    <row r="441" spans="2:44" x14ac:dyDescent="0.3">
      <c r="B441" s="6">
        <v>436</v>
      </c>
      <c r="C441" s="6"/>
      <c r="D441" s="6"/>
      <c r="E441" s="6"/>
      <c r="F441" s="6"/>
      <c r="G441" s="7"/>
      <c r="H441" s="7"/>
      <c r="I441" s="7"/>
      <c r="J441" s="7"/>
      <c r="K441" s="10"/>
      <c r="L441" s="7"/>
      <c r="M441" s="7"/>
      <c r="N441" s="7"/>
      <c r="O441" s="13"/>
      <c r="P441" s="13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8"/>
      <c r="AI441" s="7"/>
      <c r="AJ441" s="7"/>
      <c r="AK441" s="7"/>
      <c r="AL441" s="10"/>
      <c r="AM441" s="7" t="e">
        <f>VLOOKUP(AL441,Personal!$A$2:$I$300,2,FALSE)</f>
        <v>#N/A</v>
      </c>
      <c r="AN441" s="7" t="e">
        <f>VLOOKUP(AL441,Personal!$A$2:$I$300,3,FALSE)</f>
        <v>#N/A</v>
      </c>
      <c r="AO441" s="7" t="e">
        <f>VLOOKUP(AL441,Personal!$A$2:$I$300,6,FALSE)</f>
        <v>#N/A</v>
      </c>
      <c r="AP441" s="7" t="e">
        <f>VLOOKUP(AL441,Personal!$A$2:$I$300,7,FALSE)</f>
        <v>#N/A</v>
      </c>
      <c r="AQ441" s="7" t="e">
        <f>VLOOKUP(AL441,Personal!$A$2:$I$300,8,FALSE)</f>
        <v>#N/A</v>
      </c>
      <c r="AR441" s="7"/>
    </row>
    <row r="442" spans="2:44" x14ac:dyDescent="0.3">
      <c r="B442" s="6">
        <v>437</v>
      </c>
      <c r="C442" s="6"/>
      <c r="D442" s="6"/>
      <c r="E442" s="6"/>
      <c r="F442" s="6"/>
      <c r="G442" s="7"/>
      <c r="H442" s="7"/>
      <c r="I442" s="7"/>
      <c r="J442" s="7"/>
      <c r="K442" s="10"/>
      <c r="L442" s="7"/>
      <c r="M442" s="7"/>
      <c r="N442" s="7"/>
      <c r="O442" s="13"/>
      <c r="P442" s="13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8"/>
      <c r="AI442" s="7"/>
      <c r="AJ442" s="7"/>
      <c r="AK442" s="7"/>
      <c r="AL442" s="10"/>
      <c r="AM442" s="7" t="e">
        <f>VLOOKUP(AL442,Personal!$A$2:$I$300,2,FALSE)</f>
        <v>#N/A</v>
      </c>
      <c r="AN442" s="7" t="e">
        <f>VLOOKUP(AL442,Personal!$A$2:$I$300,3,FALSE)</f>
        <v>#N/A</v>
      </c>
      <c r="AO442" s="7" t="e">
        <f>VLOOKUP(AL442,Personal!$A$2:$I$300,6,FALSE)</f>
        <v>#N/A</v>
      </c>
      <c r="AP442" s="7" t="e">
        <f>VLOOKUP(AL442,Personal!$A$2:$I$300,7,FALSE)</f>
        <v>#N/A</v>
      </c>
      <c r="AQ442" s="7" t="e">
        <f>VLOOKUP(AL442,Personal!$A$2:$I$300,8,FALSE)</f>
        <v>#N/A</v>
      </c>
      <c r="AR442" s="7"/>
    </row>
    <row r="443" spans="2:44" x14ac:dyDescent="0.3">
      <c r="B443" s="6">
        <v>438</v>
      </c>
      <c r="C443" s="6"/>
      <c r="D443" s="6"/>
      <c r="E443" s="6"/>
      <c r="F443" s="6"/>
      <c r="G443" s="7"/>
      <c r="H443" s="7"/>
      <c r="I443" s="7"/>
      <c r="J443" s="7"/>
      <c r="K443" s="10"/>
      <c r="L443" s="7"/>
      <c r="M443" s="7"/>
      <c r="N443" s="7"/>
      <c r="O443" s="13"/>
      <c r="P443" s="13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8"/>
      <c r="AI443" s="7"/>
      <c r="AJ443" s="7"/>
      <c r="AK443" s="7"/>
      <c r="AL443" s="10"/>
      <c r="AM443" s="7" t="e">
        <f>VLOOKUP(AL443,Personal!$A$2:$I$300,2,FALSE)</f>
        <v>#N/A</v>
      </c>
      <c r="AN443" s="7" t="e">
        <f>VLOOKUP(AL443,Personal!$A$2:$I$300,3,FALSE)</f>
        <v>#N/A</v>
      </c>
      <c r="AO443" s="7" t="e">
        <f>VLOOKUP(AL443,Personal!$A$2:$I$300,6,FALSE)</f>
        <v>#N/A</v>
      </c>
      <c r="AP443" s="7" t="e">
        <f>VLOOKUP(AL443,Personal!$A$2:$I$300,7,FALSE)</f>
        <v>#N/A</v>
      </c>
      <c r="AQ443" s="7" t="e">
        <f>VLOOKUP(AL443,Personal!$A$2:$I$300,8,FALSE)</f>
        <v>#N/A</v>
      </c>
      <c r="AR443" s="7"/>
    </row>
    <row r="444" spans="2:44" x14ac:dyDescent="0.3">
      <c r="B444" s="6">
        <v>439</v>
      </c>
      <c r="C444" s="6"/>
      <c r="D444" s="6"/>
      <c r="E444" s="6"/>
      <c r="F444" s="6"/>
      <c r="G444" s="7"/>
      <c r="H444" s="7"/>
      <c r="I444" s="7"/>
      <c r="J444" s="7"/>
      <c r="K444" s="10"/>
      <c r="L444" s="7"/>
      <c r="M444" s="7"/>
      <c r="N444" s="7"/>
      <c r="O444" s="13"/>
      <c r="P444" s="13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8"/>
      <c r="AI444" s="7"/>
      <c r="AJ444" s="7"/>
      <c r="AK444" s="7"/>
      <c r="AL444" s="10"/>
      <c r="AM444" s="7" t="e">
        <f>VLOOKUP(AL444,Personal!$A$2:$I$300,2,FALSE)</f>
        <v>#N/A</v>
      </c>
      <c r="AN444" s="7" t="e">
        <f>VLOOKUP(AL444,Personal!$A$2:$I$300,3,FALSE)</f>
        <v>#N/A</v>
      </c>
      <c r="AO444" s="7" t="e">
        <f>VLOOKUP(AL444,Personal!$A$2:$I$300,6,FALSE)</f>
        <v>#N/A</v>
      </c>
      <c r="AP444" s="7" t="e">
        <f>VLOOKUP(AL444,Personal!$A$2:$I$300,7,FALSE)</f>
        <v>#N/A</v>
      </c>
      <c r="AQ444" s="7" t="e">
        <f>VLOOKUP(AL444,Personal!$A$2:$I$300,8,FALSE)</f>
        <v>#N/A</v>
      </c>
      <c r="AR444" s="7"/>
    </row>
    <row r="445" spans="2:44" x14ac:dyDescent="0.3">
      <c r="B445" s="6">
        <v>440</v>
      </c>
      <c r="C445" s="6"/>
      <c r="D445" s="6"/>
      <c r="E445" s="6"/>
      <c r="F445" s="6"/>
      <c r="G445" s="7"/>
      <c r="H445" s="7"/>
      <c r="I445" s="7"/>
      <c r="J445" s="7"/>
      <c r="K445" s="10"/>
      <c r="L445" s="7"/>
      <c r="M445" s="7"/>
      <c r="N445" s="7"/>
      <c r="O445" s="13"/>
      <c r="P445" s="13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8"/>
      <c r="AI445" s="7"/>
      <c r="AJ445" s="7"/>
      <c r="AK445" s="7"/>
      <c r="AL445" s="10"/>
      <c r="AM445" s="7" t="e">
        <f>VLOOKUP(AL445,Personal!$A$2:$I$300,2,FALSE)</f>
        <v>#N/A</v>
      </c>
      <c r="AN445" s="7" t="e">
        <f>VLOOKUP(AL445,Personal!$A$2:$I$300,3,FALSE)</f>
        <v>#N/A</v>
      </c>
      <c r="AO445" s="7" t="e">
        <f>VLOOKUP(AL445,Personal!$A$2:$I$300,6,FALSE)</f>
        <v>#N/A</v>
      </c>
      <c r="AP445" s="7" t="e">
        <f>VLOOKUP(AL445,Personal!$A$2:$I$300,7,FALSE)</f>
        <v>#N/A</v>
      </c>
      <c r="AQ445" s="7" t="e">
        <f>VLOOKUP(AL445,Personal!$A$2:$I$300,8,FALSE)</f>
        <v>#N/A</v>
      </c>
      <c r="AR445" s="7"/>
    </row>
    <row r="446" spans="2:44" x14ac:dyDescent="0.3">
      <c r="B446" s="6">
        <v>441</v>
      </c>
      <c r="C446" s="6"/>
      <c r="D446" s="6"/>
      <c r="E446" s="6"/>
      <c r="F446" s="6"/>
      <c r="G446" s="7"/>
      <c r="H446" s="7"/>
      <c r="I446" s="7"/>
      <c r="J446" s="7"/>
      <c r="K446" s="10"/>
      <c r="L446" s="7"/>
      <c r="M446" s="7"/>
      <c r="N446" s="7"/>
      <c r="O446" s="13"/>
      <c r="P446" s="13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8"/>
      <c r="AI446" s="7"/>
      <c r="AJ446" s="7"/>
      <c r="AK446" s="7"/>
      <c r="AL446" s="10"/>
      <c r="AM446" s="7" t="e">
        <f>VLOOKUP(AL446,Personal!$A$2:$I$300,2,FALSE)</f>
        <v>#N/A</v>
      </c>
      <c r="AN446" s="7" t="e">
        <f>VLOOKUP(AL446,Personal!$A$2:$I$300,3,FALSE)</f>
        <v>#N/A</v>
      </c>
      <c r="AO446" s="7" t="e">
        <f>VLOOKUP(AL446,Personal!$A$2:$I$300,6,FALSE)</f>
        <v>#N/A</v>
      </c>
      <c r="AP446" s="7" t="e">
        <f>VLOOKUP(AL446,Personal!$A$2:$I$300,7,FALSE)</f>
        <v>#N/A</v>
      </c>
      <c r="AQ446" s="7" t="e">
        <f>VLOOKUP(AL446,Personal!$A$2:$I$300,8,FALSE)</f>
        <v>#N/A</v>
      </c>
      <c r="AR446" s="7"/>
    </row>
    <row r="447" spans="2:44" x14ac:dyDescent="0.3">
      <c r="B447" s="6">
        <v>442</v>
      </c>
      <c r="C447" s="6"/>
      <c r="D447" s="6"/>
      <c r="E447" s="6"/>
      <c r="F447" s="6"/>
      <c r="G447" s="7"/>
      <c r="H447" s="7"/>
      <c r="I447" s="7"/>
      <c r="J447" s="7"/>
      <c r="K447" s="10"/>
      <c r="L447" s="7"/>
      <c r="M447" s="7"/>
      <c r="N447" s="7"/>
      <c r="O447" s="13"/>
      <c r="P447" s="13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8"/>
      <c r="AI447" s="7"/>
      <c r="AJ447" s="7"/>
      <c r="AK447" s="7"/>
      <c r="AL447" s="10"/>
      <c r="AM447" s="7" t="e">
        <f>VLOOKUP(AL447,Personal!$A$2:$I$300,2,FALSE)</f>
        <v>#N/A</v>
      </c>
      <c r="AN447" s="7" t="e">
        <f>VLOOKUP(AL447,Personal!$A$2:$I$300,3,FALSE)</f>
        <v>#N/A</v>
      </c>
      <c r="AO447" s="7" t="e">
        <f>VLOOKUP(AL447,Personal!$A$2:$I$300,6,FALSE)</f>
        <v>#N/A</v>
      </c>
      <c r="AP447" s="7" t="e">
        <f>VLOOKUP(AL447,Personal!$A$2:$I$300,7,FALSE)</f>
        <v>#N/A</v>
      </c>
      <c r="AQ447" s="7" t="e">
        <f>VLOOKUP(AL447,Personal!$A$2:$I$300,8,FALSE)</f>
        <v>#N/A</v>
      </c>
      <c r="AR447" s="7"/>
    </row>
    <row r="448" spans="2:44" x14ac:dyDescent="0.3">
      <c r="B448" s="6">
        <v>443</v>
      </c>
      <c r="C448" s="6"/>
      <c r="D448" s="6"/>
      <c r="E448" s="6"/>
      <c r="F448" s="6"/>
      <c r="G448" s="7"/>
      <c r="H448" s="7"/>
      <c r="I448" s="7"/>
      <c r="J448" s="7"/>
      <c r="K448" s="10"/>
      <c r="L448" s="7"/>
      <c r="M448" s="7"/>
      <c r="N448" s="7"/>
      <c r="O448" s="13"/>
      <c r="P448" s="13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8"/>
      <c r="AI448" s="7"/>
      <c r="AJ448" s="7"/>
      <c r="AK448" s="7"/>
      <c r="AL448" s="10"/>
      <c r="AM448" s="7" t="e">
        <f>VLOOKUP(AL448,Personal!$A$2:$I$300,2,FALSE)</f>
        <v>#N/A</v>
      </c>
      <c r="AN448" s="7" t="e">
        <f>VLOOKUP(AL448,Personal!$A$2:$I$300,3,FALSE)</f>
        <v>#N/A</v>
      </c>
      <c r="AO448" s="7" t="e">
        <f>VLOOKUP(AL448,Personal!$A$2:$I$300,6,FALSE)</f>
        <v>#N/A</v>
      </c>
      <c r="AP448" s="7" t="e">
        <f>VLOOKUP(AL448,Personal!$A$2:$I$300,7,FALSE)</f>
        <v>#N/A</v>
      </c>
      <c r="AQ448" s="7" t="e">
        <f>VLOOKUP(AL448,Personal!$A$2:$I$300,8,FALSE)</f>
        <v>#N/A</v>
      </c>
      <c r="AR448" s="7"/>
    </row>
    <row r="449" spans="2:44" x14ac:dyDescent="0.3">
      <c r="B449" s="6">
        <v>444</v>
      </c>
      <c r="C449" s="6"/>
      <c r="D449" s="6"/>
      <c r="E449" s="6"/>
      <c r="F449" s="6"/>
      <c r="G449" s="7"/>
      <c r="H449" s="7"/>
      <c r="I449" s="7"/>
      <c r="J449" s="7"/>
      <c r="K449" s="10"/>
      <c r="L449" s="7"/>
      <c r="M449" s="7"/>
      <c r="N449" s="7"/>
      <c r="O449" s="13"/>
      <c r="P449" s="13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8"/>
      <c r="AI449" s="7"/>
      <c r="AJ449" s="7"/>
      <c r="AK449" s="7"/>
      <c r="AL449" s="10"/>
      <c r="AM449" s="7" t="e">
        <f>VLOOKUP(AL449,Personal!$A$2:$I$300,2,FALSE)</f>
        <v>#N/A</v>
      </c>
      <c r="AN449" s="7" t="e">
        <f>VLOOKUP(AL449,Personal!$A$2:$I$300,3,FALSE)</f>
        <v>#N/A</v>
      </c>
      <c r="AO449" s="7" t="e">
        <f>VLOOKUP(AL449,Personal!$A$2:$I$300,6,FALSE)</f>
        <v>#N/A</v>
      </c>
      <c r="AP449" s="7" t="e">
        <f>VLOOKUP(AL449,Personal!$A$2:$I$300,7,FALSE)</f>
        <v>#N/A</v>
      </c>
      <c r="AQ449" s="7" t="e">
        <f>VLOOKUP(AL449,Personal!$A$2:$I$300,8,FALSE)</f>
        <v>#N/A</v>
      </c>
      <c r="AR449" s="7"/>
    </row>
    <row r="450" spans="2:44" x14ac:dyDescent="0.3">
      <c r="B450" s="6">
        <v>445</v>
      </c>
      <c r="C450" s="6"/>
      <c r="D450" s="6"/>
      <c r="E450" s="6"/>
      <c r="F450" s="6"/>
      <c r="G450" s="7"/>
      <c r="H450" s="7"/>
      <c r="I450" s="7"/>
      <c r="J450" s="7"/>
      <c r="K450" s="10"/>
      <c r="L450" s="7"/>
      <c r="M450" s="7"/>
      <c r="N450" s="7"/>
      <c r="O450" s="13"/>
      <c r="P450" s="13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8"/>
      <c r="AI450" s="7"/>
      <c r="AJ450" s="7"/>
      <c r="AK450" s="7"/>
      <c r="AL450" s="10"/>
      <c r="AM450" s="7" t="e">
        <f>VLOOKUP(AL450,Personal!$A$2:$I$300,2,FALSE)</f>
        <v>#N/A</v>
      </c>
      <c r="AN450" s="7" t="e">
        <f>VLOOKUP(AL450,Personal!$A$2:$I$300,3,FALSE)</f>
        <v>#N/A</v>
      </c>
      <c r="AO450" s="7" t="e">
        <f>VLOOKUP(AL450,Personal!$A$2:$I$300,6,FALSE)</f>
        <v>#N/A</v>
      </c>
      <c r="AP450" s="7" t="e">
        <f>VLOOKUP(AL450,Personal!$A$2:$I$300,7,FALSE)</f>
        <v>#N/A</v>
      </c>
      <c r="AQ450" s="7" t="e">
        <f>VLOOKUP(AL450,Personal!$A$2:$I$300,8,FALSE)</f>
        <v>#N/A</v>
      </c>
      <c r="AR450" s="7"/>
    </row>
    <row r="451" spans="2:44" x14ac:dyDescent="0.3">
      <c r="B451" s="6">
        <v>446</v>
      </c>
      <c r="C451" s="6"/>
      <c r="D451" s="6"/>
      <c r="E451" s="6"/>
      <c r="F451" s="6"/>
      <c r="G451" s="7"/>
      <c r="H451" s="7"/>
      <c r="I451" s="7"/>
      <c r="J451" s="7"/>
      <c r="K451" s="10"/>
      <c r="L451" s="7"/>
      <c r="M451" s="7"/>
      <c r="N451" s="7"/>
      <c r="O451" s="13"/>
      <c r="P451" s="13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8"/>
      <c r="AI451" s="7"/>
      <c r="AJ451" s="7"/>
      <c r="AK451" s="7"/>
      <c r="AL451" s="10"/>
      <c r="AM451" s="7" t="e">
        <f>VLOOKUP(AL451,Personal!$A$2:$I$300,2,FALSE)</f>
        <v>#N/A</v>
      </c>
      <c r="AN451" s="7" t="e">
        <f>VLOOKUP(AL451,Personal!$A$2:$I$300,3,FALSE)</f>
        <v>#N/A</v>
      </c>
      <c r="AO451" s="7" t="e">
        <f>VLOOKUP(AL451,Personal!$A$2:$I$300,6,FALSE)</f>
        <v>#N/A</v>
      </c>
      <c r="AP451" s="7" t="e">
        <f>VLOOKUP(AL451,Personal!$A$2:$I$300,7,FALSE)</f>
        <v>#N/A</v>
      </c>
      <c r="AQ451" s="7" t="e">
        <f>VLOOKUP(AL451,Personal!$A$2:$I$300,8,FALSE)</f>
        <v>#N/A</v>
      </c>
      <c r="AR451" s="7"/>
    </row>
    <row r="452" spans="2:44" x14ac:dyDescent="0.3">
      <c r="B452" s="6">
        <v>447</v>
      </c>
      <c r="C452" s="6"/>
      <c r="D452" s="6"/>
      <c r="E452" s="6"/>
      <c r="F452" s="6"/>
      <c r="G452" s="7"/>
      <c r="H452" s="7"/>
      <c r="I452" s="7"/>
      <c r="J452" s="7"/>
      <c r="K452" s="10"/>
      <c r="L452" s="7"/>
      <c r="M452" s="7"/>
      <c r="N452" s="7"/>
      <c r="O452" s="13"/>
      <c r="P452" s="13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8"/>
      <c r="AI452" s="7"/>
      <c r="AJ452" s="7"/>
      <c r="AK452" s="7"/>
      <c r="AL452" s="10"/>
      <c r="AM452" s="7" t="e">
        <f>VLOOKUP(AL452,Personal!$A$2:$I$300,2,FALSE)</f>
        <v>#N/A</v>
      </c>
      <c r="AN452" s="7" t="e">
        <f>VLOOKUP(AL452,Personal!$A$2:$I$300,3,FALSE)</f>
        <v>#N/A</v>
      </c>
      <c r="AO452" s="7" t="e">
        <f>VLOOKUP(AL452,Personal!$A$2:$I$300,6,FALSE)</f>
        <v>#N/A</v>
      </c>
      <c r="AP452" s="7" t="e">
        <f>VLOOKUP(AL452,Personal!$A$2:$I$300,7,FALSE)</f>
        <v>#N/A</v>
      </c>
      <c r="AQ452" s="7" t="e">
        <f>VLOOKUP(AL452,Personal!$A$2:$I$300,8,FALSE)</f>
        <v>#N/A</v>
      </c>
      <c r="AR452" s="7"/>
    </row>
    <row r="453" spans="2:44" x14ac:dyDescent="0.3">
      <c r="B453" s="6">
        <v>448</v>
      </c>
      <c r="C453" s="6"/>
      <c r="D453" s="6"/>
      <c r="E453" s="6"/>
      <c r="F453" s="6"/>
      <c r="G453" s="7"/>
      <c r="H453" s="7"/>
      <c r="I453" s="7"/>
      <c r="J453" s="7"/>
      <c r="K453" s="10"/>
      <c r="L453" s="7"/>
      <c r="M453" s="7"/>
      <c r="N453" s="7"/>
      <c r="O453" s="13"/>
      <c r="P453" s="13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8"/>
      <c r="AI453" s="7"/>
      <c r="AJ453" s="7"/>
      <c r="AK453" s="7"/>
      <c r="AL453" s="10"/>
      <c r="AM453" s="7" t="e">
        <f>VLOOKUP(AL453,Personal!$A$2:$I$300,2,FALSE)</f>
        <v>#N/A</v>
      </c>
      <c r="AN453" s="7" t="e">
        <f>VLOOKUP(AL453,Personal!$A$2:$I$300,3,FALSE)</f>
        <v>#N/A</v>
      </c>
      <c r="AO453" s="7" t="e">
        <f>VLOOKUP(AL453,Personal!$A$2:$I$300,6,FALSE)</f>
        <v>#N/A</v>
      </c>
      <c r="AP453" s="7" t="e">
        <f>VLOOKUP(AL453,Personal!$A$2:$I$300,7,FALSE)</f>
        <v>#N/A</v>
      </c>
      <c r="AQ453" s="7" t="e">
        <f>VLOOKUP(AL453,Personal!$A$2:$I$300,8,FALSE)</f>
        <v>#N/A</v>
      </c>
      <c r="AR453" s="7"/>
    </row>
    <row r="454" spans="2:44" x14ac:dyDescent="0.3">
      <c r="B454" s="6">
        <v>449</v>
      </c>
      <c r="C454" s="6"/>
      <c r="D454" s="6"/>
      <c r="E454" s="6"/>
      <c r="F454" s="6"/>
      <c r="G454" s="7"/>
      <c r="H454" s="7"/>
      <c r="I454" s="7"/>
      <c r="J454" s="7"/>
      <c r="K454" s="10"/>
      <c r="L454" s="7"/>
      <c r="M454" s="7"/>
      <c r="N454" s="7"/>
      <c r="O454" s="13"/>
      <c r="P454" s="13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8"/>
      <c r="AI454" s="7"/>
      <c r="AJ454" s="7"/>
      <c r="AK454" s="7"/>
      <c r="AL454" s="10"/>
      <c r="AM454" s="7" t="e">
        <f>VLOOKUP(AL454,Personal!$A$2:$I$300,2,FALSE)</f>
        <v>#N/A</v>
      </c>
      <c r="AN454" s="7" t="e">
        <f>VLOOKUP(AL454,Personal!$A$2:$I$300,3,FALSE)</f>
        <v>#N/A</v>
      </c>
      <c r="AO454" s="7" t="e">
        <f>VLOOKUP(AL454,Personal!$A$2:$I$300,6,FALSE)</f>
        <v>#N/A</v>
      </c>
      <c r="AP454" s="7" t="e">
        <f>VLOOKUP(AL454,Personal!$A$2:$I$300,7,FALSE)</f>
        <v>#N/A</v>
      </c>
      <c r="AQ454" s="7" t="e">
        <f>VLOOKUP(AL454,Personal!$A$2:$I$300,8,FALSE)</f>
        <v>#N/A</v>
      </c>
      <c r="AR454" s="7"/>
    </row>
    <row r="455" spans="2:44" x14ac:dyDescent="0.3">
      <c r="B455" s="6">
        <v>450</v>
      </c>
      <c r="C455" s="6"/>
      <c r="D455" s="6"/>
      <c r="E455" s="6"/>
      <c r="F455" s="6"/>
      <c r="G455" s="7"/>
      <c r="H455" s="7"/>
      <c r="I455" s="7"/>
      <c r="J455" s="7"/>
      <c r="K455" s="10"/>
      <c r="L455" s="7"/>
      <c r="M455" s="7"/>
      <c r="N455" s="7"/>
      <c r="O455" s="13"/>
      <c r="P455" s="13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8"/>
      <c r="AI455" s="7"/>
      <c r="AJ455" s="7"/>
      <c r="AK455" s="7"/>
      <c r="AL455" s="10"/>
      <c r="AM455" s="7" t="e">
        <f>VLOOKUP(AL455,Personal!$A$2:$I$300,2,FALSE)</f>
        <v>#N/A</v>
      </c>
      <c r="AN455" s="7" t="e">
        <f>VLOOKUP(AL455,Personal!$A$2:$I$300,3,FALSE)</f>
        <v>#N/A</v>
      </c>
      <c r="AO455" s="7" t="e">
        <f>VLOOKUP(AL455,Personal!$A$2:$I$300,6,FALSE)</f>
        <v>#N/A</v>
      </c>
      <c r="AP455" s="7" t="e">
        <f>VLOOKUP(AL455,Personal!$A$2:$I$300,7,FALSE)</f>
        <v>#N/A</v>
      </c>
      <c r="AQ455" s="7" t="e">
        <f>VLOOKUP(AL455,Personal!$A$2:$I$300,8,FALSE)</f>
        <v>#N/A</v>
      </c>
      <c r="AR455" s="7"/>
    </row>
    <row r="456" spans="2:44" x14ac:dyDescent="0.3">
      <c r="B456" s="6">
        <v>451</v>
      </c>
      <c r="C456" s="6"/>
      <c r="D456" s="6"/>
      <c r="E456" s="6"/>
      <c r="F456" s="6"/>
      <c r="G456" s="7"/>
      <c r="H456" s="7"/>
      <c r="I456" s="7"/>
      <c r="J456" s="7"/>
      <c r="K456" s="10"/>
      <c r="L456" s="7"/>
      <c r="M456" s="7"/>
      <c r="N456" s="7"/>
      <c r="O456" s="13"/>
      <c r="P456" s="13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8"/>
      <c r="AI456" s="7"/>
      <c r="AJ456" s="7"/>
      <c r="AK456" s="7"/>
      <c r="AL456" s="10"/>
      <c r="AM456" s="7" t="e">
        <f>VLOOKUP(AL456,Personal!$A$2:$I$300,2,FALSE)</f>
        <v>#N/A</v>
      </c>
      <c r="AN456" s="7" t="e">
        <f>VLOOKUP(AL456,Personal!$A$2:$I$300,3,FALSE)</f>
        <v>#N/A</v>
      </c>
      <c r="AO456" s="7" t="e">
        <f>VLOOKUP(AL456,Personal!$A$2:$I$300,6,FALSE)</f>
        <v>#N/A</v>
      </c>
      <c r="AP456" s="7" t="e">
        <f>VLOOKUP(AL456,Personal!$A$2:$I$300,7,FALSE)</f>
        <v>#N/A</v>
      </c>
      <c r="AQ456" s="7" t="e">
        <f>VLOOKUP(AL456,Personal!$A$2:$I$300,8,FALSE)</f>
        <v>#N/A</v>
      </c>
      <c r="AR456" s="7"/>
    </row>
    <row r="457" spans="2:44" x14ac:dyDescent="0.3">
      <c r="B457" s="6">
        <v>452</v>
      </c>
      <c r="C457" s="6"/>
      <c r="D457" s="6"/>
      <c r="E457" s="6"/>
      <c r="F457" s="6"/>
      <c r="G457" s="7"/>
      <c r="H457" s="7"/>
      <c r="I457" s="7"/>
      <c r="J457" s="7"/>
      <c r="K457" s="10"/>
      <c r="L457" s="7"/>
      <c r="M457" s="7"/>
      <c r="N457" s="7"/>
      <c r="O457" s="13"/>
      <c r="P457" s="13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8"/>
      <c r="AI457" s="7"/>
      <c r="AJ457" s="7"/>
      <c r="AK457" s="7"/>
      <c r="AL457" s="10"/>
      <c r="AM457" s="7" t="e">
        <f>VLOOKUP(AL457,Personal!$A$2:$I$300,2,FALSE)</f>
        <v>#N/A</v>
      </c>
      <c r="AN457" s="7" t="e">
        <f>VLOOKUP(AL457,Personal!$A$2:$I$300,3,FALSE)</f>
        <v>#N/A</v>
      </c>
      <c r="AO457" s="7" t="e">
        <f>VLOOKUP(AL457,Personal!$A$2:$I$300,6,FALSE)</f>
        <v>#N/A</v>
      </c>
      <c r="AP457" s="7" t="e">
        <f>VLOOKUP(AL457,Personal!$A$2:$I$300,7,FALSE)</f>
        <v>#N/A</v>
      </c>
      <c r="AQ457" s="7" t="e">
        <f>VLOOKUP(AL457,Personal!$A$2:$I$300,8,FALSE)</f>
        <v>#N/A</v>
      </c>
      <c r="AR457" s="7"/>
    </row>
    <row r="458" spans="2:44" x14ac:dyDescent="0.3">
      <c r="B458" s="6">
        <v>453</v>
      </c>
      <c r="C458" s="6"/>
      <c r="D458" s="6"/>
      <c r="E458" s="6"/>
      <c r="F458" s="6"/>
      <c r="G458" s="7"/>
      <c r="H458" s="7"/>
      <c r="I458" s="7"/>
      <c r="J458" s="7"/>
      <c r="K458" s="10"/>
      <c r="L458" s="7"/>
      <c r="M458" s="7"/>
      <c r="N458" s="7"/>
      <c r="O458" s="13"/>
      <c r="P458" s="13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8"/>
      <c r="AI458" s="7"/>
      <c r="AJ458" s="7"/>
      <c r="AK458" s="7"/>
      <c r="AL458" s="10"/>
      <c r="AM458" s="7" t="e">
        <f>VLOOKUP(AL458,Personal!$A$2:$I$300,2,FALSE)</f>
        <v>#N/A</v>
      </c>
      <c r="AN458" s="7" t="e">
        <f>VLOOKUP(AL458,Personal!$A$2:$I$300,3,FALSE)</f>
        <v>#N/A</v>
      </c>
      <c r="AO458" s="7" t="e">
        <f>VLOOKUP(AL458,Personal!$A$2:$I$300,6,FALSE)</f>
        <v>#N/A</v>
      </c>
      <c r="AP458" s="7" t="e">
        <f>VLOOKUP(AL458,Personal!$A$2:$I$300,7,FALSE)</f>
        <v>#N/A</v>
      </c>
      <c r="AQ458" s="7" t="e">
        <f>VLOOKUP(AL458,Personal!$A$2:$I$300,8,FALSE)</f>
        <v>#N/A</v>
      </c>
      <c r="AR458" s="7"/>
    </row>
    <row r="459" spans="2:44" x14ac:dyDescent="0.3">
      <c r="B459" s="6">
        <v>454</v>
      </c>
      <c r="C459" s="6"/>
      <c r="D459" s="6"/>
      <c r="E459" s="6"/>
      <c r="F459" s="6"/>
      <c r="G459" s="7"/>
      <c r="H459" s="7"/>
      <c r="I459" s="7"/>
      <c r="J459" s="7"/>
      <c r="K459" s="10"/>
      <c r="L459" s="7"/>
      <c r="M459" s="7"/>
      <c r="N459" s="7"/>
      <c r="O459" s="13"/>
      <c r="P459" s="13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8"/>
      <c r="AI459" s="7"/>
      <c r="AJ459" s="7"/>
      <c r="AK459" s="7"/>
      <c r="AL459" s="10"/>
      <c r="AM459" s="7" t="e">
        <f>VLOOKUP(AL459,Personal!$A$2:$I$300,2,FALSE)</f>
        <v>#N/A</v>
      </c>
      <c r="AN459" s="7" t="e">
        <f>VLOOKUP(AL459,Personal!$A$2:$I$300,3,FALSE)</f>
        <v>#N/A</v>
      </c>
      <c r="AO459" s="7" t="e">
        <f>VLOOKUP(AL459,Personal!$A$2:$I$300,6,FALSE)</f>
        <v>#N/A</v>
      </c>
      <c r="AP459" s="7" t="e">
        <f>VLOOKUP(AL459,Personal!$A$2:$I$300,7,FALSE)</f>
        <v>#N/A</v>
      </c>
      <c r="AQ459" s="7" t="e">
        <f>VLOOKUP(AL459,Personal!$A$2:$I$300,8,FALSE)</f>
        <v>#N/A</v>
      </c>
      <c r="AR459" s="7"/>
    </row>
    <row r="460" spans="2:44" x14ac:dyDescent="0.3">
      <c r="B460" s="6">
        <v>455</v>
      </c>
      <c r="C460" s="6"/>
      <c r="D460" s="6"/>
      <c r="E460" s="6"/>
      <c r="F460" s="6"/>
      <c r="G460" s="7"/>
      <c r="H460" s="7"/>
      <c r="I460" s="7"/>
      <c r="J460" s="7"/>
      <c r="K460" s="10"/>
      <c r="L460" s="7"/>
      <c r="M460" s="7"/>
      <c r="N460" s="7"/>
      <c r="O460" s="13"/>
      <c r="P460" s="13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8"/>
      <c r="AI460" s="7"/>
      <c r="AJ460" s="7"/>
      <c r="AK460" s="7"/>
      <c r="AL460" s="10"/>
      <c r="AM460" s="7" t="e">
        <f>VLOOKUP(AL460,Personal!$A$2:$I$300,2,FALSE)</f>
        <v>#N/A</v>
      </c>
      <c r="AN460" s="7" t="e">
        <f>VLOOKUP(AL460,Personal!$A$2:$I$300,3,FALSE)</f>
        <v>#N/A</v>
      </c>
      <c r="AO460" s="7" t="e">
        <f>VLOOKUP(AL460,Personal!$A$2:$I$300,6,FALSE)</f>
        <v>#N/A</v>
      </c>
      <c r="AP460" s="7" t="e">
        <f>VLOOKUP(AL460,Personal!$A$2:$I$300,7,FALSE)</f>
        <v>#N/A</v>
      </c>
      <c r="AQ460" s="7" t="e">
        <f>VLOOKUP(AL460,Personal!$A$2:$I$300,8,FALSE)</f>
        <v>#N/A</v>
      </c>
      <c r="AR460" s="7"/>
    </row>
    <row r="461" spans="2:44" x14ac:dyDescent="0.3">
      <c r="B461" s="6">
        <v>456</v>
      </c>
      <c r="C461" s="6"/>
      <c r="D461" s="6"/>
      <c r="E461" s="6"/>
      <c r="F461" s="6"/>
      <c r="G461" s="7"/>
      <c r="H461" s="7"/>
      <c r="I461" s="7"/>
      <c r="J461" s="7"/>
      <c r="K461" s="10"/>
      <c r="L461" s="7"/>
      <c r="M461" s="7"/>
      <c r="N461" s="7"/>
      <c r="O461" s="13"/>
      <c r="P461" s="13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8"/>
      <c r="AI461" s="7"/>
      <c r="AJ461" s="7"/>
      <c r="AK461" s="7"/>
      <c r="AL461" s="10"/>
      <c r="AM461" s="7" t="e">
        <f>VLOOKUP(AL461,Personal!$A$2:$I$300,2,FALSE)</f>
        <v>#N/A</v>
      </c>
      <c r="AN461" s="7" t="e">
        <f>VLOOKUP(AL461,Personal!$A$2:$I$300,3,FALSE)</f>
        <v>#N/A</v>
      </c>
      <c r="AO461" s="7" t="e">
        <f>VLOOKUP(AL461,Personal!$A$2:$I$300,6,FALSE)</f>
        <v>#N/A</v>
      </c>
      <c r="AP461" s="7" t="e">
        <f>VLOOKUP(AL461,Personal!$A$2:$I$300,7,FALSE)</f>
        <v>#N/A</v>
      </c>
      <c r="AQ461" s="7" t="e">
        <f>VLOOKUP(AL461,Personal!$A$2:$I$300,8,FALSE)</f>
        <v>#N/A</v>
      </c>
      <c r="AR461" s="7"/>
    </row>
    <row r="462" spans="2:44" x14ac:dyDescent="0.3">
      <c r="B462" s="6">
        <v>457</v>
      </c>
      <c r="C462" s="6"/>
      <c r="D462" s="6"/>
      <c r="E462" s="6"/>
      <c r="F462" s="6"/>
      <c r="G462" s="7"/>
      <c r="H462" s="7"/>
      <c r="I462" s="7"/>
      <c r="J462" s="7"/>
      <c r="K462" s="10"/>
      <c r="L462" s="7"/>
      <c r="M462" s="7"/>
      <c r="N462" s="7"/>
      <c r="O462" s="13"/>
      <c r="P462" s="13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8"/>
      <c r="AI462" s="7"/>
      <c r="AJ462" s="7"/>
      <c r="AK462" s="7"/>
      <c r="AL462" s="10"/>
      <c r="AM462" s="7" t="e">
        <f>VLOOKUP(AL462,Personal!$A$2:$I$300,2,FALSE)</f>
        <v>#N/A</v>
      </c>
      <c r="AN462" s="7" t="e">
        <f>VLOOKUP(AL462,Personal!$A$2:$I$300,3,FALSE)</f>
        <v>#N/A</v>
      </c>
      <c r="AO462" s="7" t="e">
        <f>VLOOKUP(AL462,Personal!$A$2:$I$300,6,FALSE)</f>
        <v>#N/A</v>
      </c>
      <c r="AP462" s="7" t="e">
        <f>VLOOKUP(AL462,Personal!$A$2:$I$300,7,FALSE)</f>
        <v>#N/A</v>
      </c>
      <c r="AQ462" s="7" t="e">
        <f>VLOOKUP(AL462,Personal!$A$2:$I$300,8,FALSE)</f>
        <v>#N/A</v>
      </c>
      <c r="AR462" s="7"/>
    </row>
    <row r="463" spans="2:44" x14ac:dyDescent="0.3">
      <c r="B463" s="6">
        <v>458</v>
      </c>
      <c r="C463" s="6"/>
      <c r="D463" s="6"/>
      <c r="E463" s="6"/>
      <c r="F463" s="6"/>
      <c r="G463" s="7"/>
      <c r="H463" s="7"/>
      <c r="I463" s="7"/>
      <c r="J463" s="7"/>
      <c r="K463" s="10"/>
      <c r="L463" s="7"/>
      <c r="M463" s="7"/>
      <c r="N463" s="7"/>
      <c r="O463" s="13"/>
      <c r="P463" s="13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8"/>
      <c r="AI463" s="7"/>
      <c r="AJ463" s="7"/>
      <c r="AK463" s="7"/>
      <c r="AL463" s="10"/>
      <c r="AM463" s="7" t="e">
        <f>VLOOKUP(AL463,Personal!$A$2:$I$300,2,FALSE)</f>
        <v>#N/A</v>
      </c>
      <c r="AN463" s="7" t="e">
        <f>VLOOKUP(AL463,Personal!$A$2:$I$300,3,FALSE)</f>
        <v>#N/A</v>
      </c>
      <c r="AO463" s="7" t="e">
        <f>VLOOKUP(AL463,Personal!$A$2:$I$300,6,FALSE)</f>
        <v>#N/A</v>
      </c>
      <c r="AP463" s="7" t="e">
        <f>VLOOKUP(AL463,Personal!$A$2:$I$300,7,FALSE)</f>
        <v>#N/A</v>
      </c>
      <c r="AQ463" s="7" t="e">
        <f>VLOOKUP(AL463,Personal!$A$2:$I$300,8,FALSE)</f>
        <v>#N/A</v>
      </c>
      <c r="AR463" s="7"/>
    </row>
    <row r="464" spans="2:44" x14ac:dyDescent="0.3">
      <c r="B464" s="6">
        <v>459</v>
      </c>
      <c r="C464" s="6"/>
      <c r="D464" s="6"/>
      <c r="E464" s="6"/>
      <c r="F464" s="6"/>
      <c r="G464" s="7"/>
      <c r="H464" s="7"/>
      <c r="I464" s="7"/>
      <c r="J464" s="7"/>
      <c r="K464" s="10"/>
      <c r="L464" s="7"/>
      <c r="M464" s="7"/>
      <c r="N464" s="7"/>
      <c r="O464" s="13"/>
      <c r="P464" s="13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8"/>
      <c r="AI464" s="7"/>
      <c r="AJ464" s="7"/>
      <c r="AK464" s="7"/>
      <c r="AL464" s="10"/>
      <c r="AM464" s="7" t="e">
        <f>VLOOKUP(AL464,Personal!$A$2:$I$300,2,FALSE)</f>
        <v>#N/A</v>
      </c>
      <c r="AN464" s="7" t="e">
        <f>VLOOKUP(AL464,Personal!$A$2:$I$300,3,FALSE)</f>
        <v>#N/A</v>
      </c>
      <c r="AO464" s="7" t="e">
        <f>VLOOKUP(AL464,Personal!$A$2:$I$300,6,FALSE)</f>
        <v>#N/A</v>
      </c>
      <c r="AP464" s="7" t="e">
        <f>VLOOKUP(AL464,Personal!$A$2:$I$300,7,FALSE)</f>
        <v>#N/A</v>
      </c>
      <c r="AQ464" s="7" t="e">
        <f>VLOOKUP(AL464,Personal!$A$2:$I$300,8,FALSE)</f>
        <v>#N/A</v>
      </c>
      <c r="AR464" s="7"/>
    </row>
    <row r="465" spans="2:44" x14ac:dyDescent="0.3">
      <c r="B465" s="6">
        <v>460</v>
      </c>
      <c r="C465" s="6"/>
      <c r="D465" s="6"/>
      <c r="E465" s="6"/>
      <c r="F465" s="6"/>
      <c r="G465" s="7"/>
      <c r="H465" s="7"/>
      <c r="I465" s="7"/>
      <c r="J465" s="7"/>
      <c r="K465" s="10"/>
      <c r="L465" s="7"/>
      <c r="M465" s="7"/>
      <c r="N465" s="7"/>
      <c r="O465" s="13"/>
      <c r="P465" s="13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8"/>
      <c r="AI465" s="7"/>
      <c r="AJ465" s="7"/>
      <c r="AK465" s="7"/>
      <c r="AL465" s="10"/>
      <c r="AM465" s="7" t="e">
        <f>VLOOKUP(AL465,Personal!$A$2:$I$300,2,FALSE)</f>
        <v>#N/A</v>
      </c>
      <c r="AN465" s="7" t="e">
        <f>VLOOKUP(AL465,Personal!$A$2:$I$300,3,FALSE)</f>
        <v>#N/A</v>
      </c>
      <c r="AO465" s="7" t="e">
        <f>VLOOKUP(AL465,Personal!$A$2:$I$300,6,FALSE)</f>
        <v>#N/A</v>
      </c>
      <c r="AP465" s="7" t="e">
        <f>VLOOKUP(AL465,Personal!$A$2:$I$300,7,FALSE)</f>
        <v>#N/A</v>
      </c>
      <c r="AQ465" s="7" t="e">
        <f>VLOOKUP(AL465,Personal!$A$2:$I$300,8,FALSE)</f>
        <v>#N/A</v>
      </c>
      <c r="AR465" s="7"/>
    </row>
    <row r="466" spans="2:44" x14ac:dyDescent="0.3">
      <c r="B466" s="6">
        <v>461</v>
      </c>
      <c r="C466" s="6"/>
      <c r="D466" s="6"/>
      <c r="E466" s="6"/>
      <c r="F466" s="6"/>
      <c r="G466" s="7"/>
      <c r="H466" s="7"/>
      <c r="I466" s="7"/>
      <c r="J466" s="7"/>
      <c r="K466" s="10"/>
      <c r="L466" s="7"/>
      <c r="M466" s="7"/>
      <c r="N466" s="7"/>
      <c r="O466" s="13"/>
      <c r="P466" s="13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8"/>
      <c r="AI466" s="7"/>
      <c r="AJ466" s="7"/>
      <c r="AK466" s="7"/>
      <c r="AL466" s="10"/>
      <c r="AM466" s="7" t="e">
        <f>VLOOKUP(AL466,Personal!$A$2:$I$300,2,FALSE)</f>
        <v>#N/A</v>
      </c>
      <c r="AN466" s="7" t="e">
        <f>VLOOKUP(AL466,Personal!$A$2:$I$300,3,FALSE)</f>
        <v>#N/A</v>
      </c>
      <c r="AO466" s="7" t="e">
        <f>VLOOKUP(AL466,Personal!$A$2:$I$300,6,FALSE)</f>
        <v>#N/A</v>
      </c>
      <c r="AP466" s="7" t="e">
        <f>VLOOKUP(AL466,Personal!$A$2:$I$300,7,FALSE)</f>
        <v>#N/A</v>
      </c>
      <c r="AQ466" s="7" t="e">
        <f>VLOOKUP(AL466,Personal!$A$2:$I$300,8,FALSE)</f>
        <v>#N/A</v>
      </c>
      <c r="AR466" s="7"/>
    </row>
    <row r="467" spans="2:44" x14ac:dyDescent="0.3">
      <c r="B467" s="6">
        <v>462</v>
      </c>
      <c r="C467" s="6"/>
      <c r="D467" s="6"/>
      <c r="E467" s="6"/>
      <c r="F467" s="6"/>
      <c r="G467" s="7"/>
      <c r="H467" s="7"/>
      <c r="I467" s="7"/>
      <c r="J467" s="7"/>
      <c r="K467" s="10"/>
      <c r="L467" s="7"/>
      <c r="M467" s="7"/>
      <c r="N467" s="7"/>
      <c r="O467" s="13"/>
      <c r="P467" s="13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8"/>
      <c r="AI467" s="7"/>
      <c r="AJ467" s="7"/>
      <c r="AK467" s="7"/>
      <c r="AL467" s="10"/>
      <c r="AM467" s="7" t="e">
        <f>VLOOKUP(AL467,Personal!$A$2:$I$300,2,FALSE)</f>
        <v>#N/A</v>
      </c>
      <c r="AN467" s="7" t="e">
        <f>VLOOKUP(AL467,Personal!$A$2:$I$300,3,FALSE)</f>
        <v>#N/A</v>
      </c>
      <c r="AO467" s="7" t="e">
        <f>VLOOKUP(AL467,Personal!$A$2:$I$300,6,FALSE)</f>
        <v>#N/A</v>
      </c>
      <c r="AP467" s="7" t="e">
        <f>VLOOKUP(AL467,Personal!$A$2:$I$300,7,FALSE)</f>
        <v>#N/A</v>
      </c>
      <c r="AQ467" s="7" t="e">
        <f>VLOOKUP(AL467,Personal!$A$2:$I$300,8,FALSE)</f>
        <v>#N/A</v>
      </c>
      <c r="AR467" s="7"/>
    </row>
    <row r="468" spans="2:44" x14ac:dyDescent="0.3">
      <c r="B468" s="6">
        <v>463</v>
      </c>
      <c r="C468" s="6"/>
      <c r="D468" s="6"/>
      <c r="E468" s="6"/>
      <c r="F468" s="6"/>
      <c r="G468" s="7"/>
      <c r="H468" s="7"/>
      <c r="I468" s="7"/>
      <c r="J468" s="7"/>
      <c r="K468" s="10"/>
      <c r="L468" s="7"/>
      <c r="M468" s="7"/>
      <c r="N468" s="7"/>
      <c r="O468" s="13"/>
      <c r="P468" s="13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8"/>
      <c r="AI468" s="7"/>
      <c r="AJ468" s="7"/>
      <c r="AK468" s="7"/>
      <c r="AL468" s="10"/>
      <c r="AM468" s="7" t="e">
        <f>VLOOKUP(AL468,Personal!$A$2:$I$300,2,FALSE)</f>
        <v>#N/A</v>
      </c>
      <c r="AN468" s="7" t="e">
        <f>VLOOKUP(AL468,Personal!$A$2:$I$300,3,FALSE)</f>
        <v>#N/A</v>
      </c>
      <c r="AO468" s="7" t="e">
        <f>VLOOKUP(AL468,Personal!$A$2:$I$300,6,FALSE)</f>
        <v>#N/A</v>
      </c>
      <c r="AP468" s="7" t="e">
        <f>VLOOKUP(AL468,Personal!$A$2:$I$300,7,FALSE)</f>
        <v>#N/A</v>
      </c>
      <c r="AQ468" s="7" t="e">
        <f>VLOOKUP(AL468,Personal!$A$2:$I$300,8,FALSE)</f>
        <v>#N/A</v>
      </c>
      <c r="AR468" s="7"/>
    </row>
    <row r="469" spans="2:44" x14ac:dyDescent="0.3">
      <c r="B469" s="6">
        <v>464</v>
      </c>
      <c r="C469" s="6"/>
      <c r="D469" s="6"/>
      <c r="E469" s="6"/>
      <c r="F469" s="6"/>
      <c r="G469" s="7"/>
      <c r="H469" s="7"/>
      <c r="I469" s="7"/>
      <c r="J469" s="7"/>
      <c r="K469" s="10"/>
      <c r="L469" s="7"/>
      <c r="M469" s="7"/>
      <c r="N469" s="7"/>
      <c r="O469" s="13"/>
      <c r="P469" s="13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8"/>
      <c r="AI469" s="7"/>
      <c r="AJ469" s="7"/>
      <c r="AK469" s="7"/>
      <c r="AL469" s="10"/>
      <c r="AM469" s="7" t="e">
        <f>VLOOKUP(AL469,Personal!$A$2:$I$300,2,FALSE)</f>
        <v>#N/A</v>
      </c>
      <c r="AN469" s="7" t="e">
        <f>VLOOKUP(AL469,Personal!$A$2:$I$300,3,FALSE)</f>
        <v>#N/A</v>
      </c>
      <c r="AO469" s="7" t="e">
        <f>VLOOKUP(AL469,Personal!$A$2:$I$300,6,FALSE)</f>
        <v>#N/A</v>
      </c>
      <c r="AP469" s="7" t="e">
        <f>VLOOKUP(AL469,Personal!$A$2:$I$300,7,FALSE)</f>
        <v>#N/A</v>
      </c>
      <c r="AQ469" s="7" t="e">
        <f>VLOOKUP(AL469,Personal!$A$2:$I$300,8,FALSE)</f>
        <v>#N/A</v>
      </c>
      <c r="AR469" s="7"/>
    </row>
    <row r="470" spans="2:44" x14ac:dyDescent="0.3">
      <c r="B470" s="6">
        <v>465</v>
      </c>
      <c r="C470" s="6"/>
      <c r="D470" s="6"/>
      <c r="E470" s="6"/>
      <c r="F470" s="6"/>
      <c r="G470" s="7"/>
      <c r="H470" s="7"/>
      <c r="I470" s="7"/>
      <c r="J470" s="7"/>
      <c r="K470" s="10"/>
      <c r="L470" s="7"/>
      <c r="M470" s="7"/>
      <c r="N470" s="7"/>
      <c r="O470" s="13"/>
      <c r="P470" s="13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8"/>
      <c r="AI470" s="7"/>
      <c r="AJ470" s="7"/>
      <c r="AK470" s="7"/>
      <c r="AL470" s="10"/>
      <c r="AM470" s="7" t="e">
        <f>VLOOKUP(AL470,Personal!$A$2:$I$300,2,FALSE)</f>
        <v>#N/A</v>
      </c>
      <c r="AN470" s="7" t="e">
        <f>VLOOKUP(AL470,Personal!$A$2:$I$300,3,FALSE)</f>
        <v>#N/A</v>
      </c>
      <c r="AO470" s="7" t="e">
        <f>VLOOKUP(AL470,Personal!$A$2:$I$300,6,FALSE)</f>
        <v>#N/A</v>
      </c>
      <c r="AP470" s="7" t="e">
        <f>VLOOKUP(AL470,Personal!$A$2:$I$300,7,FALSE)</f>
        <v>#N/A</v>
      </c>
      <c r="AQ470" s="7" t="e">
        <f>VLOOKUP(AL470,Personal!$A$2:$I$300,8,FALSE)</f>
        <v>#N/A</v>
      </c>
      <c r="AR470" s="7"/>
    </row>
    <row r="471" spans="2:44" x14ac:dyDescent="0.3">
      <c r="B471" s="6">
        <v>466</v>
      </c>
      <c r="C471" s="6"/>
      <c r="D471" s="6"/>
      <c r="E471" s="6"/>
      <c r="F471" s="6"/>
      <c r="G471" s="7"/>
      <c r="H471" s="7"/>
      <c r="I471" s="7"/>
      <c r="J471" s="7"/>
      <c r="K471" s="10"/>
      <c r="L471" s="7"/>
      <c r="M471" s="7"/>
      <c r="N471" s="7"/>
      <c r="O471" s="13"/>
      <c r="P471" s="13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8"/>
      <c r="AI471" s="7"/>
      <c r="AJ471" s="7"/>
      <c r="AK471" s="7"/>
      <c r="AL471" s="10"/>
      <c r="AM471" s="7" t="e">
        <f>VLOOKUP(AL471,Personal!$A$2:$I$300,2,FALSE)</f>
        <v>#N/A</v>
      </c>
      <c r="AN471" s="7" t="e">
        <f>VLOOKUP(AL471,Personal!$A$2:$I$300,3,FALSE)</f>
        <v>#N/A</v>
      </c>
      <c r="AO471" s="7" t="e">
        <f>VLOOKUP(AL471,Personal!$A$2:$I$300,6,FALSE)</f>
        <v>#N/A</v>
      </c>
      <c r="AP471" s="7" t="e">
        <f>VLOOKUP(AL471,Personal!$A$2:$I$300,7,FALSE)</f>
        <v>#N/A</v>
      </c>
      <c r="AQ471" s="7" t="e">
        <f>VLOOKUP(AL471,Personal!$A$2:$I$300,8,FALSE)</f>
        <v>#N/A</v>
      </c>
      <c r="AR471" s="7"/>
    </row>
    <row r="472" spans="2:44" x14ac:dyDescent="0.3">
      <c r="B472" s="6">
        <v>467</v>
      </c>
      <c r="C472" s="6"/>
      <c r="D472" s="6"/>
      <c r="E472" s="6"/>
      <c r="F472" s="6"/>
      <c r="G472" s="7"/>
      <c r="H472" s="7"/>
      <c r="I472" s="7"/>
      <c r="J472" s="7"/>
      <c r="K472" s="10"/>
      <c r="L472" s="7"/>
      <c r="M472" s="7"/>
      <c r="N472" s="7"/>
      <c r="O472" s="13"/>
      <c r="P472" s="13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8"/>
      <c r="AI472" s="7"/>
      <c r="AJ472" s="7"/>
      <c r="AK472" s="7"/>
      <c r="AL472" s="10"/>
      <c r="AM472" s="7" t="e">
        <f>VLOOKUP(AL472,Personal!$A$2:$I$300,2,FALSE)</f>
        <v>#N/A</v>
      </c>
      <c r="AN472" s="7" t="e">
        <f>VLOOKUP(AL472,Personal!$A$2:$I$300,3,FALSE)</f>
        <v>#N/A</v>
      </c>
      <c r="AO472" s="7" t="e">
        <f>VLOOKUP(AL472,Personal!$A$2:$I$300,6,FALSE)</f>
        <v>#N/A</v>
      </c>
      <c r="AP472" s="7" t="e">
        <f>VLOOKUP(AL472,Personal!$A$2:$I$300,7,FALSE)</f>
        <v>#N/A</v>
      </c>
      <c r="AQ472" s="7" t="e">
        <f>VLOOKUP(AL472,Personal!$A$2:$I$300,8,FALSE)</f>
        <v>#N/A</v>
      </c>
      <c r="AR472" s="7"/>
    </row>
    <row r="473" spans="2:44" x14ac:dyDescent="0.3">
      <c r="B473" s="6">
        <v>468</v>
      </c>
      <c r="C473" s="6"/>
      <c r="D473" s="6"/>
      <c r="E473" s="6"/>
      <c r="F473" s="6"/>
      <c r="G473" s="7"/>
      <c r="H473" s="7"/>
      <c r="I473" s="7"/>
      <c r="J473" s="7"/>
      <c r="K473" s="10"/>
      <c r="L473" s="7"/>
      <c r="M473" s="7"/>
      <c r="N473" s="7"/>
      <c r="O473" s="13"/>
      <c r="P473" s="13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8"/>
      <c r="AI473" s="7"/>
      <c r="AJ473" s="7"/>
      <c r="AK473" s="7"/>
      <c r="AL473" s="10"/>
      <c r="AM473" s="7" t="e">
        <f>VLOOKUP(AL473,Personal!$A$2:$I$300,2,FALSE)</f>
        <v>#N/A</v>
      </c>
      <c r="AN473" s="7" t="e">
        <f>VLOOKUP(AL473,Personal!$A$2:$I$300,3,FALSE)</f>
        <v>#N/A</v>
      </c>
      <c r="AO473" s="7" t="e">
        <f>VLOOKUP(AL473,Personal!$A$2:$I$300,6,FALSE)</f>
        <v>#N/A</v>
      </c>
      <c r="AP473" s="7" t="e">
        <f>VLOOKUP(AL473,Personal!$A$2:$I$300,7,FALSE)</f>
        <v>#N/A</v>
      </c>
      <c r="AQ473" s="7" t="e">
        <f>VLOOKUP(AL473,Personal!$A$2:$I$300,8,FALSE)</f>
        <v>#N/A</v>
      </c>
      <c r="AR473" s="7"/>
    </row>
    <row r="474" spans="2:44" x14ac:dyDescent="0.3">
      <c r="B474" s="6">
        <v>469</v>
      </c>
      <c r="C474" s="6"/>
      <c r="D474" s="6"/>
      <c r="E474" s="6"/>
      <c r="F474" s="6"/>
      <c r="G474" s="7"/>
      <c r="H474" s="7"/>
      <c r="I474" s="7"/>
      <c r="J474" s="7"/>
      <c r="K474" s="10"/>
      <c r="L474" s="7"/>
      <c r="M474" s="7"/>
      <c r="N474" s="7"/>
      <c r="O474" s="13"/>
      <c r="P474" s="13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8"/>
      <c r="AI474" s="7"/>
      <c r="AJ474" s="7"/>
      <c r="AK474" s="7"/>
      <c r="AL474" s="10"/>
      <c r="AM474" s="7" t="e">
        <f>VLOOKUP(AL474,Personal!$A$2:$I$300,2,FALSE)</f>
        <v>#N/A</v>
      </c>
      <c r="AN474" s="7" t="e">
        <f>VLOOKUP(AL474,Personal!$A$2:$I$300,3,FALSE)</f>
        <v>#N/A</v>
      </c>
      <c r="AO474" s="7" t="e">
        <f>VLOOKUP(AL474,Personal!$A$2:$I$300,6,FALSE)</f>
        <v>#N/A</v>
      </c>
      <c r="AP474" s="7" t="e">
        <f>VLOOKUP(AL474,Personal!$A$2:$I$300,7,FALSE)</f>
        <v>#N/A</v>
      </c>
      <c r="AQ474" s="7" t="e">
        <f>VLOOKUP(AL474,Personal!$A$2:$I$300,8,FALSE)</f>
        <v>#N/A</v>
      </c>
      <c r="AR474" s="7"/>
    </row>
    <row r="475" spans="2:44" x14ac:dyDescent="0.3">
      <c r="B475" s="6">
        <v>470</v>
      </c>
      <c r="C475" s="6"/>
      <c r="D475" s="6"/>
      <c r="E475" s="6"/>
      <c r="F475" s="6"/>
      <c r="G475" s="7"/>
      <c r="H475" s="7"/>
      <c r="I475" s="7"/>
      <c r="J475" s="7"/>
      <c r="K475" s="10"/>
      <c r="L475" s="7"/>
      <c r="M475" s="7"/>
      <c r="N475" s="7"/>
      <c r="O475" s="13"/>
      <c r="P475" s="13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8"/>
      <c r="AI475" s="7"/>
      <c r="AJ475" s="7"/>
      <c r="AK475" s="7"/>
      <c r="AL475" s="10"/>
      <c r="AM475" s="7" t="e">
        <f>VLOOKUP(AL475,Personal!$A$2:$I$300,2,FALSE)</f>
        <v>#N/A</v>
      </c>
      <c r="AN475" s="7" t="e">
        <f>VLOOKUP(AL475,Personal!$A$2:$I$300,3,FALSE)</f>
        <v>#N/A</v>
      </c>
      <c r="AO475" s="7" t="e">
        <f>VLOOKUP(AL475,Personal!$A$2:$I$300,6,FALSE)</f>
        <v>#N/A</v>
      </c>
      <c r="AP475" s="7" t="e">
        <f>VLOOKUP(AL475,Personal!$A$2:$I$300,7,FALSE)</f>
        <v>#N/A</v>
      </c>
      <c r="AQ475" s="7" t="e">
        <f>VLOOKUP(AL475,Personal!$A$2:$I$300,8,FALSE)</f>
        <v>#N/A</v>
      </c>
      <c r="AR475" s="7"/>
    </row>
    <row r="476" spans="2:44" x14ac:dyDescent="0.3">
      <c r="B476" s="6">
        <v>471</v>
      </c>
      <c r="C476" s="6"/>
      <c r="D476" s="6"/>
      <c r="E476" s="6"/>
      <c r="F476" s="6"/>
      <c r="G476" s="7"/>
      <c r="H476" s="7"/>
      <c r="I476" s="7"/>
      <c r="J476" s="7"/>
      <c r="K476" s="10"/>
      <c r="L476" s="7"/>
      <c r="M476" s="7"/>
      <c r="N476" s="7"/>
      <c r="O476" s="13"/>
      <c r="P476" s="13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8"/>
      <c r="AI476" s="7"/>
      <c r="AJ476" s="7"/>
      <c r="AK476" s="7"/>
      <c r="AL476" s="10"/>
      <c r="AM476" s="7" t="e">
        <f>VLOOKUP(AL476,Personal!$A$2:$I$300,2,FALSE)</f>
        <v>#N/A</v>
      </c>
      <c r="AN476" s="7" t="e">
        <f>VLOOKUP(AL476,Personal!$A$2:$I$300,3,FALSE)</f>
        <v>#N/A</v>
      </c>
      <c r="AO476" s="7" t="e">
        <f>VLOOKUP(AL476,Personal!$A$2:$I$300,6,FALSE)</f>
        <v>#N/A</v>
      </c>
      <c r="AP476" s="7" t="e">
        <f>VLOOKUP(AL476,Personal!$A$2:$I$300,7,FALSE)</f>
        <v>#N/A</v>
      </c>
      <c r="AQ476" s="7" t="e">
        <f>VLOOKUP(AL476,Personal!$A$2:$I$300,8,FALSE)</f>
        <v>#N/A</v>
      </c>
      <c r="AR476" s="7"/>
    </row>
    <row r="477" spans="2:44" x14ac:dyDescent="0.3">
      <c r="B477" s="6">
        <v>472</v>
      </c>
      <c r="C477" s="6"/>
      <c r="D477" s="6"/>
      <c r="E477" s="6"/>
      <c r="F477" s="6"/>
      <c r="G477" s="7"/>
      <c r="H477" s="7"/>
      <c r="I477" s="7"/>
      <c r="J477" s="7"/>
      <c r="K477" s="10"/>
      <c r="L477" s="7"/>
      <c r="M477" s="7"/>
      <c r="N477" s="7"/>
      <c r="O477" s="13"/>
      <c r="P477" s="13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8"/>
      <c r="AI477" s="7"/>
      <c r="AJ477" s="7"/>
      <c r="AK477" s="7"/>
      <c r="AL477" s="10"/>
      <c r="AM477" s="7" t="e">
        <f>VLOOKUP(AL477,Personal!$A$2:$I$300,2,FALSE)</f>
        <v>#N/A</v>
      </c>
      <c r="AN477" s="7" t="e">
        <f>VLOOKUP(AL477,Personal!$A$2:$I$300,3,FALSE)</f>
        <v>#N/A</v>
      </c>
      <c r="AO477" s="7" t="e">
        <f>VLOOKUP(AL477,Personal!$A$2:$I$300,6,FALSE)</f>
        <v>#N/A</v>
      </c>
      <c r="AP477" s="7" t="e">
        <f>VLOOKUP(AL477,Personal!$A$2:$I$300,7,FALSE)</f>
        <v>#N/A</v>
      </c>
      <c r="AQ477" s="7" t="e">
        <f>VLOOKUP(AL477,Personal!$A$2:$I$300,8,FALSE)</f>
        <v>#N/A</v>
      </c>
      <c r="AR477" s="7"/>
    </row>
    <row r="478" spans="2:44" x14ac:dyDescent="0.3">
      <c r="B478" s="6">
        <v>473</v>
      </c>
      <c r="C478" s="6"/>
      <c r="D478" s="6"/>
      <c r="E478" s="6"/>
      <c r="F478" s="6"/>
      <c r="G478" s="7"/>
      <c r="H478" s="7"/>
      <c r="I478" s="7"/>
      <c r="J478" s="7"/>
      <c r="K478" s="10"/>
      <c r="L478" s="7"/>
      <c r="M478" s="7"/>
      <c r="N478" s="7"/>
      <c r="O478" s="13"/>
      <c r="P478" s="13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8"/>
      <c r="AI478" s="7"/>
      <c r="AJ478" s="7"/>
      <c r="AK478" s="7"/>
      <c r="AL478" s="10"/>
      <c r="AM478" s="7" t="e">
        <f>VLOOKUP(AL478,Personal!$A$2:$I$300,2,FALSE)</f>
        <v>#N/A</v>
      </c>
      <c r="AN478" s="7" t="e">
        <f>VLOOKUP(AL478,Personal!$A$2:$I$300,3,FALSE)</f>
        <v>#N/A</v>
      </c>
      <c r="AO478" s="7" t="e">
        <f>VLOOKUP(AL478,Personal!$A$2:$I$300,6,FALSE)</f>
        <v>#N/A</v>
      </c>
      <c r="AP478" s="7" t="e">
        <f>VLOOKUP(AL478,Personal!$A$2:$I$300,7,FALSE)</f>
        <v>#N/A</v>
      </c>
      <c r="AQ478" s="7" t="e">
        <f>VLOOKUP(AL478,Personal!$A$2:$I$300,8,FALSE)</f>
        <v>#N/A</v>
      </c>
      <c r="AR478" s="7"/>
    </row>
    <row r="479" spans="2:44" x14ac:dyDescent="0.3">
      <c r="B479" s="6">
        <v>474</v>
      </c>
      <c r="C479" s="6"/>
      <c r="D479" s="6"/>
      <c r="E479" s="6"/>
      <c r="F479" s="6"/>
      <c r="G479" s="7"/>
      <c r="H479" s="7"/>
      <c r="I479" s="7"/>
      <c r="J479" s="7"/>
      <c r="K479" s="10"/>
      <c r="L479" s="7"/>
      <c r="M479" s="7"/>
      <c r="N479" s="7"/>
      <c r="O479" s="13"/>
      <c r="P479" s="13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8"/>
      <c r="AI479" s="7"/>
      <c r="AJ479" s="7"/>
      <c r="AK479" s="7"/>
      <c r="AL479" s="10"/>
      <c r="AM479" s="7" t="e">
        <f>VLOOKUP(AL479,Personal!$A$2:$I$300,2,FALSE)</f>
        <v>#N/A</v>
      </c>
      <c r="AN479" s="7" t="e">
        <f>VLOOKUP(AL479,Personal!$A$2:$I$300,3,FALSE)</f>
        <v>#N/A</v>
      </c>
      <c r="AO479" s="7" t="e">
        <f>VLOOKUP(AL479,Personal!$A$2:$I$300,6,FALSE)</f>
        <v>#N/A</v>
      </c>
      <c r="AP479" s="7" t="e">
        <f>VLOOKUP(AL479,Personal!$A$2:$I$300,7,FALSE)</f>
        <v>#N/A</v>
      </c>
      <c r="AQ479" s="7" t="e">
        <f>VLOOKUP(AL479,Personal!$A$2:$I$300,8,FALSE)</f>
        <v>#N/A</v>
      </c>
      <c r="AR479" s="7"/>
    </row>
    <row r="480" spans="2:44" x14ac:dyDescent="0.3">
      <c r="B480" s="6">
        <v>475</v>
      </c>
      <c r="C480" s="6"/>
      <c r="D480" s="6"/>
      <c r="E480" s="6"/>
      <c r="F480" s="6"/>
      <c r="G480" s="7"/>
      <c r="H480" s="7"/>
      <c r="I480" s="7"/>
      <c r="J480" s="7"/>
      <c r="K480" s="10"/>
      <c r="L480" s="7"/>
      <c r="M480" s="7"/>
      <c r="N480" s="7"/>
      <c r="O480" s="13"/>
      <c r="P480" s="13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8"/>
      <c r="AI480" s="7"/>
      <c r="AJ480" s="7"/>
      <c r="AK480" s="7"/>
      <c r="AL480" s="10"/>
      <c r="AM480" s="7" t="e">
        <f>VLOOKUP(AL480,Personal!$A$2:$I$300,2,FALSE)</f>
        <v>#N/A</v>
      </c>
      <c r="AN480" s="7" t="e">
        <f>VLOOKUP(AL480,Personal!$A$2:$I$300,3,FALSE)</f>
        <v>#N/A</v>
      </c>
      <c r="AO480" s="7" t="e">
        <f>VLOOKUP(AL480,Personal!$A$2:$I$300,6,FALSE)</f>
        <v>#N/A</v>
      </c>
      <c r="AP480" s="7" t="e">
        <f>VLOOKUP(AL480,Personal!$A$2:$I$300,7,FALSE)</f>
        <v>#N/A</v>
      </c>
      <c r="AQ480" s="7" t="e">
        <f>VLOOKUP(AL480,Personal!$A$2:$I$300,8,FALSE)</f>
        <v>#N/A</v>
      </c>
      <c r="AR480" s="7"/>
    </row>
    <row r="481" spans="2:44" x14ac:dyDescent="0.3">
      <c r="B481" s="6">
        <v>476</v>
      </c>
      <c r="C481" s="6"/>
      <c r="D481" s="6"/>
      <c r="E481" s="6"/>
      <c r="F481" s="6"/>
      <c r="G481" s="7"/>
      <c r="H481" s="7"/>
      <c r="I481" s="7"/>
      <c r="J481" s="7"/>
      <c r="K481" s="10"/>
      <c r="L481" s="7"/>
      <c r="M481" s="7"/>
      <c r="N481" s="7"/>
      <c r="O481" s="13"/>
      <c r="P481" s="13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8"/>
      <c r="AI481" s="7"/>
      <c r="AJ481" s="7"/>
      <c r="AK481" s="7"/>
      <c r="AL481" s="10"/>
      <c r="AM481" s="7" t="e">
        <f>VLOOKUP(AL481,Personal!$A$2:$I$300,2,FALSE)</f>
        <v>#N/A</v>
      </c>
      <c r="AN481" s="7" t="e">
        <f>VLOOKUP(AL481,Personal!$A$2:$I$300,3,FALSE)</f>
        <v>#N/A</v>
      </c>
      <c r="AO481" s="7" t="e">
        <f>VLOOKUP(AL481,Personal!$A$2:$I$300,6,FALSE)</f>
        <v>#N/A</v>
      </c>
      <c r="AP481" s="7" t="e">
        <f>VLOOKUP(AL481,Personal!$A$2:$I$300,7,FALSE)</f>
        <v>#N/A</v>
      </c>
      <c r="AQ481" s="7" t="e">
        <f>VLOOKUP(AL481,Personal!$A$2:$I$300,8,FALSE)</f>
        <v>#N/A</v>
      </c>
      <c r="AR481" s="7"/>
    </row>
    <row r="482" spans="2:44" x14ac:dyDescent="0.3">
      <c r="B482" s="6">
        <v>477</v>
      </c>
      <c r="C482" s="6"/>
      <c r="D482" s="6"/>
      <c r="E482" s="6"/>
      <c r="F482" s="6"/>
      <c r="G482" s="7"/>
      <c r="H482" s="7"/>
      <c r="I482" s="7"/>
      <c r="J482" s="7"/>
      <c r="K482" s="10"/>
      <c r="L482" s="7"/>
      <c r="M482" s="7"/>
      <c r="N482" s="7"/>
      <c r="O482" s="13"/>
      <c r="P482" s="13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8"/>
      <c r="AI482" s="7"/>
      <c r="AJ482" s="7"/>
      <c r="AK482" s="7"/>
      <c r="AL482" s="10"/>
      <c r="AM482" s="7" t="e">
        <f>VLOOKUP(AL482,Personal!$A$2:$I$300,2,FALSE)</f>
        <v>#N/A</v>
      </c>
      <c r="AN482" s="7" t="e">
        <f>VLOOKUP(AL482,Personal!$A$2:$I$300,3,FALSE)</f>
        <v>#N/A</v>
      </c>
      <c r="AO482" s="7" t="e">
        <f>VLOOKUP(AL482,Personal!$A$2:$I$300,6,FALSE)</f>
        <v>#N/A</v>
      </c>
      <c r="AP482" s="7" t="e">
        <f>VLOOKUP(AL482,Personal!$A$2:$I$300,7,FALSE)</f>
        <v>#N/A</v>
      </c>
      <c r="AQ482" s="7" t="e">
        <f>VLOOKUP(AL482,Personal!$A$2:$I$300,8,FALSE)</f>
        <v>#N/A</v>
      </c>
      <c r="AR482" s="7"/>
    </row>
    <row r="483" spans="2:44" x14ac:dyDescent="0.3">
      <c r="B483" s="6">
        <v>478</v>
      </c>
      <c r="C483" s="6"/>
      <c r="D483" s="6"/>
      <c r="E483" s="6"/>
      <c r="F483" s="6"/>
      <c r="G483" s="7"/>
      <c r="H483" s="7"/>
      <c r="I483" s="7"/>
      <c r="J483" s="7"/>
      <c r="K483" s="10"/>
      <c r="L483" s="7"/>
      <c r="M483" s="7"/>
      <c r="N483" s="7"/>
      <c r="O483" s="13"/>
      <c r="P483" s="13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8"/>
      <c r="AI483" s="7"/>
      <c r="AJ483" s="7"/>
      <c r="AK483" s="7"/>
      <c r="AL483" s="10"/>
      <c r="AM483" s="7" t="e">
        <f>VLOOKUP(AL483,Personal!$A$2:$I$300,2,FALSE)</f>
        <v>#N/A</v>
      </c>
      <c r="AN483" s="7" t="e">
        <f>VLOOKUP(AL483,Personal!$A$2:$I$300,3,FALSE)</f>
        <v>#N/A</v>
      </c>
      <c r="AO483" s="7" t="e">
        <f>VLOOKUP(AL483,Personal!$A$2:$I$300,6,FALSE)</f>
        <v>#N/A</v>
      </c>
      <c r="AP483" s="7" t="e">
        <f>VLOOKUP(AL483,Personal!$A$2:$I$300,7,FALSE)</f>
        <v>#N/A</v>
      </c>
      <c r="AQ483" s="7" t="e">
        <f>VLOOKUP(AL483,Personal!$A$2:$I$300,8,FALSE)</f>
        <v>#N/A</v>
      </c>
      <c r="AR483" s="7"/>
    </row>
    <row r="484" spans="2:44" x14ac:dyDescent="0.3">
      <c r="B484" s="6">
        <v>479</v>
      </c>
      <c r="C484" s="6"/>
      <c r="D484" s="6"/>
      <c r="E484" s="6"/>
      <c r="F484" s="6"/>
      <c r="G484" s="7"/>
      <c r="H484" s="7"/>
      <c r="I484" s="7"/>
      <c r="J484" s="7"/>
      <c r="K484" s="10"/>
      <c r="L484" s="7"/>
      <c r="M484" s="7"/>
      <c r="N484" s="7"/>
      <c r="O484" s="13"/>
      <c r="P484" s="13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8"/>
      <c r="AI484" s="7"/>
      <c r="AJ484" s="7"/>
      <c r="AK484" s="7"/>
      <c r="AL484" s="10"/>
      <c r="AM484" s="7" t="e">
        <f>VLOOKUP(AL484,Personal!$A$2:$I$300,2,FALSE)</f>
        <v>#N/A</v>
      </c>
      <c r="AN484" s="7" t="e">
        <f>VLOOKUP(AL484,Personal!$A$2:$I$300,3,FALSE)</f>
        <v>#N/A</v>
      </c>
      <c r="AO484" s="7" t="e">
        <f>VLOOKUP(AL484,Personal!$A$2:$I$300,6,FALSE)</f>
        <v>#N/A</v>
      </c>
      <c r="AP484" s="7" t="e">
        <f>VLOOKUP(AL484,Personal!$A$2:$I$300,7,FALSE)</f>
        <v>#N/A</v>
      </c>
      <c r="AQ484" s="7" t="e">
        <f>VLOOKUP(AL484,Personal!$A$2:$I$300,8,FALSE)</f>
        <v>#N/A</v>
      </c>
      <c r="AR484" s="7"/>
    </row>
    <row r="485" spans="2:44" x14ac:dyDescent="0.3">
      <c r="B485" s="6">
        <v>480</v>
      </c>
      <c r="C485" s="6"/>
      <c r="D485" s="6"/>
      <c r="E485" s="6"/>
      <c r="F485" s="6"/>
      <c r="G485" s="7"/>
      <c r="H485" s="7"/>
      <c r="I485" s="7"/>
      <c r="J485" s="7"/>
      <c r="K485" s="10"/>
      <c r="L485" s="7"/>
      <c r="M485" s="7"/>
      <c r="N485" s="7"/>
      <c r="O485" s="13"/>
      <c r="P485" s="13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8"/>
      <c r="AI485" s="7"/>
      <c r="AJ485" s="7"/>
      <c r="AK485" s="7"/>
      <c r="AL485" s="10"/>
      <c r="AM485" s="7" t="e">
        <f>VLOOKUP(AL485,Personal!$A$2:$I$300,2,FALSE)</f>
        <v>#N/A</v>
      </c>
      <c r="AN485" s="7" t="e">
        <f>VLOOKUP(AL485,Personal!$A$2:$I$300,3,FALSE)</f>
        <v>#N/A</v>
      </c>
      <c r="AO485" s="7" t="e">
        <f>VLOOKUP(AL485,Personal!$A$2:$I$300,6,FALSE)</f>
        <v>#N/A</v>
      </c>
      <c r="AP485" s="7" t="e">
        <f>VLOOKUP(AL485,Personal!$A$2:$I$300,7,FALSE)</f>
        <v>#N/A</v>
      </c>
      <c r="AQ485" s="7" t="e">
        <f>VLOOKUP(AL485,Personal!$A$2:$I$300,8,FALSE)</f>
        <v>#N/A</v>
      </c>
      <c r="AR485" s="7"/>
    </row>
    <row r="486" spans="2:44" x14ac:dyDescent="0.3">
      <c r="B486" s="6">
        <v>481</v>
      </c>
      <c r="C486" s="6"/>
      <c r="D486" s="6"/>
      <c r="E486" s="6"/>
      <c r="F486" s="6"/>
      <c r="G486" s="7"/>
      <c r="H486" s="7"/>
      <c r="I486" s="7"/>
      <c r="J486" s="7"/>
      <c r="K486" s="10"/>
      <c r="L486" s="7"/>
      <c r="M486" s="7"/>
      <c r="N486" s="7"/>
      <c r="O486" s="13"/>
      <c r="P486" s="13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8"/>
      <c r="AI486" s="7"/>
      <c r="AJ486" s="7"/>
      <c r="AK486" s="7"/>
      <c r="AL486" s="10"/>
      <c r="AM486" s="7" t="e">
        <f>VLOOKUP(AL486,Personal!$A$2:$I$300,2,FALSE)</f>
        <v>#N/A</v>
      </c>
      <c r="AN486" s="7" t="e">
        <f>VLOOKUP(AL486,Personal!$A$2:$I$300,3,FALSE)</f>
        <v>#N/A</v>
      </c>
      <c r="AO486" s="7" t="e">
        <f>VLOOKUP(AL486,Personal!$A$2:$I$300,6,FALSE)</f>
        <v>#N/A</v>
      </c>
      <c r="AP486" s="7" t="e">
        <f>VLOOKUP(AL486,Personal!$A$2:$I$300,7,FALSE)</f>
        <v>#N/A</v>
      </c>
      <c r="AQ486" s="7" t="e">
        <f>VLOOKUP(AL486,Personal!$A$2:$I$300,8,FALSE)</f>
        <v>#N/A</v>
      </c>
      <c r="AR486" s="7"/>
    </row>
    <row r="487" spans="2:44" x14ac:dyDescent="0.3">
      <c r="B487" s="6">
        <v>482</v>
      </c>
      <c r="C487" s="6"/>
      <c r="D487" s="6"/>
      <c r="E487" s="6"/>
      <c r="F487" s="6"/>
      <c r="G487" s="7"/>
      <c r="H487" s="7"/>
      <c r="I487" s="7"/>
      <c r="J487" s="7"/>
      <c r="K487" s="10"/>
      <c r="L487" s="7"/>
      <c r="M487" s="7"/>
      <c r="N487" s="7"/>
      <c r="O487" s="13"/>
      <c r="P487" s="13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8"/>
      <c r="AI487" s="7"/>
      <c r="AJ487" s="7"/>
      <c r="AK487" s="7"/>
      <c r="AL487" s="10"/>
      <c r="AM487" s="7" t="e">
        <f>VLOOKUP(AL487,Personal!$A$2:$I$300,2,FALSE)</f>
        <v>#N/A</v>
      </c>
      <c r="AN487" s="7" t="e">
        <f>VLOOKUP(AL487,Personal!$A$2:$I$300,3,FALSE)</f>
        <v>#N/A</v>
      </c>
      <c r="AO487" s="7" t="e">
        <f>VLOOKUP(AL487,Personal!$A$2:$I$300,6,FALSE)</f>
        <v>#N/A</v>
      </c>
      <c r="AP487" s="7" t="e">
        <f>VLOOKUP(AL487,Personal!$A$2:$I$300,7,FALSE)</f>
        <v>#N/A</v>
      </c>
      <c r="AQ487" s="7" t="e">
        <f>VLOOKUP(AL487,Personal!$A$2:$I$300,8,FALSE)</f>
        <v>#N/A</v>
      </c>
      <c r="AR487" s="7"/>
    </row>
    <row r="488" spans="2:44" x14ac:dyDescent="0.3">
      <c r="B488" s="6">
        <v>483</v>
      </c>
      <c r="C488" s="6"/>
      <c r="D488" s="6"/>
      <c r="E488" s="6"/>
      <c r="F488" s="6"/>
      <c r="G488" s="7"/>
      <c r="H488" s="7"/>
      <c r="I488" s="7"/>
      <c r="J488" s="7"/>
      <c r="K488" s="10"/>
      <c r="L488" s="7"/>
      <c r="M488" s="7"/>
      <c r="N488" s="7"/>
      <c r="O488" s="13"/>
      <c r="P488" s="13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8"/>
      <c r="AI488" s="7"/>
      <c r="AJ488" s="7"/>
      <c r="AK488" s="7"/>
      <c r="AL488" s="10"/>
      <c r="AM488" s="7" t="e">
        <f>VLOOKUP(AL488,Personal!$A$2:$I$300,2,FALSE)</f>
        <v>#N/A</v>
      </c>
      <c r="AN488" s="7" t="e">
        <f>VLOOKUP(AL488,Personal!$A$2:$I$300,3,FALSE)</f>
        <v>#N/A</v>
      </c>
      <c r="AO488" s="7" t="e">
        <f>VLOOKUP(AL488,Personal!$A$2:$I$300,6,FALSE)</f>
        <v>#N/A</v>
      </c>
      <c r="AP488" s="7" t="e">
        <f>VLOOKUP(AL488,Personal!$A$2:$I$300,7,FALSE)</f>
        <v>#N/A</v>
      </c>
      <c r="AQ488" s="7" t="e">
        <f>VLOOKUP(AL488,Personal!$A$2:$I$300,8,FALSE)</f>
        <v>#N/A</v>
      </c>
      <c r="AR488" s="7"/>
    </row>
    <row r="489" spans="2:44" x14ac:dyDescent="0.3">
      <c r="B489" s="6">
        <v>484</v>
      </c>
      <c r="C489" s="6"/>
      <c r="D489" s="6"/>
      <c r="E489" s="6"/>
      <c r="F489" s="6"/>
      <c r="G489" s="7"/>
      <c r="H489" s="7"/>
      <c r="I489" s="7"/>
      <c r="J489" s="7"/>
      <c r="K489" s="10"/>
      <c r="L489" s="7"/>
      <c r="M489" s="7"/>
      <c r="N489" s="7"/>
      <c r="O489" s="13"/>
      <c r="P489" s="13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8"/>
      <c r="AI489" s="7"/>
      <c r="AJ489" s="7"/>
      <c r="AK489" s="7"/>
      <c r="AL489" s="10"/>
      <c r="AM489" s="7" t="e">
        <f>VLOOKUP(AL489,Personal!$A$2:$I$300,2,FALSE)</f>
        <v>#N/A</v>
      </c>
      <c r="AN489" s="7" t="e">
        <f>VLOOKUP(AL489,Personal!$A$2:$I$300,3,FALSE)</f>
        <v>#N/A</v>
      </c>
      <c r="AO489" s="7" t="e">
        <f>VLOOKUP(AL489,Personal!$A$2:$I$300,6,FALSE)</f>
        <v>#N/A</v>
      </c>
      <c r="AP489" s="7" t="e">
        <f>VLOOKUP(AL489,Personal!$A$2:$I$300,7,FALSE)</f>
        <v>#N/A</v>
      </c>
      <c r="AQ489" s="7" t="e">
        <f>VLOOKUP(AL489,Personal!$A$2:$I$300,8,FALSE)</f>
        <v>#N/A</v>
      </c>
      <c r="AR489" s="7"/>
    </row>
    <row r="490" spans="2:44" x14ac:dyDescent="0.3">
      <c r="B490" s="6">
        <v>485</v>
      </c>
      <c r="C490" s="6"/>
      <c r="D490" s="6"/>
      <c r="E490" s="6"/>
      <c r="F490" s="6"/>
      <c r="G490" s="7"/>
      <c r="H490" s="7"/>
      <c r="I490" s="7"/>
      <c r="J490" s="7"/>
      <c r="K490" s="10"/>
      <c r="L490" s="7"/>
      <c r="M490" s="7"/>
      <c r="N490" s="7"/>
      <c r="O490" s="13"/>
      <c r="P490" s="13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8"/>
      <c r="AI490" s="7"/>
      <c r="AJ490" s="7"/>
      <c r="AK490" s="7"/>
      <c r="AL490" s="10"/>
      <c r="AM490" s="7" t="e">
        <f>VLOOKUP(AL490,Personal!$A$2:$I$300,2,FALSE)</f>
        <v>#N/A</v>
      </c>
      <c r="AN490" s="7" t="e">
        <f>VLOOKUP(AL490,Personal!$A$2:$I$300,3,FALSE)</f>
        <v>#N/A</v>
      </c>
      <c r="AO490" s="7" t="e">
        <f>VLOOKUP(AL490,Personal!$A$2:$I$300,6,FALSE)</f>
        <v>#N/A</v>
      </c>
      <c r="AP490" s="7" t="e">
        <f>VLOOKUP(AL490,Personal!$A$2:$I$300,7,FALSE)</f>
        <v>#N/A</v>
      </c>
      <c r="AQ490" s="7" t="e">
        <f>VLOOKUP(AL490,Personal!$A$2:$I$300,8,FALSE)</f>
        <v>#N/A</v>
      </c>
      <c r="AR490" s="7"/>
    </row>
    <row r="491" spans="2:44" x14ac:dyDescent="0.3">
      <c r="B491" s="6">
        <v>486</v>
      </c>
      <c r="C491" s="6"/>
      <c r="D491" s="6"/>
      <c r="E491" s="6"/>
      <c r="F491" s="6"/>
      <c r="G491" s="7"/>
      <c r="H491" s="7"/>
      <c r="I491" s="7"/>
      <c r="J491" s="7"/>
      <c r="K491" s="10"/>
      <c r="L491" s="7"/>
      <c r="M491" s="7"/>
      <c r="N491" s="7"/>
      <c r="O491" s="13"/>
      <c r="P491" s="13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8"/>
      <c r="AI491" s="7"/>
      <c r="AJ491" s="7"/>
      <c r="AK491" s="7"/>
      <c r="AL491" s="10"/>
      <c r="AM491" s="7" t="e">
        <f>VLOOKUP(AL491,Personal!$A$2:$I$300,2,FALSE)</f>
        <v>#N/A</v>
      </c>
      <c r="AN491" s="7" t="e">
        <f>VLOOKUP(AL491,Personal!$A$2:$I$300,3,FALSE)</f>
        <v>#N/A</v>
      </c>
      <c r="AO491" s="7" t="e">
        <f>VLOOKUP(AL491,Personal!$A$2:$I$300,6,FALSE)</f>
        <v>#N/A</v>
      </c>
      <c r="AP491" s="7" t="e">
        <f>VLOOKUP(AL491,Personal!$A$2:$I$300,7,FALSE)</f>
        <v>#N/A</v>
      </c>
      <c r="AQ491" s="7" t="e">
        <f>VLOOKUP(AL491,Personal!$A$2:$I$300,8,FALSE)</f>
        <v>#N/A</v>
      </c>
      <c r="AR491" s="7"/>
    </row>
    <row r="492" spans="2:44" x14ac:dyDescent="0.3">
      <c r="B492" s="6">
        <v>487</v>
      </c>
      <c r="C492" s="6"/>
      <c r="D492" s="6"/>
      <c r="E492" s="6"/>
      <c r="F492" s="6"/>
      <c r="G492" s="7"/>
      <c r="H492" s="7"/>
      <c r="I492" s="7"/>
      <c r="J492" s="7"/>
      <c r="K492" s="10"/>
      <c r="L492" s="7"/>
      <c r="M492" s="7"/>
      <c r="N492" s="7"/>
      <c r="O492" s="13"/>
      <c r="P492" s="13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8"/>
      <c r="AI492" s="7"/>
      <c r="AJ492" s="7"/>
      <c r="AK492" s="7"/>
      <c r="AL492" s="10"/>
      <c r="AM492" s="7" t="e">
        <f>VLOOKUP(AL492,Personal!$A$2:$I$300,2,FALSE)</f>
        <v>#N/A</v>
      </c>
      <c r="AN492" s="7" t="e">
        <f>VLOOKUP(AL492,Personal!$A$2:$I$300,3,FALSE)</f>
        <v>#N/A</v>
      </c>
      <c r="AO492" s="7" t="e">
        <f>VLOOKUP(AL492,Personal!$A$2:$I$300,6,FALSE)</f>
        <v>#N/A</v>
      </c>
      <c r="AP492" s="7" t="e">
        <f>VLOOKUP(AL492,Personal!$A$2:$I$300,7,FALSE)</f>
        <v>#N/A</v>
      </c>
      <c r="AQ492" s="7" t="e">
        <f>VLOOKUP(AL492,Personal!$A$2:$I$300,8,FALSE)</f>
        <v>#N/A</v>
      </c>
      <c r="AR492" s="7"/>
    </row>
    <row r="493" spans="2:44" x14ac:dyDescent="0.3">
      <c r="B493" s="6">
        <v>488</v>
      </c>
      <c r="C493" s="6"/>
      <c r="D493" s="6"/>
      <c r="E493" s="6"/>
      <c r="F493" s="6"/>
      <c r="G493" s="7"/>
      <c r="H493" s="7"/>
      <c r="I493" s="7"/>
      <c r="J493" s="7"/>
      <c r="K493" s="10"/>
      <c r="L493" s="7"/>
      <c r="M493" s="7"/>
      <c r="N493" s="7"/>
      <c r="O493" s="13"/>
      <c r="P493" s="13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8"/>
      <c r="AI493" s="7"/>
      <c r="AJ493" s="7"/>
      <c r="AK493" s="7"/>
      <c r="AL493" s="10"/>
      <c r="AM493" s="7" t="e">
        <f>VLOOKUP(AL493,Personal!$A$2:$I$300,2,FALSE)</f>
        <v>#N/A</v>
      </c>
      <c r="AN493" s="7" t="e">
        <f>VLOOKUP(AL493,Personal!$A$2:$I$300,3,FALSE)</f>
        <v>#N/A</v>
      </c>
      <c r="AO493" s="7" t="e">
        <f>VLOOKUP(AL493,Personal!$A$2:$I$300,6,FALSE)</f>
        <v>#N/A</v>
      </c>
      <c r="AP493" s="7" t="e">
        <f>VLOOKUP(AL493,Personal!$A$2:$I$300,7,FALSE)</f>
        <v>#N/A</v>
      </c>
      <c r="AQ493" s="7" t="e">
        <f>VLOOKUP(AL493,Personal!$A$2:$I$300,8,FALSE)</f>
        <v>#N/A</v>
      </c>
      <c r="AR493" s="7"/>
    </row>
    <row r="494" spans="2:44" x14ac:dyDescent="0.3">
      <c r="B494" s="6">
        <v>489</v>
      </c>
      <c r="C494" s="6"/>
      <c r="D494" s="6"/>
      <c r="E494" s="6"/>
      <c r="F494" s="6"/>
      <c r="G494" s="7"/>
      <c r="H494" s="7"/>
      <c r="I494" s="7"/>
      <c r="J494" s="7"/>
      <c r="K494" s="10"/>
      <c r="L494" s="7"/>
      <c r="M494" s="7"/>
      <c r="N494" s="7"/>
      <c r="O494" s="13"/>
      <c r="P494" s="13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8"/>
      <c r="AI494" s="7"/>
      <c r="AJ494" s="7"/>
      <c r="AK494" s="7"/>
      <c r="AL494" s="10"/>
      <c r="AM494" s="7" t="e">
        <f>VLOOKUP(AL494,Personal!$A$2:$I$300,2,FALSE)</f>
        <v>#N/A</v>
      </c>
      <c r="AN494" s="7" t="e">
        <f>VLOOKUP(AL494,Personal!$A$2:$I$300,3,FALSE)</f>
        <v>#N/A</v>
      </c>
      <c r="AO494" s="7" t="e">
        <f>VLOOKUP(AL494,Personal!$A$2:$I$300,6,FALSE)</f>
        <v>#N/A</v>
      </c>
      <c r="AP494" s="7" t="e">
        <f>VLOOKUP(AL494,Personal!$A$2:$I$300,7,FALSE)</f>
        <v>#N/A</v>
      </c>
      <c r="AQ494" s="7" t="e">
        <f>VLOOKUP(AL494,Personal!$A$2:$I$300,8,FALSE)</f>
        <v>#N/A</v>
      </c>
      <c r="AR494" s="7"/>
    </row>
    <row r="495" spans="2:44" x14ac:dyDescent="0.3">
      <c r="B495" s="6">
        <v>490</v>
      </c>
      <c r="C495" s="6"/>
      <c r="D495" s="6"/>
      <c r="E495" s="6"/>
      <c r="F495" s="6"/>
      <c r="G495" s="7"/>
      <c r="H495" s="7"/>
      <c r="I495" s="7"/>
      <c r="J495" s="7"/>
      <c r="K495" s="10"/>
      <c r="L495" s="7"/>
      <c r="M495" s="7"/>
      <c r="N495" s="7"/>
      <c r="O495" s="13"/>
      <c r="P495" s="13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8"/>
      <c r="AI495" s="7"/>
      <c r="AJ495" s="7"/>
      <c r="AK495" s="7"/>
      <c r="AL495" s="10"/>
      <c r="AM495" s="7" t="e">
        <f>VLOOKUP(AL495,Personal!$A$2:$I$300,2,FALSE)</f>
        <v>#N/A</v>
      </c>
      <c r="AN495" s="7" t="e">
        <f>VLOOKUP(AL495,Personal!$A$2:$I$300,3,FALSE)</f>
        <v>#N/A</v>
      </c>
      <c r="AO495" s="7" t="e">
        <f>VLOOKUP(AL495,Personal!$A$2:$I$300,6,FALSE)</f>
        <v>#N/A</v>
      </c>
      <c r="AP495" s="7" t="e">
        <f>VLOOKUP(AL495,Personal!$A$2:$I$300,7,FALSE)</f>
        <v>#N/A</v>
      </c>
      <c r="AQ495" s="7" t="e">
        <f>VLOOKUP(AL495,Personal!$A$2:$I$300,8,FALSE)</f>
        <v>#N/A</v>
      </c>
      <c r="AR495" s="7"/>
    </row>
    <row r="496" spans="2:44" x14ac:dyDescent="0.3">
      <c r="B496" s="6">
        <v>491</v>
      </c>
      <c r="C496" s="6"/>
      <c r="D496" s="6"/>
      <c r="E496" s="6"/>
      <c r="F496" s="6"/>
      <c r="G496" s="7"/>
      <c r="H496" s="7"/>
      <c r="I496" s="7"/>
      <c r="J496" s="7"/>
      <c r="K496" s="10"/>
      <c r="L496" s="7"/>
      <c r="M496" s="7"/>
      <c r="N496" s="7"/>
      <c r="O496" s="13"/>
      <c r="P496" s="13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8"/>
      <c r="AI496" s="7"/>
      <c r="AJ496" s="7"/>
      <c r="AK496" s="7"/>
      <c r="AL496" s="10"/>
      <c r="AM496" s="7" t="e">
        <f>VLOOKUP(AL496,Personal!$A$2:$I$300,2,FALSE)</f>
        <v>#N/A</v>
      </c>
      <c r="AN496" s="7" t="e">
        <f>VLOOKUP(AL496,Personal!$A$2:$I$300,3,FALSE)</f>
        <v>#N/A</v>
      </c>
      <c r="AO496" s="7" t="e">
        <f>VLOOKUP(AL496,Personal!$A$2:$I$300,6,FALSE)</f>
        <v>#N/A</v>
      </c>
      <c r="AP496" s="7" t="e">
        <f>VLOOKUP(AL496,Personal!$A$2:$I$300,7,FALSE)</f>
        <v>#N/A</v>
      </c>
      <c r="AQ496" s="7" t="e">
        <f>VLOOKUP(AL496,Personal!$A$2:$I$300,8,FALSE)</f>
        <v>#N/A</v>
      </c>
      <c r="AR496" s="7"/>
    </row>
    <row r="497" spans="2:44" x14ac:dyDescent="0.3">
      <c r="B497" s="6">
        <v>492</v>
      </c>
      <c r="C497" s="6"/>
      <c r="D497" s="6"/>
      <c r="E497" s="6"/>
      <c r="F497" s="6"/>
      <c r="G497" s="7"/>
      <c r="H497" s="7"/>
      <c r="I497" s="7"/>
      <c r="J497" s="7"/>
      <c r="K497" s="10"/>
      <c r="L497" s="7"/>
      <c r="M497" s="7"/>
      <c r="N497" s="7"/>
      <c r="O497" s="13"/>
      <c r="P497" s="13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8"/>
      <c r="AI497" s="7"/>
      <c r="AJ497" s="7"/>
      <c r="AK497" s="7"/>
      <c r="AL497" s="10"/>
      <c r="AM497" s="7" t="e">
        <f>VLOOKUP(AL497,Personal!$A$2:$I$300,2,FALSE)</f>
        <v>#N/A</v>
      </c>
      <c r="AN497" s="7" t="e">
        <f>VLOOKUP(AL497,Personal!$A$2:$I$300,3,FALSE)</f>
        <v>#N/A</v>
      </c>
      <c r="AO497" s="7" t="e">
        <f>VLOOKUP(AL497,Personal!$A$2:$I$300,6,FALSE)</f>
        <v>#N/A</v>
      </c>
      <c r="AP497" s="7" t="e">
        <f>VLOOKUP(AL497,Personal!$A$2:$I$300,7,FALSE)</f>
        <v>#N/A</v>
      </c>
      <c r="AQ497" s="7" t="e">
        <f>VLOOKUP(AL497,Personal!$A$2:$I$300,8,FALSE)</f>
        <v>#N/A</v>
      </c>
      <c r="AR497" s="7"/>
    </row>
    <row r="498" spans="2:44" x14ac:dyDescent="0.3">
      <c r="B498" s="6">
        <v>493</v>
      </c>
      <c r="C498" s="6"/>
      <c r="D498" s="6"/>
      <c r="E498" s="6"/>
      <c r="F498" s="6"/>
      <c r="G498" s="7"/>
      <c r="H498" s="7"/>
      <c r="I498" s="7"/>
      <c r="J498" s="7"/>
      <c r="K498" s="10"/>
      <c r="L498" s="7"/>
      <c r="M498" s="7"/>
      <c r="N498" s="7"/>
      <c r="O498" s="13"/>
      <c r="P498" s="13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8"/>
      <c r="AI498" s="7"/>
      <c r="AJ498" s="7"/>
      <c r="AK498" s="7"/>
      <c r="AL498" s="10"/>
      <c r="AM498" s="7" t="e">
        <f>VLOOKUP(AL498,Personal!$A$2:$I$300,2,FALSE)</f>
        <v>#N/A</v>
      </c>
      <c r="AN498" s="7" t="e">
        <f>VLOOKUP(AL498,Personal!$A$2:$I$300,3,FALSE)</f>
        <v>#N/A</v>
      </c>
      <c r="AO498" s="7" t="e">
        <f>VLOOKUP(AL498,Personal!$A$2:$I$300,6,FALSE)</f>
        <v>#N/A</v>
      </c>
      <c r="AP498" s="7" t="e">
        <f>VLOOKUP(AL498,Personal!$A$2:$I$300,7,FALSE)</f>
        <v>#N/A</v>
      </c>
      <c r="AQ498" s="7" t="e">
        <f>VLOOKUP(AL498,Personal!$A$2:$I$300,8,FALSE)</f>
        <v>#N/A</v>
      </c>
      <c r="AR498" s="7"/>
    </row>
    <row r="499" spans="2:44" x14ac:dyDescent="0.3">
      <c r="B499" s="6">
        <v>494</v>
      </c>
      <c r="C499" s="6"/>
      <c r="D499" s="6"/>
      <c r="E499" s="6"/>
      <c r="F499" s="6"/>
      <c r="G499" s="7"/>
      <c r="H499" s="7"/>
      <c r="I499" s="7"/>
      <c r="J499" s="7"/>
      <c r="K499" s="10"/>
      <c r="L499" s="7"/>
      <c r="M499" s="7"/>
      <c r="N499" s="7"/>
      <c r="O499" s="13"/>
      <c r="P499" s="13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8"/>
      <c r="AI499" s="7"/>
      <c r="AJ499" s="7"/>
      <c r="AK499" s="7"/>
      <c r="AL499" s="10"/>
      <c r="AM499" s="7" t="e">
        <f>VLOOKUP(AL499,Personal!$A$2:$I$300,2,FALSE)</f>
        <v>#N/A</v>
      </c>
      <c r="AN499" s="7" t="e">
        <f>VLOOKUP(AL499,Personal!$A$2:$I$300,3,FALSE)</f>
        <v>#N/A</v>
      </c>
      <c r="AO499" s="7" t="e">
        <f>VLOOKUP(AL499,Personal!$A$2:$I$300,6,FALSE)</f>
        <v>#N/A</v>
      </c>
      <c r="AP499" s="7" t="e">
        <f>VLOOKUP(AL499,Personal!$A$2:$I$300,7,FALSE)</f>
        <v>#N/A</v>
      </c>
      <c r="AQ499" s="7" t="e">
        <f>VLOOKUP(AL499,Personal!$A$2:$I$300,8,FALSE)</f>
        <v>#N/A</v>
      </c>
      <c r="AR499" s="7"/>
    </row>
    <row r="500" spans="2:44" x14ac:dyDescent="0.3">
      <c r="B500" s="6">
        <v>495</v>
      </c>
      <c r="C500" s="6"/>
      <c r="D500" s="6"/>
      <c r="E500" s="6"/>
      <c r="F500" s="6"/>
      <c r="G500" s="7"/>
      <c r="H500" s="7"/>
      <c r="I500" s="7"/>
      <c r="J500" s="7"/>
      <c r="K500" s="10"/>
      <c r="L500" s="7"/>
      <c r="M500" s="7"/>
      <c r="N500" s="7"/>
      <c r="O500" s="13"/>
      <c r="P500" s="13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8"/>
      <c r="AI500" s="7"/>
      <c r="AJ500" s="7"/>
      <c r="AK500" s="7"/>
      <c r="AL500" s="10"/>
      <c r="AM500" s="7" t="e">
        <f>VLOOKUP(AL500,Personal!$A$2:$I$300,2,FALSE)</f>
        <v>#N/A</v>
      </c>
      <c r="AN500" s="7" t="e">
        <f>VLOOKUP(AL500,Personal!$A$2:$I$300,3,FALSE)</f>
        <v>#N/A</v>
      </c>
      <c r="AO500" s="7" t="e">
        <f>VLOOKUP(AL500,Personal!$A$2:$I$300,6,FALSE)</f>
        <v>#N/A</v>
      </c>
      <c r="AP500" s="7" t="e">
        <f>VLOOKUP(AL500,Personal!$A$2:$I$300,7,FALSE)</f>
        <v>#N/A</v>
      </c>
      <c r="AQ500" s="7" t="e">
        <f>VLOOKUP(AL500,Personal!$A$2:$I$300,8,FALSE)</f>
        <v>#N/A</v>
      </c>
      <c r="AR500" s="7"/>
    </row>
    <row r="501" spans="2:44" x14ac:dyDescent="0.3">
      <c r="B501" s="6">
        <v>496</v>
      </c>
      <c r="C501" s="6"/>
      <c r="D501" s="6"/>
      <c r="E501" s="6"/>
      <c r="F501" s="6"/>
      <c r="G501" s="7"/>
      <c r="H501" s="7"/>
      <c r="I501" s="7"/>
      <c r="J501" s="7"/>
      <c r="K501" s="10"/>
      <c r="L501" s="7"/>
      <c r="M501" s="7"/>
      <c r="N501" s="7"/>
      <c r="O501" s="13"/>
      <c r="P501" s="13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8"/>
      <c r="AI501" s="7"/>
      <c r="AJ501" s="7"/>
      <c r="AK501" s="7"/>
      <c r="AL501" s="10"/>
      <c r="AM501" s="7" t="e">
        <f>VLOOKUP(AL501,Personal!$A$2:$I$300,2,FALSE)</f>
        <v>#N/A</v>
      </c>
      <c r="AN501" s="7" t="e">
        <f>VLOOKUP(AL501,Personal!$A$2:$I$300,3,FALSE)</f>
        <v>#N/A</v>
      </c>
      <c r="AO501" s="7" t="e">
        <f>VLOOKUP(AL501,Personal!$A$2:$I$300,6,FALSE)</f>
        <v>#N/A</v>
      </c>
      <c r="AP501" s="7" t="e">
        <f>VLOOKUP(AL501,Personal!$A$2:$I$300,7,FALSE)</f>
        <v>#N/A</v>
      </c>
      <c r="AQ501" s="7" t="e">
        <f>VLOOKUP(AL501,Personal!$A$2:$I$300,8,FALSE)</f>
        <v>#N/A</v>
      </c>
      <c r="AR501" s="7"/>
    </row>
    <row r="502" spans="2:44" x14ac:dyDescent="0.3">
      <c r="B502" s="6">
        <v>497</v>
      </c>
      <c r="C502" s="6"/>
      <c r="D502" s="6"/>
      <c r="E502" s="6"/>
      <c r="F502" s="6"/>
      <c r="G502" s="7"/>
      <c r="H502" s="7"/>
      <c r="I502" s="7"/>
      <c r="J502" s="7"/>
      <c r="K502" s="10"/>
      <c r="L502" s="7"/>
      <c r="M502" s="7"/>
      <c r="N502" s="7"/>
      <c r="O502" s="13"/>
      <c r="P502" s="13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8"/>
      <c r="AI502" s="7"/>
      <c r="AJ502" s="7"/>
      <c r="AK502" s="7"/>
      <c r="AL502" s="10"/>
      <c r="AM502" s="7" t="e">
        <f>VLOOKUP(AL502,Personal!$A$2:$I$300,2,FALSE)</f>
        <v>#N/A</v>
      </c>
      <c r="AN502" s="7" t="e">
        <f>VLOOKUP(AL502,Personal!$A$2:$I$300,3,FALSE)</f>
        <v>#N/A</v>
      </c>
      <c r="AO502" s="7" t="e">
        <f>VLOOKUP(AL502,Personal!$A$2:$I$300,6,FALSE)</f>
        <v>#N/A</v>
      </c>
      <c r="AP502" s="7" t="e">
        <f>VLOOKUP(AL502,Personal!$A$2:$I$300,7,FALSE)</f>
        <v>#N/A</v>
      </c>
      <c r="AQ502" s="7" t="e">
        <f>VLOOKUP(AL502,Personal!$A$2:$I$300,8,FALSE)</f>
        <v>#N/A</v>
      </c>
      <c r="AR502" s="7"/>
    </row>
    <row r="503" spans="2:44" x14ac:dyDescent="0.3">
      <c r="B503" s="6">
        <v>498</v>
      </c>
      <c r="C503" s="6"/>
      <c r="D503" s="6"/>
      <c r="E503" s="6"/>
      <c r="F503" s="6"/>
      <c r="G503" s="7"/>
      <c r="H503" s="7"/>
      <c r="I503" s="7"/>
      <c r="J503" s="7"/>
      <c r="K503" s="10"/>
      <c r="L503" s="7"/>
      <c r="M503" s="7"/>
      <c r="N503" s="7"/>
      <c r="O503" s="13"/>
      <c r="P503" s="13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8"/>
      <c r="AI503" s="7"/>
      <c r="AJ503" s="7"/>
      <c r="AK503" s="7"/>
      <c r="AL503" s="10"/>
      <c r="AM503" s="7" t="e">
        <f>VLOOKUP(AL503,Personal!$A$2:$I$300,2,FALSE)</f>
        <v>#N/A</v>
      </c>
      <c r="AN503" s="7" t="e">
        <f>VLOOKUP(AL503,Personal!$A$2:$I$300,3,FALSE)</f>
        <v>#N/A</v>
      </c>
      <c r="AO503" s="7" t="e">
        <f>VLOOKUP(AL503,Personal!$A$2:$I$300,6,FALSE)</f>
        <v>#N/A</v>
      </c>
      <c r="AP503" s="7" t="e">
        <f>VLOOKUP(AL503,Personal!$A$2:$I$300,7,FALSE)</f>
        <v>#N/A</v>
      </c>
      <c r="AQ503" s="7" t="e">
        <f>VLOOKUP(AL503,Personal!$A$2:$I$300,8,FALSE)</f>
        <v>#N/A</v>
      </c>
      <c r="AR503" s="7"/>
    </row>
    <row r="504" spans="2:44" x14ac:dyDescent="0.3">
      <c r="B504" s="6">
        <v>499</v>
      </c>
      <c r="C504" s="6"/>
      <c r="D504" s="6"/>
      <c r="E504" s="6"/>
      <c r="F504" s="6"/>
      <c r="G504" s="7"/>
      <c r="H504" s="7"/>
      <c r="I504" s="7"/>
      <c r="J504" s="7"/>
      <c r="K504" s="10"/>
      <c r="L504" s="7"/>
      <c r="M504" s="7"/>
      <c r="N504" s="7"/>
      <c r="O504" s="13"/>
      <c r="P504" s="13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8"/>
      <c r="AI504" s="7"/>
      <c r="AJ504" s="7"/>
      <c r="AK504" s="7"/>
      <c r="AL504" s="10"/>
      <c r="AM504" s="7" t="e">
        <f>VLOOKUP(AL504,Personal!$A$2:$I$300,2,FALSE)</f>
        <v>#N/A</v>
      </c>
      <c r="AN504" s="7" t="e">
        <f>VLOOKUP(AL504,Personal!$A$2:$I$300,3,FALSE)</f>
        <v>#N/A</v>
      </c>
      <c r="AO504" s="7" t="e">
        <f>VLOOKUP(AL504,Personal!$A$2:$I$300,6,FALSE)</f>
        <v>#N/A</v>
      </c>
      <c r="AP504" s="7" t="e">
        <f>VLOOKUP(AL504,Personal!$A$2:$I$300,7,FALSE)</f>
        <v>#N/A</v>
      </c>
      <c r="AQ504" s="7" t="e">
        <f>VLOOKUP(AL504,Personal!$A$2:$I$300,8,FALSE)</f>
        <v>#N/A</v>
      </c>
      <c r="AR504" s="7"/>
    </row>
    <row r="505" spans="2:44" x14ac:dyDescent="0.3">
      <c r="B505" s="6">
        <v>500</v>
      </c>
      <c r="C505" s="6"/>
      <c r="D505" s="6"/>
      <c r="E505" s="6"/>
      <c r="F505" s="6"/>
      <c r="G505" s="7"/>
      <c r="H505" s="7"/>
      <c r="I505" s="7"/>
      <c r="J505" s="7"/>
      <c r="K505" s="10"/>
      <c r="L505" s="7"/>
      <c r="M505" s="7"/>
      <c r="N505" s="7"/>
      <c r="O505" s="13"/>
      <c r="P505" s="13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8"/>
      <c r="AI505" s="7"/>
      <c r="AJ505" s="7"/>
      <c r="AK505" s="7"/>
      <c r="AL505" s="10"/>
      <c r="AM505" s="7" t="e">
        <f>VLOOKUP(AL505,Personal!$A$2:$I$300,2,FALSE)</f>
        <v>#N/A</v>
      </c>
      <c r="AN505" s="7" t="e">
        <f>VLOOKUP(AL505,Personal!$A$2:$I$300,3,FALSE)</f>
        <v>#N/A</v>
      </c>
      <c r="AO505" s="7" t="e">
        <f>VLOOKUP(AL505,Personal!$A$2:$I$300,6,FALSE)</f>
        <v>#N/A</v>
      </c>
      <c r="AP505" s="7" t="e">
        <f>VLOOKUP(AL505,Personal!$A$2:$I$300,7,FALSE)</f>
        <v>#N/A</v>
      </c>
      <c r="AQ505" s="7" t="e">
        <f>VLOOKUP(AL505,Personal!$A$2:$I$300,8,FALSE)</f>
        <v>#N/A</v>
      </c>
      <c r="AR505" s="7"/>
    </row>
    <row r="506" spans="2:44" x14ac:dyDescent="0.3">
      <c r="B506" s="6">
        <v>501</v>
      </c>
      <c r="C506" s="6"/>
      <c r="D506" s="6"/>
      <c r="E506" s="6"/>
      <c r="F506" s="6"/>
      <c r="G506" s="7"/>
      <c r="H506" s="7"/>
      <c r="I506" s="7"/>
      <c r="J506" s="7"/>
      <c r="K506" s="10"/>
      <c r="L506" s="7"/>
      <c r="M506" s="7"/>
      <c r="N506" s="7"/>
      <c r="O506" s="13"/>
      <c r="P506" s="13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8"/>
      <c r="AI506" s="7"/>
      <c r="AJ506" s="7"/>
      <c r="AK506" s="7"/>
      <c r="AL506" s="10"/>
      <c r="AM506" s="7" t="e">
        <f>VLOOKUP(AL506,Personal!$A$2:$I$300,2,FALSE)</f>
        <v>#N/A</v>
      </c>
      <c r="AN506" s="7" t="e">
        <f>VLOOKUP(AL506,Personal!$A$2:$I$300,3,FALSE)</f>
        <v>#N/A</v>
      </c>
      <c r="AO506" s="7" t="e">
        <f>VLOOKUP(AL506,Personal!$A$2:$I$300,6,FALSE)</f>
        <v>#N/A</v>
      </c>
      <c r="AP506" s="7" t="e">
        <f>VLOOKUP(AL506,Personal!$A$2:$I$300,7,FALSE)</f>
        <v>#N/A</v>
      </c>
      <c r="AQ506" s="7" t="e">
        <f>VLOOKUP(AL506,Personal!$A$2:$I$300,8,FALSE)</f>
        <v>#N/A</v>
      </c>
      <c r="AR506" s="7"/>
    </row>
    <row r="507" spans="2:44" x14ac:dyDescent="0.3">
      <c r="B507" s="6">
        <v>502</v>
      </c>
      <c r="C507" s="6"/>
      <c r="D507" s="6"/>
      <c r="E507" s="6"/>
      <c r="F507" s="6"/>
      <c r="G507" s="7"/>
      <c r="H507" s="7"/>
      <c r="I507" s="7"/>
      <c r="J507" s="7"/>
      <c r="K507" s="10"/>
      <c r="L507" s="7"/>
      <c r="M507" s="7"/>
      <c r="N507" s="7"/>
      <c r="O507" s="13"/>
      <c r="P507" s="13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8"/>
      <c r="AI507" s="7"/>
      <c r="AJ507" s="7"/>
      <c r="AK507" s="7"/>
      <c r="AL507" s="10"/>
      <c r="AM507" s="7" t="e">
        <f>VLOOKUP(AL507,Personal!$A$2:$I$300,2,FALSE)</f>
        <v>#N/A</v>
      </c>
      <c r="AN507" s="7" t="e">
        <f>VLOOKUP(AL507,Personal!$A$2:$I$300,3,FALSE)</f>
        <v>#N/A</v>
      </c>
      <c r="AO507" s="7" t="e">
        <f>VLOOKUP(AL507,Personal!$A$2:$I$300,6,FALSE)</f>
        <v>#N/A</v>
      </c>
      <c r="AP507" s="7" t="e">
        <f>VLOOKUP(AL507,Personal!$A$2:$I$300,7,FALSE)</f>
        <v>#N/A</v>
      </c>
      <c r="AQ507" s="7" t="e">
        <f>VLOOKUP(AL507,Personal!$A$2:$I$300,8,FALSE)</f>
        <v>#N/A</v>
      </c>
      <c r="AR507" s="7"/>
    </row>
    <row r="508" spans="2:44" x14ac:dyDescent="0.3">
      <c r="B508" s="6">
        <v>503</v>
      </c>
      <c r="C508" s="6"/>
      <c r="D508" s="6"/>
      <c r="E508" s="6"/>
      <c r="F508" s="6"/>
      <c r="G508" s="7"/>
      <c r="H508" s="7"/>
      <c r="I508" s="7"/>
      <c r="J508" s="7"/>
      <c r="K508" s="10"/>
      <c r="L508" s="7"/>
      <c r="M508" s="7"/>
      <c r="N508" s="7"/>
      <c r="O508" s="13"/>
      <c r="P508" s="13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8"/>
      <c r="AI508" s="7"/>
      <c r="AJ508" s="7"/>
      <c r="AK508" s="7"/>
      <c r="AL508" s="10"/>
      <c r="AM508" s="7" t="e">
        <f>VLOOKUP(AL508,Personal!$A$2:$I$300,2,FALSE)</f>
        <v>#N/A</v>
      </c>
      <c r="AN508" s="7" t="e">
        <f>VLOOKUP(AL508,Personal!$A$2:$I$300,3,FALSE)</f>
        <v>#N/A</v>
      </c>
      <c r="AO508" s="7" t="e">
        <f>VLOOKUP(AL508,Personal!$A$2:$I$300,6,FALSE)</f>
        <v>#N/A</v>
      </c>
      <c r="AP508" s="7" t="e">
        <f>VLOOKUP(AL508,Personal!$A$2:$I$300,7,FALSE)</f>
        <v>#N/A</v>
      </c>
      <c r="AQ508" s="7" t="e">
        <f>VLOOKUP(AL508,Personal!$A$2:$I$300,8,FALSE)</f>
        <v>#N/A</v>
      </c>
      <c r="AR508" s="7"/>
    </row>
    <row r="509" spans="2:44" x14ac:dyDescent="0.3">
      <c r="B509" s="6">
        <v>504</v>
      </c>
      <c r="C509" s="6"/>
      <c r="D509" s="6"/>
      <c r="E509" s="6"/>
      <c r="F509" s="6"/>
      <c r="G509" s="7"/>
      <c r="H509" s="7"/>
      <c r="I509" s="7"/>
      <c r="J509" s="7"/>
      <c r="K509" s="10"/>
      <c r="L509" s="7"/>
      <c r="M509" s="7"/>
      <c r="N509" s="7"/>
      <c r="O509" s="13"/>
      <c r="P509" s="13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8"/>
      <c r="AI509" s="7"/>
      <c r="AJ509" s="7"/>
      <c r="AK509" s="7"/>
      <c r="AL509" s="10"/>
      <c r="AM509" s="7" t="e">
        <f>VLOOKUP(AL509,Personal!$A$2:$I$300,2,FALSE)</f>
        <v>#N/A</v>
      </c>
      <c r="AN509" s="7" t="e">
        <f>VLOOKUP(AL509,Personal!$A$2:$I$300,3,FALSE)</f>
        <v>#N/A</v>
      </c>
      <c r="AO509" s="7" t="e">
        <f>VLOOKUP(AL509,Personal!$A$2:$I$300,6,FALSE)</f>
        <v>#N/A</v>
      </c>
      <c r="AP509" s="7" t="e">
        <f>VLOOKUP(AL509,Personal!$A$2:$I$300,7,FALSE)</f>
        <v>#N/A</v>
      </c>
      <c r="AQ509" s="7" t="e">
        <f>VLOOKUP(AL509,Personal!$A$2:$I$300,8,FALSE)</f>
        <v>#N/A</v>
      </c>
      <c r="AR509" s="7"/>
    </row>
    <row r="510" spans="2:44" x14ac:dyDescent="0.3">
      <c r="B510" s="6">
        <v>505</v>
      </c>
      <c r="C510" s="6"/>
      <c r="D510" s="6"/>
      <c r="E510" s="6"/>
      <c r="F510" s="6"/>
      <c r="G510" s="7"/>
      <c r="H510" s="7"/>
      <c r="I510" s="7"/>
      <c r="J510" s="7"/>
      <c r="K510" s="10"/>
      <c r="L510" s="7"/>
      <c r="M510" s="7"/>
      <c r="N510" s="7"/>
      <c r="O510" s="13"/>
      <c r="P510" s="13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8"/>
      <c r="AI510" s="7"/>
      <c r="AJ510" s="7"/>
      <c r="AK510" s="7"/>
      <c r="AL510" s="10"/>
      <c r="AM510" s="7" t="e">
        <f>VLOOKUP(AL510,Personal!$A$2:$I$300,2,FALSE)</f>
        <v>#N/A</v>
      </c>
      <c r="AN510" s="7" t="e">
        <f>VLOOKUP(AL510,Personal!$A$2:$I$300,3,FALSE)</f>
        <v>#N/A</v>
      </c>
      <c r="AO510" s="7" t="e">
        <f>VLOOKUP(AL510,Personal!$A$2:$I$300,6,FALSE)</f>
        <v>#N/A</v>
      </c>
      <c r="AP510" s="7" t="e">
        <f>VLOOKUP(AL510,Personal!$A$2:$I$300,7,FALSE)</f>
        <v>#N/A</v>
      </c>
      <c r="AQ510" s="7" t="e">
        <f>VLOOKUP(AL510,Personal!$A$2:$I$300,8,FALSE)</f>
        <v>#N/A</v>
      </c>
      <c r="AR510" s="7"/>
    </row>
    <row r="511" spans="2:44" x14ac:dyDescent="0.3">
      <c r="B511" s="6">
        <v>506</v>
      </c>
      <c r="C511" s="6"/>
      <c r="D511" s="6"/>
      <c r="E511" s="6"/>
      <c r="F511" s="6"/>
      <c r="G511" s="7"/>
      <c r="H511" s="7"/>
      <c r="I511" s="7"/>
      <c r="J511" s="7"/>
      <c r="K511" s="10"/>
      <c r="L511" s="7"/>
      <c r="M511" s="7"/>
      <c r="N511" s="7"/>
      <c r="O511" s="13"/>
      <c r="P511" s="13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8"/>
      <c r="AI511" s="7"/>
      <c r="AJ511" s="7"/>
      <c r="AK511" s="7"/>
      <c r="AL511" s="10"/>
      <c r="AM511" s="7" t="e">
        <f>VLOOKUP(AL511,Personal!$A$2:$I$300,2,FALSE)</f>
        <v>#N/A</v>
      </c>
      <c r="AN511" s="7" t="e">
        <f>VLOOKUP(AL511,Personal!$A$2:$I$300,3,FALSE)</f>
        <v>#N/A</v>
      </c>
      <c r="AO511" s="7" t="e">
        <f>VLOOKUP(AL511,Personal!$A$2:$I$300,6,FALSE)</f>
        <v>#N/A</v>
      </c>
      <c r="AP511" s="7" t="e">
        <f>VLOOKUP(AL511,Personal!$A$2:$I$300,7,FALSE)</f>
        <v>#N/A</v>
      </c>
      <c r="AQ511" s="7" t="e">
        <f>VLOOKUP(AL511,Personal!$A$2:$I$300,8,FALSE)</f>
        <v>#N/A</v>
      </c>
      <c r="AR511" s="7"/>
    </row>
    <row r="512" spans="2:44" x14ac:dyDescent="0.3">
      <c r="B512" s="6">
        <v>507</v>
      </c>
      <c r="C512" s="6"/>
      <c r="D512" s="6"/>
      <c r="E512" s="6"/>
      <c r="F512" s="6"/>
      <c r="G512" s="7"/>
      <c r="H512" s="7"/>
      <c r="I512" s="7"/>
      <c r="J512" s="7"/>
      <c r="K512" s="10"/>
      <c r="L512" s="7"/>
      <c r="M512" s="7"/>
      <c r="N512" s="7"/>
      <c r="O512" s="13"/>
      <c r="P512" s="13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8"/>
      <c r="AI512" s="7"/>
      <c r="AJ512" s="7"/>
      <c r="AK512" s="7"/>
      <c r="AL512" s="10"/>
      <c r="AM512" s="7" t="e">
        <f>VLOOKUP(AL512,Personal!$A$2:$I$300,2,FALSE)</f>
        <v>#N/A</v>
      </c>
      <c r="AN512" s="7" t="e">
        <f>VLOOKUP(AL512,Personal!$A$2:$I$300,3,FALSE)</f>
        <v>#N/A</v>
      </c>
      <c r="AO512" s="7" t="e">
        <f>VLOOKUP(AL512,Personal!$A$2:$I$300,6,FALSE)</f>
        <v>#N/A</v>
      </c>
      <c r="AP512" s="7" t="e">
        <f>VLOOKUP(AL512,Personal!$A$2:$I$300,7,FALSE)</f>
        <v>#N/A</v>
      </c>
      <c r="AQ512" s="7" t="e">
        <f>VLOOKUP(AL512,Personal!$A$2:$I$300,8,FALSE)</f>
        <v>#N/A</v>
      </c>
      <c r="AR512" s="7"/>
    </row>
    <row r="513" spans="2:44" x14ac:dyDescent="0.3">
      <c r="B513" s="6">
        <v>508</v>
      </c>
      <c r="C513" s="6"/>
      <c r="D513" s="6"/>
      <c r="E513" s="6"/>
      <c r="F513" s="6"/>
      <c r="G513" s="7"/>
      <c r="H513" s="7"/>
      <c r="I513" s="7"/>
      <c r="J513" s="7"/>
      <c r="K513" s="10"/>
      <c r="L513" s="7"/>
      <c r="M513" s="7"/>
      <c r="N513" s="7"/>
      <c r="O513" s="13"/>
      <c r="P513" s="13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8"/>
      <c r="AI513" s="7"/>
      <c r="AJ513" s="7"/>
      <c r="AK513" s="7"/>
      <c r="AL513" s="10"/>
      <c r="AM513" s="7" t="e">
        <f>VLOOKUP(AL513,Personal!$A$2:$I$300,2,FALSE)</f>
        <v>#N/A</v>
      </c>
      <c r="AN513" s="7" t="e">
        <f>VLOOKUP(AL513,Personal!$A$2:$I$300,3,FALSE)</f>
        <v>#N/A</v>
      </c>
      <c r="AO513" s="7" t="e">
        <f>VLOOKUP(AL513,Personal!$A$2:$I$300,6,FALSE)</f>
        <v>#N/A</v>
      </c>
      <c r="AP513" s="7" t="e">
        <f>VLOOKUP(AL513,Personal!$A$2:$I$300,7,FALSE)</f>
        <v>#N/A</v>
      </c>
      <c r="AQ513" s="7" t="e">
        <f>VLOOKUP(AL513,Personal!$A$2:$I$300,8,FALSE)</f>
        <v>#N/A</v>
      </c>
      <c r="AR513" s="7"/>
    </row>
    <row r="514" spans="2:44" x14ac:dyDescent="0.3">
      <c r="B514" s="6">
        <v>509</v>
      </c>
      <c r="C514" s="6"/>
      <c r="D514" s="6"/>
      <c r="E514" s="6"/>
      <c r="F514" s="6"/>
      <c r="G514" s="7"/>
      <c r="H514" s="7"/>
      <c r="I514" s="7"/>
      <c r="J514" s="7"/>
      <c r="K514" s="10"/>
      <c r="L514" s="7"/>
      <c r="M514" s="7"/>
      <c r="N514" s="7"/>
      <c r="O514" s="13"/>
      <c r="P514" s="13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8"/>
      <c r="AI514" s="7"/>
      <c r="AJ514" s="7"/>
      <c r="AK514" s="7"/>
      <c r="AL514" s="10"/>
      <c r="AM514" s="7" t="e">
        <f>VLOOKUP(AL514,Personal!$A$2:$I$300,2,FALSE)</f>
        <v>#N/A</v>
      </c>
      <c r="AN514" s="7" t="e">
        <f>VLOOKUP(AL514,Personal!$A$2:$I$300,3,FALSE)</f>
        <v>#N/A</v>
      </c>
      <c r="AO514" s="7" t="e">
        <f>VLOOKUP(AL514,Personal!$A$2:$I$300,6,FALSE)</f>
        <v>#N/A</v>
      </c>
      <c r="AP514" s="7" t="e">
        <f>VLOOKUP(AL514,Personal!$A$2:$I$300,7,FALSE)</f>
        <v>#N/A</v>
      </c>
      <c r="AQ514" s="7" t="e">
        <f>VLOOKUP(AL514,Personal!$A$2:$I$300,8,FALSE)</f>
        <v>#N/A</v>
      </c>
      <c r="AR514" s="7"/>
    </row>
    <row r="515" spans="2:44" x14ac:dyDescent="0.3">
      <c r="B515" s="6">
        <v>510</v>
      </c>
      <c r="C515" s="6"/>
      <c r="D515" s="6"/>
      <c r="E515" s="6"/>
      <c r="F515" s="6"/>
      <c r="G515" s="7"/>
      <c r="H515" s="7"/>
      <c r="I515" s="7"/>
      <c r="J515" s="7"/>
      <c r="K515" s="10"/>
      <c r="L515" s="7"/>
      <c r="M515" s="7"/>
      <c r="N515" s="7"/>
      <c r="O515" s="13"/>
      <c r="P515" s="13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8"/>
      <c r="AI515" s="7"/>
      <c r="AJ515" s="7"/>
      <c r="AK515" s="7"/>
      <c r="AL515" s="10"/>
      <c r="AM515" s="7" t="e">
        <f>VLOOKUP(AL515,Personal!$A$2:$I$300,2,FALSE)</f>
        <v>#N/A</v>
      </c>
      <c r="AN515" s="7" t="e">
        <f>VLOOKUP(AL515,Personal!$A$2:$I$300,3,FALSE)</f>
        <v>#N/A</v>
      </c>
      <c r="AO515" s="7" t="e">
        <f>VLOOKUP(AL515,Personal!$A$2:$I$300,6,FALSE)</f>
        <v>#N/A</v>
      </c>
      <c r="AP515" s="7" t="e">
        <f>VLOOKUP(AL515,Personal!$A$2:$I$300,7,FALSE)</f>
        <v>#N/A</v>
      </c>
      <c r="AQ515" s="7" t="e">
        <f>VLOOKUP(AL515,Personal!$A$2:$I$300,8,FALSE)</f>
        <v>#N/A</v>
      </c>
      <c r="AR515" s="7"/>
    </row>
    <row r="516" spans="2:44" x14ac:dyDescent="0.3">
      <c r="B516" s="6">
        <v>511</v>
      </c>
      <c r="C516" s="6"/>
      <c r="D516" s="6"/>
      <c r="E516" s="6"/>
      <c r="F516" s="6"/>
      <c r="G516" s="7"/>
      <c r="H516" s="7"/>
      <c r="I516" s="7"/>
      <c r="J516" s="7"/>
      <c r="K516" s="10"/>
      <c r="L516" s="7"/>
      <c r="M516" s="7"/>
      <c r="N516" s="7"/>
      <c r="O516" s="13"/>
      <c r="P516" s="13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8"/>
      <c r="AI516" s="7"/>
      <c r="AJ516" s="7"/>
      <c r="AK516" s="7"/>
      <c r="AL516" s="10"/>
      <c r="AM516" s="7" t="e">
        <f>VLOOKUP(AL516,Personal!$A$2:$I$300,2,FALSE)</f>
        <v>#N/A</v>
      </c>
      <c r="AN516" s="7" t="e">
        <f>VLOOKUP(AL516,Personal!$A$2:$I$300,3,FALSE)</f>
        <v>#N/A</v>
      </c>
      <c r="AO516" s="7" t="e">
        <f>VLOOKUP(AL516,Personal!$A$2:$I$300,6,FALSE)</f>
        <v>#N/A</v>
      </c>
      <c r="AP516" s="7" t="e">
        <f>VLOOKUP(AL516,Personal!$A$2:$I$300,7,FALSE)</f>
        <v>#N/A</v>
      </c>
      <c r="AQ516" s="7" t="e">
        <f>VLOOKUP(AL516,Personal!$A$2:$I$300,8,FALSE)</f>
        <v>#N/A</v>
      </c>
      <c r="AR516" s="7"/>
    </row>
    <row r="517" spans="2:44" x14ac:dyDescent="0.3">
      <c r="B517" s="6">
        <v>512</v>
      </c>
      <c r="C517" s="6"/>
      <c r="D517" s="6"/>
      <c r="E517" s="6"/>
      <c r="F517" s="6"/>
      <c r="G517" s="7"/>
      <c r="H517" s="7"/>
      <c r="I517" s="7"/>
      <c r="J517" s="7"/>
      <c r="K517" s="10"/>
      <c r="L517" s="7"/>
      <c r="M517" s="7"/>
      <c r="N517" s="7"/>
      <c r="O517" s="13"/>
      <c r="P517" s="13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8"/>
      <c r="AI517" s="7"/>
      <c r="AJ517" s="7"/>
      <c r="AK517" s="7"/>
      <c r="AL517" s="10"/>
      <c r="AM517" s="7" t="e">
        <f>VLOOKUP(AL517,Personal!$A$2:$I$300,2,FALSE)</f>
        <v>#N/A</v>
      </c>
      <c r="AN517" s="7" t="e">
        <f>VLOOKUP(AL517,Personal!$A$2:$I$300,3,FALSE)</f>
        <v>#N/A</v>
      </c>
      <c r="AO517" s="7" t="e">
        <f>VLOOKUP(AL517,Personal!$A$2:$I$300,6,FALSE)</f>
        <v>#N/A</v>
      </c>
      <c r="AP517" s="7" t="e">
        <f>VLOOKUP(AL517,Personal!$A$2:$I$300,7,FALSE)</f>
        <v>#N/A</v>
      </c>
      <c r="AQ517" s="7" t="e">
        <f>VLOOKUP(AL517,Personal!$A$2:$I$300,8,FALSE)</f>
        <v>#N/A</v>
      </c>
      <c r="AR517" s="7"/>
    </row>
    <row r="518" spans="2:44" x14ac:dyDescent="0.3">
      <c r="B518" s="6">
        <v>513</v>
      </c>
      <c r="C518" s="6"/>
      <c r="D518" s="6"/>
      <c r="E518" s="6"/>
      <c r="F518" s="6"/>
      <c r="G518" s="7"/>
      <c r="H518" s="7"/>
      <c r="I518" s="7"/>
      <c r="J518" s="7"/>
      <c r="K518" s="10"/>
      <c r="L518" s="7"/>
      <c r="M518" s="7"/>
      <c r="N518" s="7"/>
      <c r="O518" s="13"/>
      <c r="P518" s="13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8"/>
      <c r="AI518" s="7"/>
      <c r="AJ518" s="7"/>
      <c r="AK518" s="7"/>
      <c r="AL518" s="10"/>
      <c r="AM518" s="7" t="e">
        <f>VLOOKUP(AL518,Personal!$A$2:$I$300,2,FALSE)</f>
        <v>#N/A</v>
      </c>
      <c r="AN518" s="7" t="e">
        <f>VLOOKUP(AL518,Personal!$A$2:$I$300,3,FALSE)</f>
        <v>#N/A</v>
      </c>
      <c r="AO518" s="7" t="e">
        <f>VLOOKUP(AL518,Personal!$A$2:$I$300,6,FALSE)</f>
        <v>#N/A</v>
      </c>
      <c r="AP518" s="7" t="e">
        <f>VLOOKUP(AL518,Personal!$A$2:$I$300,7,FALSE)</f>
        <v>#N/A</v>
      </c>
      <c r="AQ518" s="7" t="e">
        <f>VLOOKUP(AL518,Personal!$A$2:$I$300,8,FALSE)</f>
        <v>#N/A</v>
      </c>
      <c r="AR518" s="7"/>
    </row>
    <row r="519" spans="2:44" x14ac:dyDescent="0.3">
      <c r="B519" s="6">
        <v>514</v>
      </c>
      <c r="C519" s="6"/>
      <c r="D519" s="6"/>
      <c r="E519" s="6"/>
      <c r="F519" s="6"/>
      <c r="G519" s="7"/>
      <c r="H519" s="7"/>
      <c r="I519" s="7"/>
      <c r="J519" s="7"/>
      <c r="K519" s="10"/>
      <c r="L519" s="7"/>
      <c r="M519" s="7"/>
      <c r="N519" s="7"/>
      <c r="O519" s="13"/>
      <c r="P519" s="13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8"/>
      <c r="AI519" s="7"/>
      <c r="AJ519" s="7"/>
      <c r="AK519" s="7"/>
      <c r="AL519" s="10"/>
      <c r="AM519" s="7" t="e">
        <f>VLOOKUP(AL519,Personal!$A$2:$I$300,2,FALSE)</f>
        <v>#N/A</v>
      </c>
      <c r="AN519" s="7" t="e">
        <f>VLOOKUP(AL519,Personal!$A$2:$I$300,3,FALSE)</f>
        <v>#N/A</v>
      </c>
      <c r="AO519" s="7" t="e">
        <f>VLOOKUP(AL519,Personal!$A$2:$I$300,6,FALSE)</f>
        <v>#N/A</v>
      </c>
      <c r="AP519" s="7" t="e">
        <f>VLOOKUP(AL519,Personal!$A$2:$I$300,7,FALSE)</f>
        <v>#N/A</v>
      </c>
      <c r="AQ519" s="7" t="e">
        <f>VLOOKUP(AL519,Personal!$A$2:$I$300,8,FALSE)</f>
        <v>#N/A</v>
      </c>
      <c r="AR519" s="7"/>
    </row>
    <row r="520" spans="2:44" x14ac:dyDescent="0.3">
      <c r="B520" s="6">
        <v>515</v>
      </c>
      <c r="C520" s="6"/>
      <c r="D520" s="6"/>
      <c r="E520" s="6"/>
      <c r="F520" s="6"/>
      <c r="G520" s="7"/>
      <c r="H520" s="7"/>
      <c r="I520" s="7"/>
      <c r="J520" s="7"/>
      <c r="K520" s="10"/>
      <c r="L520" s="7"/>
      <c r="M520" s="7"/>
      <c r="N520" s="7"/>
      <c r="O520" s="13"/>
      <c r="P520" s="13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8"/>
      <c r="AI520" s="7"/>
      <c r="AJ520" s="7"/>
      <c r="AK520" s="7"/>
      <c r="AL520" s="10"/>
      <c r="AM520" s="7" t="e">
        <f>VLOOKUP(AL520,Personal!$A$2:$I$300,2,FALSE)</f>
        <v>#N/A</v>
      </c>
      <c r="AN520" s="7" t="e">
        <f>VLOOKUP(AL520,Personal!$A$2:$I$300,3,FALSE)</f>
        <v>#N/A</v>
      </c>
      <c r="AO520" s="7" t="e">
        <f>VLOOKUP(AL520,Personal!$A$2:$I$300,6,FALSE)</f>
        <v>#N/A</v>
      </c>
      <c r="AP520" s="7" t="e">
        <f>VLOOKUP(AL520,Personal!$A$2:$I$300,7,FALSE)</f>
        <v>#N/A</v>
      </c>
      <c r="AQ520" s="7" t="e">
        <f>VLOOKUP(AL520,Personal!$A$2:$I$300,8,FALSE)</f>
        <v>#N/A</v>
      </c>
      <c r="AR520" s="7"/>
    </row>
    <row r="521" spans="2:44" x14ac:dyDescent="0.3">
      <c r="B521" s="6">
        <v>516</v>
      </c>
      <c r="C521" s="6"/>
      <c r="D521" s="6"/>
      <c r="E521" s="6"/>
      <c r="F521" s="6"/>
      <c r="G521" s="7"/>
      <c r="H521" s="7"/>
      <c r="I521" s="7"/>
      <c r="J521" s="7"/>
      <c r="K521" s="10"/>
      <c r="L521" s="7"/>
      <c r="M521" s="7"/>
      <c r="N521" s="7"/>
      <c r="O521" s="13"/>
      <c r="P521" s="13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8"/>
      <c r="AI521" s="7"/>
      <c r="AJ521" s="7"/>
      <c r="AK521" s="7"/>
      <c r="AL521" s="10"/>
      <c r="AM521" s="7" t="e">
        <f>VLOOKUP(AL521,Personal!$A$2:$I$300,2,FALSE)</f>
        <v>#N/A</v>
      </c>
      <c r="AN521" s="7" t="e">
        <f>VLOOKUP(AL521,Personal!$A$2:$I$300,3,FALSE)</f>
        <v>#N/A</v>
      </c>
      <c r="AO521" s="7" t="e">
        <f>VLOOKUP(AL521,Personal!$A$2:$I$300,6,FALSE)</f>
        <v>#N/A</v>
      </c>
      <c r="AP521" s="7" t="e">
        <f>VLOOKUP(AL521,Personal!$A$2:$I$300,7,FALSE)</f>
        <v>#N/A</v>
      </c>
      <c r="AQ521" s="7" t="e">
        <f>VLOOKUP(AL521,Personal!$A$2:$I$300,8,FALSE)</f>
        <v>#N/A</v>
      </c>
      <c r="AR521" s="7"/>
    </row>
    <row r="522" spans="2:44" x14ac:dyDescent="0.3">
      <c r="B522" s="6">
        <v>517</v>
      </c>
      <c r="C522" s="6"/>
      <c r="D522" s="6"/>
      <c r="E522" s="6"/>
      <c r="F522" s="6"/>
      <c r="G522" s="7"/>
      <c r="H522" s="7"/>
      <c r="I522" s="7"/>
      <c r="J522" s="7"/>
      <c r="K522" s="10"/>
      <c r="L522" s="7"/>
      <c r="M522" s="7"/>
      <c r="N522" s="7"/>
      <c r="O522" s="13"/>
      <c r="P522" s="13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8"/>
      <c r="AI522" s="7"/>
      <c r="AJ522" s="7"/>
      <c r="AK522" s="7"/>
      <c r="AL522" s="10"/>
      <c r="AM522" s="7" t="e">
        <f>VLOOKUP(AL522,Personal!$A$2:$I$300,2,FALSE)</f>
        <v>#N/A</v>
      </c>
      <c r="AN522" s="7" t="e">
        <f>VLOOKUP(AL522,Personal!$A$2:$I$300,3,FALSE)</f>
        <v>#N/A</v>
      </c>
      <c r="AO522" s="7" t="e">
        <f>VLOOKUP(AL522,Personal!$A$2:$I$300,6,FALSE)</f>
        <v>#N/A</v>
      </c>
      <c r="AP522" s="7" t="e">
        <f>VLOOKUP(AL522,Personal!$A$2:$I$300,7,FALSE)</f>
        <v>#N/A</v>
      </c>
      <c r="AQ522" s="7" t="e">
        <f>VLOOKUP(AL522,Personal!$A$2:$I$300,8,FALSE)</f>
        <v>#N/A</v>
      </c>
      <c r="AR522" s="7"/>
    </row>
    <row r="523" spans="2:44" x14ac:dyDescent="0.3">
      <c r="B523" s="6">
        <v>518</v>
      </c>
      <c r="C523" s="6"/>
      <c r="D523" s="6"/>
      <c r="E523" s="6"/>
      <c r="F523" s="6"/>
      <c r="G523" s="7"/>
      <c r="H523" s="7"/>
      <c r="I523" s="7"/>
      <c r="J523" s="7"/>
      <c r="K523" s="10"/>
      <c r="L523" s="7"/>
      <c r="M523" s="7"/>
      <c r="N523" s="7"/>
      <c r="O523" s="13"/>
      <c r="P523" s="13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8"/>
      <c r="AI523" s="7"/>
      <c r="AJ523" s="7"/>
      <c r="AK523" s="7"/>
      <c r="AL523" s="10"/>
      <c r="AM523" s="7" t="e">
        <f>VLOOKUP(AL523,Personal!$A$2:$I$300,2,FALSE)</f>
        <v>#N/A</v>
      </c>
      <c r="AN523" s="7" t="e">
        <f>VLOOKUP(AL523,Personal!$A$2:$I$300,3,FALSE)</f>
        <v>#N/A</v>
      </c>
      <c r="AO523" s="7" t="e">
        <f>VLOOKUP(AL523,Personal!$A$2:$I$300,6,FALSE)</f>
        <v>#N/A</v>
      </c>
      <c r="AP523" s="7" t="e">
        <f>VLOOKUP(AL523,Personal!$A$2:$I$300,7,FALSE)</f>
        <v>#N/A</v>
      </c>
      <c r="AQ523" s="7" t="e">
        <f>VLOOKUP(AL523,Personal!$A$2:$I$300,8,FALSE)</f>
        <v>#N/A</v>
      </c>
      <c r="AR523" s="7"/>
    </row>
    <row r="524" spans="2:44" x14ac:dyDescent="0.3">
      <c r="B524" s="6">
        <v>519</v>
      </c>
      <c r="C524" s="6"/>
      <c r="D524" s="6"/>
      <c r="E524" s="6"/>
      <c r="F524" s="6"/>
      <c r="G524" s="7"/>
      <c r="H524" s="7"/>
      <c r="I524" s="7"/>
      <c r="J524" s="7"/>
      <c r="K524" s="10"/>
      <c r="L524" s="7"/>
      <c r="M524" s="7"/>
      <c r="N524" s="7"/>
      <c r="O524" s="13"/>
      <c r="P524" s="13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8"/>
      <c r="AI524" s="7"/>
      <c r="AJ524" s="7"/>
      <c r="AK524" s="7"/>
      <c r="AL524" s="10"/>
      <c r="AM524" s="7" t="e">
        <f>VLOOKUP(AL524,Personal!$A$2:$I$300,2,FALSE)</f>
        <v>#N/A</v>
      </c>
      <c r="AN524" s="7" t="e">
        <f>VLOOKUP(AL524,Personal!$A$2:$I$300,3,FALSE)</f>
        <v>#N/A</v>
      </c>
      <c r="AO524" s="7" t="e">
        <f>VLOOKUP(AL524,Personal!$A$2:$I$300,6,FALSE)</f>
        <v>#N/A</v>
      </c>
      <c r="AP524" s="7" t="e">
        <f>VLOOKUP(AL524,Personal!$A$2:$I$300,7,FALSE)</f>
        <v>#N/A</v>
      </c>
      <c r="AQ524" s="7" t="e">
        <f>VLOOKUP(AL524,Personal!$A$2:$I$300,8,FALSE)</f>
        <v>#N/A</v>
      </c>
      <c r="AR524" s="7"/>
    </row>
    <row r="525" spans="2:44" x14ac:dyDescent="0.3">
      <c r="B525" s="6">
        <v>520</v>
      </c>
      <c r="C525" s="6"/>
      <c r="D525" s="6"/>
      <c r="E525" s="6"/>
      <c r="F525" s="6"/>
      <c r="G525" s="7"/>
      <c r="H525" s="7"/>
      <c r="I525" s="7"/>
      <c r="J525" s="7"/>
      <c r="K525" s="10"/>
      <c r="L525" s="7"/>
      <c r="M525" s="7"/>
      <c r="N525" s="7"/>
      <c r="O525" s="13"/>
      <c r="P525" s="13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8"/>
      <c r="AI525" s="7"/>
      <c r="AJ525" s="7"/>
      <c r="AK525" s="7"/>
      <c r="AL525" s="10"/>
      <c r="AM525" s="7" t="e">
        <f>VLOOKUP(AL525,Personal!$A$2:$I$300,2,FALSE)</f>
        <v>#N/A</v>
      </c>
      <c r="AN525" s="7" t="e">
        <f>VLOOKUP(AL525,Personal!$A$2:$I$300,3,FALSE)</f>
        <v>#N/A</v>
      </c>
      <c r="AO525" s="7" t="e">
        <f>VLOOKUP(AL525,Personal!$A$2:$I$300,6,FALSE)</f>
        <v>#N/A</v>
      </c>
      <c r="AP525" s="7" t="e">
        <f>VLOOKUP(AL525,Personal!$A$2:$I$300,7,FALSE)</f>
        <v>#N/A</v>
      </c>
      <c r="AQ525" s="7" t="e">
        <f>VLOOKUP(AL525,Personal!$A$2:$I$300,8,FALSE)</f>
        <v>#N/A</v>
      </c>
      <c r="AR525" s="7"/>
    </row>
    <row r="526" spans="2:44" x14ac:dyDescent="0.3">
      <c r="B526" s="6">
        <v>521</v>
      </c>
      <c r="C526" s="6"/>
      <c r="D526" s="6"/>
      <c r="E526" s="6"/>
      <c r="F526" s="6"/>
      <c r="G526" s="7"/>
      <c r="H526" s="7"/>
      <c r="I526" s="7"/>
      <c r="J526" s="7"/>
      <c r="K526" s="10"/>
      <c r="L526" s="7"/>
      <c r="M526" s="7"/>
      <c r="N526" s="7"/>
      <c r="O526" s="13"/>
      <c r="P526" s="13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8"/>
      <c r="AI526" s="7"/>
      <c r="AJ526" s="7"/>
      <c r="AK526" s="7"/>
      <c r="AL526" s="10"/>
      <c r="AM526" s="7" t="e">
        <f>VLOOKUP(AL526,Personal!$A$2:$I$300,2,FALSE)</f>
        <v>#N/A</v>
      </c>
      <c r="AN526" s="7" t="e">
        <f>VLOOKUP(AL526,Personal!$A$2:$I$300,3,FALSE)</f>
        <v>#N/A</v>
      </c>
      <c r="AO526" s="7" t="e">
        <f>VLOOKUP(AL526,Personal!$A$2:$I$300,6,FALSE)</f>
        <v>#N/A</v>
      </c>
      <c r="AP526" s="7" t="e">
        <f>VLOOKUP(AL526,Personal!$A$2:$I$300,7,FALSE)</f>
        <v>#N/A</v>
      </c>
      <c r="AQ526" s="7" t="e">
        <f>VLOOKUP(AL526,Personal!$A$2:$I$300,8,FALSE)</f>
        <v>#N/A</v>
      </c>
      <c r="AR526" s="7"/>
    </row>
    <row r="527" spans="2:44" x14ac:dyDescent="0.3">
      <c r="B527" s="6">
        <v>522</v>
      </c>
      <c r="C527" s="6"/>
      <c r="D527" s="6"/>
      <c r="E527" s="6"/>
      <c r="F527" s="6"/>
      <c r="G527" s="7"/>
      <c r="H527" s="7"/>
      <c r="I527" s="7"/>
      <c r="J527" s="7"/>
      <c r="K527" s="10"/>
      <c r="L527" s="7"/>
      <c r="M527" s="7"/>
      <c r="N527" s="7"/>
      <c r="O527" s="13"/>
      <c r="P527" s="13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8"/>
      <c r="AI527" s="7"/>
      <c r="AJ527" s="7"/>
      <c r="AK527" s="7"/>
      <c r="AL527" s="10"/>
      <c r="AM527" s="7" t="e">
        <f>VLOOKUP(AL527,Personal!$A$2:$I$300,2,FALSE)</f>
        <v>#N/A</v>
      </c>
      <c r="AN527" s="7" t="e">
        <f>VLOOKUP(AL527,Personal!$A$2:$I$300,3,FALSE)</f>
        <v>#N/A</v>
      </c>
      <c r="AO527" s="7" t="e">
        <f>VLOOKUP(AL527,Personal!$A$2:$I$300,6,FALSE)</f>
        <v>#N/A</v>
      </c>
      <c r="AP527" s="7" t="e">
        <f>VLOOKUP(AL527,Personal!$A$2:$I$300,7,FALSE)</f>
        <v>#N/A</v>
      </c>
      <c r="AQ527" s="7" t="e">
        <f>VLOOKUP(AL527,Personal!$A$2:$I$300,8,FALSE)</f>
        <v>#N/A</v>
      </c>
      <c r="AR527" s="7"/>
    </row>
    <row r="528" spans="2:44" x14ac:dyDescent="0.3">
      <c r="B528" s="6">
        <v>523</v>
      </c>
      <c r="C528" s="6"/>
      <c r="D528" s="6"/>
      <c r="E528" s="6"/>
      <c r="F528" s="6"/>
      <c r="G528" s="7"/>
      <c r="H528" s="7"/>
      <c r="I528" s="7"/>
      <c r="J528" s="7"/>
      <c r="K528" s="10"/>
      <c r="L528" s="7"/>
      <c r="M528" s="7"/>
      <c r="N528" s="7"/>
      <c r="O528" s="13"/>
      <c r="P528" s="13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8"/>
      <c r="AI528" s="7"/>
      <c r="AJ528" s="7"/>
      <c r="AK528" s="7"/>
      <c r="AL528" s="10"/>
      <c r="AM528" s="7" t="e">
        <f>VLOOKUP(AL528,Personal!$A$2:$I$300,2,FALSE)</f>
        <v>#N/A</v>
      </c>
      <c r="AN528" s="7" t="e">
        <f>VLOOKUP(AL528,Personal!$A$2:$I$300,3,FALSE)</f>
        <v>#N/A</v>
      </c>
      <c r="AO528" s="7" t="e">
        <f>VLOOKUP(AL528,Personal!$A$2:$I$300,6,FALSE)</f>
        <v>#N/A</v>
      </c>
      <c r="AP528" s="7" t="e">
        <f>VLOOKUP(AL528,Personal!$A$2:$I$300,7,FALSE)</f>
        <v>#N/A</v>
      </c>
      <c r="AQ528" s="7" t="e">
        <f>VLOOKUP(AL528,Personal!$A$2:$I$300,8,FALSE)</f>
        <v>#N/A</v>
      </c>
      <c r="AR528" s="7"/>
    </row>
    <row r="529" spans="2:44" x14ac:dyDescent="0.3">
      <c r="B529" s="6">
        <v>524</v>
      </c>
      <c r="C529" s="6"/>
      <c r="D529" s="6"/>
      <c r="E529" s="6"/>
      <c r="F529" s="6"/>
      <c r="G529" s="7"/>
      <c r="H529" s="7"/>
      <c r="I529" s="7"/>
      <c r="J529" s="7"/>
      <c r="K529" s="10"/>
      <c r="L529" s="7"/>
      <c r="M529" s="7"/>
      <c r="N529" s="7"/>
      <c r="O529" s="13"/>
      <c r="P529" s="13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8"/>
      <c r="AI529" s="7"/>
      <c r="AJ529" s="7"/>
      <c r="AK529" s="7"/>
      <c r="AL529" s="10"/>
      <c r="AM529" s="7" t="e">
        <f>VLOOKUP(AL529,Personal!$A$2:$I$300,2,FALSE)</f>
        <v>#N/A</v>
      </c>
      <c r="AN529" s="7" t="e">
        <f>VLOOKUP(AL529,Personal!$A$2:$I$300,3,FALSE)</f>
        <v>#N/A</v>
      </c>
      <c r="AO529" s="7" t="e">
        <f>VLOOKUP(AL529,Personal!$A$2:$I$300,6,FALSE)</f>
        <v>#N/A</v>
      </c>
      <c r="AP529" s="7" t="e">
        <f>VLOOKUP(AL529,Personal!$A$2:$I$300,7,FALSE)</f>
        <v>#N/A</v>
      </c>
      <c r="AQ529" s="7" t="e">
        <f>VLOOKUP(AL529,Personal!$A$2:$I$300,8,FALSE)</f>
        <v>#N/A</v>
      </c>
      <c r="AR529" s="7"/>
    </row>
    <row r="530" spans="2:44" x14ac:dyDescent="0.3">
      <c r="B530" s="6">
        <v>525</v>
      </c>
      <c r="C530" s="6"/>
      <c r="D530" s="6"/>
      <c r="E530" s="6"/>
      <c r="F530" s="6"/>
      <c r="G530" s="7"/>
      <c r="H530" s="7"/>
      <c r="I530" s="7"/>
      <c r="J530" s="7"/>
      <c r="K530" s="10"/>
      <c r="L530" s="7"/>
      <c r="M530" s="7"/>
      <c r="N530" s="7"/>
      <c r="O530" s="13"/>
      <c r="P530" s="13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8"/>
      <c r="AI530" s="7"/>
      <c r="AJ530" s="7"/>
      <c r="AK530" s="7"/>
      <c r="AL530" s="10"/>
      <c r="AM530" s="7" t="e">
        <f>VLOOKUP(AL530,Personal!$A$2:$I$300,2,FALSE)</f>
        <v>#N/A</v>
      </c>
      <c r="AN530" s="7" t="e">
        <f>VLOOKUP(AL530,Personal!$A$2:$I$300,3,FALSE)</f>
        <v>#N/A</v>
      </c>
      <c r="AO530" s="7" t="e">
        <f>VLOOKUP(AL530,Personal!$A$2:$I$300,6,FALSE)</f>
        <v>#N/A</v>
      </c>
      <c r="AP530" s="7" t="e">
        <f>VLOOKUP(AL530,Personal!$A$2:$I$300,7,FALSE)</f>
        <v>#N/A</v>
      </c>
      <c r="AQ530" s="7" t="e">
        <f>VLOOKUP(AL530,Personal!$A$2:$I$300,8,FALSE)</f>
        <v>#N/A</v>
      </c>
      <c r="AR530" s="7"/>
    </row>
    <row r="531" spans="2:44" x14ac:dyDescent="0.3">
      <c r="B531" s="6">
        <v>526</v>
      </c>
      <c r="C531" s="6"/>
      <c r="D531" s="6"/>
      <c r="E531" s="6"/>
      <c r="F531" s="6"/>
      <c r="G531" s="7"/>
      <c r="H531" s="7"/>
      <c r="I531" s="7"/>
      <c r="J531" s="7"/>
      <c r="K531" s="10"/>
      <c r="L531" s="7"/>
      <c r="M531" s="7"/>
      <c r="N531" s="7"/>
      <c r="O531" s="13"/>
      <c r="P531" s="13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8"/>
      <c r="AI531" s="7"/>
      <c r="AJ531" s="7"/>
      <c r="AK531" s="7"/>
      <c r="AL531" s="10"/>
      <c r="AM531" s="7" t="e">
        <f>VLOOKUP(AL531,Personal!$A$2:$I$300,2,FALSE)</f>
        <v>#N/A</v>
      </c>
      <c r="AN531" s="7" t="e">
        <f>VLOOKUP(AL531,Personal!$A$2:$I$300,3,FALSE)</f>
        <v>#N/A</v>
      </c>
      <c r="AO531" s="7" t="e">
        <f>VLOOKUP(AL531,Personal!$A$2:$I$300,6,FALSE)</f>
        <v>#N/A</v>
      </c>
      <c r="AP531" s="7" t="e">
        <f>VLOOKUP(AL531,Personal!$A$2:$I$300,7,FALSE)</f>
        <v>#N/A</v>
      </c>
      <c r="AQ531" s="7" t="e">
        <f>VLOOKUP(AL531,Personal!$A$2:$I$300,8,FALSE)</f>
        <v>#N/A</v>
      </c>
      <c r="AR531" s="7"/>
    </row>
    <row r="532" spans="2:44" x14ac:dyDescent="0.3">
      <c r="B532" s="6">
        <v>527</v>
      </c>
      <c r="C532" s="6"/>
      <c r="D532" s="6"/>
      <c r="E532" s="6"/>
      <c r="F532" s="6"/>
      <c r="G532" s="7"/>
      <c r="H532" s="7"/>
      <c r="I532" s="7"/>
      <c r="J532" s="7"/>
      <c r="K532" s="10"/>
      <c r="L532" s="7"/>
      <c r="M532" s="7"/>
      <c r="N532" s="7"/>
      <c r="O532" s="13"/>
      <c r="P532" s="13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8"/>
      <c r="AI532" s="7"/>
      <c r="AJ532" s="7"/>
      <c r="AK532" s="7"/>
      <c r="AL532" s="10"/>
      <c r="AM532" s="7" t="e">
        <f>VLOOKUP(AL532,Personal!$A$2:$I$300,2,FALSE)</f>
        <v>#N/A</v>
      </c>
      <c r="AN532" s="7" t="e">
        <f>VLOOKUP(AL532,Personal!$A$2:$I$300,3,FALSE)</f>
        <v>#N/A</v>
      </c>
      <c r="AO532" s="7" t="e">
        <f>VLOOKUP(AL532,Personal!$A$2:$I$300,6,FALSE)</f>
        <v>#N/A</v>
      </c>
      <c r="AP532" s="7" t="e">
        <f>VLOOKUP(AL532,Personal!$A$2:$I$300,7,FALSE)</f>
        <v>#N/A</v>
      </c>
      <c r="AQ532" s="7" t="e">
        <f>VLOOKUP(AL532,Personal!$A$2:$I$300,8,FALSE)</f>
        <v>#N/A</v>
      </c>
      <c r="AR532" s="7"/>
    </row>
    <row r="533" spans="2:44" x14ac:dyDescent="0.3">
      <c r="B533" s="6">
        <v>528</v>
      </c>
      <c r="C533" s="6"/>
      <c r="D533" s="6"/>
      <c r="E533" s="6"/>
      <c r="F533" s="6"/>
      <c r="G533" s="7"/>
      <c r="H533" s="7"/>
      <c r="I533" s="7"/>
      <c r="J533" s="7"/>
      <c r="K533" s="10"/>
      <c r="L533" s="7"/>
      <c r="M533" s="7"/>
      <c r="N533" s="7"/>
      <c r="O533" s="13"/>
      <c r="P533" s="13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8"/>
      <c r="AI533" s="7"/>
      <c r="AJ533" s="7"/>
      <c r="AK533" s="7"/>
      <c r="AL533" s="10"/>
      <c r="AM533" s="7" t="e">
        <f>VLOOKUP(AL533,Personal!$A$2:$I$300,2,FALSE)</f>
        <v>#N/A</v>
      </c>
      <c r="AN533" s="7" t="e">
        <f>VLOOKUP(AL533,Personal!$A$2:$I$300,3,FALSE)</f>
        <v>#N/A</v>
      </c>
      <c r="AO533" s="7" t="e">
        <f>VLOOKUP(AL533,Personal!$A$2:$I$300,6,FALSE)</f>
        <v>#N/A</v>
      </c>
      <c r="AP533" s="7" t="e">
        <f>VLOOKUP(AL533,Personal!$A$2:$I$300,7,FALSE)</f>
        <v>#N/A</v>
      </c>
      <c r="AQ533" s="7" t="e">
        <f>VLOOKUP(AL533,Personal!$A$2:$I$300,8,FALSE)</f>
        <v>#N/A</v>
      </c>
      <c r="AR533" s="7"/>
    </row>
    <row r="534" spans="2:44" x14ac:dyDescent="0.3">
      <c r="B534" s="6">
        <v>529</v>
      </c>
      <c r="C534" s="6"/>
      <c r="D534" s="6"/>
      <c r="E534" s="6"/>
      <c r="F534" s="6"/>
      <c r="G534" s="7"/>
      <c r="H534" s="7"/>
      <c r="I534" s="7"/>
      <c r="J534" s="7"/>
      <c r="K534" s="10"/>
      <c r="L534" s="7"/>
      <c r="M534" s="7"/>
      <c r="N534" s="7"/>
      <c r="O534" s="13"/>
      <c r="P534" s="13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8"/>
      <c r="AI534" s="7"/>
      <c r="AJ534" s="7"/>
      <c r="AK534" s="7"/>
      <c r="AL534" s="10"/>
      <c r="AM534" s="7" t="e">
        <f>VLOOKUP(AL534,Personal!$A$2:$I$300,2,FALSE)</f>
        <v>#N/A</v>
      </c>
      <c r="AN534" s="7" t="e">
        <f>VLOOKUP(AL534,Personal!$A$2:$I$300,3,FALSE)</f>
        <v>#N/A</v>
      </c>
      <c r="AO534" s="7" t="e">
        <f>VLOOKUP(AL534,Personal!$A$2:$I$300,6,FALSE)</f>
        <v>#N/A</v>
      </c>
      <c r="AP534" s="7" t="e">
        <f>VLOOKUP(AL534,Personal!$A$2:$I$300,7,FALSE)</f>
        <v>#N/A</v>
      </c>
      <c r="AQ534" s="7" t="e">
        <f>VLOOKUP(AL534,Personal!$A$2:$I$300,8,FALSE)</f>
        <v>#N/A</v>
      </c>
      <c r="AR534" s="7"/>
    </row>
    <row r="535" spans="2:44" x14ac:dyDescent="0.3">
      <c r="B535" s="6">
        <v>530</v>
      </c>
      <c r="C535" s="6"/>
      <c r="D535" s="6"/>
      <c r="E535" s="6"/>
      <c r="F535" s="6"/>
      <c r="G535" s="7"/>
      <c r="H535" s="7"/>
      <c r="I535" s="7"/>
      <c r="J535" s="7"/>
      <c r="K535" s="10"/>
      <c r="L535" s="7"/>
      <c r="M535" s="7"/>
      <c r="N535" s="7"/>
      <c r="O535" s="13"/>
      <c r="P535" s="13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8"/>
      <c r="AI535" s="7"/>
      <c r="AJ535" s="7"/>
      <c r="AK535" s="7"/>
      <c r="AL535" s="10"/>
      <c r="AM535" s="7" t="e">
        <f>VLOOKUP(AL535,Personal!$A$2:$I$300,2,FALSE)</f>
        <v>#N/A</v>
      </c>
      <c r="AN535" s="7" t="e">
        <f>VLOOKUP(AL535,Personal!$A$2:$I$300,3,FALSE)</f>
        <v>#N/A</v>
      </c>
      <c r="AO535" s="7" t="e">
        <f>VLOOKUP(AL535,Personal!$A$2:$I$300,6,FALSE)</f>
        <v>#N/A</v>
      </c>
      <c r="AP535" s="7" t="e">
        <f>VLOOKUP(AL535,Personal!$A$2:$I$300,7,FALSE)</f>
        <v>#N/A</v>
      </c>
      <c r="AQ535" s="7" t="e">
        <f>VLOOKUP(AL535,Personal!$A$2:$I$300,8,FALSE)</f>
        <v>#N/A</v>
      </c>
      <c r="AR535" s="7"/>
    </row>
    <row r="536" spans="2:44" x14ac:dyDescent="0.3">
      <c r="B536" s="6">
        <v>531</v>
      </c>
      <c r="C536" s="6"/>
      <c r="D536" s="6"/>
      <c r="E536" s="6"/>
      <c r="F536" s="6"/>
      <c r="G536" s="7"/>
      <c r="H536" s="7"/>
      <c r="I536" s="7"/>
      <c r="J536" s="7"/>
      <c r="K536" s="10"/>
      <c r="L536" s="7"/>
      <c r="M536" s="7"/>
      <c r="N536" s="7"/>
      <c r="O536" s="13"/>
      <c r="P536" s="13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8"/>
      <c r="AI536" s="7"/>
      <c r="AJ536" s="7"/>
      <c r="AK536" s="7"/>
      <c r="AL536" s="10"/>
      <c r="AM536" s="7" t="e">
        <f>VLOOKUP(AL536,Personal!$A$2:$I$300,2,FALSE)</f>
        <v>#N/A</v>
      </c>
      <c r="AN536" s="7" t="e">
        <f>VLOOKUP(AL536,Personal!$A$2:$I$300,3,FALSE)</f>
        <v>#N/A</v>
      </c>
      <c r="AO536" s="7" t="e">
        <f>VLOOKUP(AL536,Personal!$A$2:$I$300,6,FALSE)</f>
        <v>#N/A</v>
      </c>
      <c r="AP536" s="7" t="e">
        <f>VLOOKUP(AL536,Personal!$A$2:$I$300,7,FALSE)</f>
        <v>#N/A</v>
      </c>
      <c r="AQ536" s="7" t="e">
        <f>VLOOKUP(AL536,Personal!$A$2:$I$300,8,FALSE)</f>
        <v>#N/A</v>
      </c>
      <c r="AR536" s="7"/>
    </row>
    <row r="537" spans="2:44" x14ac:dyDescent="0.3">
      <c r="B537" s="6">
        <v>532</v>
      </c>
      <c r="C537" s="6"/>
      <c r="D537" s="6"/>
      <c r="E537" s="6"/>
      <c r="F537" s="6"/>
      <c r="G537" s="7"/>
      <c r="H537" s="7"/>
      <c r="I537" s="7"/>
      <c r="J537" s="7"/>
      <c r="K537" s="10"/>
      <c r="L537" s="7"/>
      <c r="M537" s="7"/>
      <c r="N537" s="7"/>
      <c r="O537" s="13"/>
      <c r="P537" s="13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8"/>
      <c r="AI537" s="7"/>
      <c r="AJ537" s="7"/>
      <c r="AK537" s="7"/>
      <c r="AL537" s="10"/>
      <c r="AM537" s="7" t="e">
        <f>VLOOKUP(AL537,Personal!$A$2:$I$300,2,FALSE)</f>
        <v>#N/A</v>
      </c>
      <c r="AN537" s="7" t="e">
        <f>VLOOKUP(AL537,Personal!$A$2:$I$300,3,FALSE)</f>
        <v>#N/A</v>
      </c>
      <c r="AO537" s="7" t="e">
        <f>VLOOKUP(AL537,Personal!$A$2:$I$300,6,FALSE)</f>
        <v>#N/A</v>
      </c>
      <c r="AP537" s="7" t="e">
        <f>VLOOKUP(AL537,Personal!$A$2:$I$300,7,FALSE)</f>
        <v>#N/A</v>
      </c>
      <c r="AQ537" s="7" t="e">
        <f>VLOOKUP(AL537,Personal!$A$2:$I$300,8,FALSE)</f>
        <v>#N/A</v>
      </c>
      <c r="AR537" s="7"/>
    </row>
    <row r="538" spans="2:44" x14ac:dyDescent="0.3">
      <c r="B538" s="6">
        <v>533</v>
      </c>
      <c r="C538" s="6"/>
      <c r="D538" s="6"/>
      <c r="E538" s="6"/>
      <c r="F538" s="6"/>
      <c r="G538" s="7"/>
      <c r="H538" s="7"/>
      <c r="I538" s="7"/>
      <c r="J538" s="7"/>
      <c r="K538" s="10"/>
      <c r="L538" s="7"/>
      <c r="M538" s="7"/>
      <c r="N538" s="7"/>
      <c r="O538" s="13"/>
      <c r="P538" s="13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8"/>
      <c r="AI538" s="7"/>
      <c r="AJ538" s="7"/>
      <c r="AK538" s="7"/>
      <c r="AL538" s="10"/>
      <c r="AM538" s="7" t="e">
        <f>VLOOKUP(AL538,Personal!$A$2:$I$300,2,FALSE)</f>
        <v>#N/A</v>
      </c>
      <c r="AN538" s="7" t="e">
        <f>VLOOKUP(AL538,Personal!$A$2:$I$300,3,FALSE)</f>
        <v>#N/A</v>
      </c>
      <c r="AO538" s="7" t="e">
        <f>VLOOKUP(AL538,Personal!$A$2:$I$300,6,FALSE)</f>
        <v>#N/A</v>
      </c>
      <c r="AP538" s="7" t="e">
        <f>VLOOKUP(AL538,Personal!$A$2:$I$300,7,FALSE)</f>
        <v>#N/A</v>
      </c>
      <c r="AQ538" s="7" t="e">
        <f>VLOOKUP(AL538,Personal!$A$2:$I$300,8,FALSE)</f>
        <v>#N/A</v>
      </c>
      <c r="AR538" s="7"/>
    </row>
    <row r="539" spans="2:44" x14ac:dyDescent="0.3">
      <c r="B539" s="6">
        <v>534</v>
      </c>
      <c r="C539" s="6"/>
      <c r="D539" s="6"/>
      <c r="E539" s="6"/>
      <c r="F539" s="6"/>
      <c r="G539" s="7"/>
      <c r="H539" s="7"/>
      <c r="I539" s="7"/>
      <c r="J539" s="7"/>
      <c r="K539" s="10"/>
      <c r="L539" s="7"/>
      <c r="M539" s="7"/>
      <c r="N539" s="7"/>
      <c r="O539" s="13"/>
      <c r="P539" s="13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8"/>
      <c r="AI539" s="7"/>
      <c r="AJ539" s="7"/>
      <c r="AK539" s="7"/>
      <c r="AL539" s="10"/>
      <c r="AM539" s="7" t="e">
        <f>VLOOKUP(AL539,Personal!$A$2:$I$300,2,FALSE)</f>
        <v>#N/A</v>
      </c>
      <c r="AN539" s="7" t="e">
        <f>VLOOKUP(AL539,Personal!$A$2:$I$300,3,FALSE)</f>
        <v>#N/A</v>
      </c>
      <c r="AO539" s="7" t="e">
        <f>VLOOKUP(AL539,Personal!$A$2:$I$300,6,FALSE)</f>
        <v>#N/A</v>
      </c>
      <c r="AP539" s="7" t="e">
        <f>VLOOKUP(AL539,Personal!$A$2:$I$300,7,FALSE)</f>
        <v>#N/A</v>
      </c>
      <c r="AQ539" s="7" t="e">
        <f>VLOOKUP(AL539,Personal!$A$2:$I$300,8,FALSE)</f>
        <v>#N/A</v>
      </c>
      <c r="AR539" s="7"/>
    </row>
    <row r="540" spans="2:44" x14ac:dyDescent="0.3">
      <c r="B540" s="6">
        <v>535</v>
      </c>
      <c r="C540" s="6"/>
      <c r="D540" s="6"/>
      <c r="E540" s="6"/>
      <c r="F540" s="6"/>
      <c r="G540" s="7"/>
      <c r="H540" s="7"/>
      <c r="I540" s="7"/>
      <c r="J540" s="7"/>
      <c r="K540" s="10"/>
      <c r="L540" s="7"/>
      <c r="M540" s="7"/>
      <c r="N540" s="7"/>
      <c r="O540" s="13"/>
      <c r="P540" s="13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8"/>
      <c r="AI540" s="7"/>
      <c r="AJ540" s="7"/>
      <c r="AK540" s="7"/>
      <c r="AL540" s="10"/>
      <c r="AM540" s="7" t="e">
        <f>VLOOKUP(AL540,Personal!$A$2:$I$300,2,FALSE)</f>
        <v>#N/A</v>
      </c>
      <c r="AN540" s="7" t="e">
        <f>VLOOKUP(AL540,Personal!$A$2:$I$300,3,FALSE)</f>
        <v>#N/A</v>
      </c>
      <c r="AO540" s="7" t="e">
        <f>VLOOKUP(AL540,Personal!$A$2:$I$300,6,FALSE)</f>
        <v>#N/A</v>
      </c>
      <c r="AP540" s="7" t="e">
        <f>VLOOKUP(AL540,Personal!$A$2:$I$300,7,FALSE)</f>
        <v>#N/A</v>
      </c>
      <c r="AQ540" s="7" t="e">
        <f>VLOOKUP(AL540,Personal!$A$2:$I$300,8,FALSE)</f>
        <v>#N/A</v>
      </c>
      <c r="AR540" s="7"/>
    </row>
    <row r="541" spans="2:44" x14ac:dyDescent="0.3">
      <c r="B541" s="6">
        <v>536</v>
      </c>
      <c r="C541" s="6"/>
      <c r="D541" s="6"/>
      <c r="E541" s="6"/>
      <c r="F541" s="6"/>
      <c r="G541" s="7"/>
      <c r="H541" s="7"/>
      <c r="I541" s="7"/>
      <c r="J541" s="7"/>
      <c r="K541" s="10"/>
      <c r="L541" s="7"/>
      <c r="M541" s="7"/>
      <c r="N541" s="7"/>
      <c r="O541" s="13"/>
      <c r="P541" s="13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8"/>
      <c r="AI541" s="7"/>
      <c r="AJ541" s="7"/>
      <c r="AK541" s="7"/>
      <c r="AL541" s="10"/>
      <c r="AM541" s="7" t="e">
        <f>VLOOKUP(AL541,Personal!$A$2:$I$300,2,FALSE)</f>
        <v>#N/A</v>
      </c>
      <c r="AN541" s="7" t="e">
        <f>VLOOKUP(AL541,Personal!$A$2:$I$300,3,FALSE)</f>
        <v>#N/A</v>
      </c>
      <c r="AO541" s="7" t="e">
        <f>VLOOKUP(AL541,Personal!$A$2:$I$300,6,FALSE)</f>
        <v>#N/A</v>
      </c>
      <c r="AP541" s="7" t="e">
        <f>VLOOKUP(AL541,Personal!$A$2:$I$300,7,FALSE)</f>
        <v>#N/A</v>
      </c>
      <c r="AQ541" s="7" t="e">
        <f>VLOOKUP(AL541,Personal!$A$2:$I$300,8,FALSE)</f>
        <v>#N/A</v>
      </c>
      <c r="AR541" s="7"/>
    </row>
    <row r="542" spans="2:44" x14ac:dyDescent="0.3">
      <c r="B542" s="6">
        <v>537</v>
      </c>
      <c r="C542" s="6"/>
      <c r="D542" s="6"/>
      <c r="E542" s="6"/>
      <c r="F542" s="6"/>
      <c r="G542" s="7"/>
      <c r="H542" s="7"/>
      <c r="I542" s="7"/>
      <c r="J542" s="7"/>
      <c r="K542" s="10"/>
      <c r="L542" s="7"/>
      <c r="M542" s="7"/>
      <c r="N542" s="7"/>
      <c r="O542" s="13"/>
      <c r="P542" s="13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8"/>
      <c r="AI542" s="7"/>
      <c r="AJ542" s="7"/>
      <c r="AK542" s="7"/>
      <c r="AL542" s="10"/>
      <c r="AM542" s="7" t="e">
        <f>VLOOKUP(AL542,Personal!$A$2:$I$300,2,FALSE)</f>
        <v>#N/A</v>
      </c>
      <c r="AN542" s="7" t="e">
        <f>VLOOKUP(AL542,Personal!$A$2:$I$300,3,FALSE)</f>
        <v>#N/A</v>
      </c>
      <c r="AO542" s="7" t="e">
        <f>VLOOKUP(AL542,Personal!$A$2:$I$300,6,FALSE)</f>
        <v>#N/A</v>
      </c>
      <c r="AP542" s="7" t="e">
        <f>VLOOKUP(AL542,Personal!$A$2:$I$300,7,FALSE)</f>
        <v>#N/A</v>
      </c>
      <c r="AQ542" s="7" t="e">
        <f>VLOOKUP(AL542,Personal!$A$2:$I$300,8,FALSE)</f>
        <v>#N/A</v>
      </c>
      <c r="AR542" s="7"/>
    </row>
    <row r="543" spans="2:44" x14ac:dyDescent="0.3">
      <c r="B543" s="6">
        <v>538</v>
      </c>
      <c r="C543" s="6"/>
      <c r="D543" s="6"/>
      <c r="E543" s="6"/>
      <c r="F543" s="6"/>
      <c r="G543" s="7"/>
      <c r="H543" s="7"/>
      <c r="I543" s="7"/>
      <c r="J543" s="7"/>
      <c r="K543" s="10"/>
      <c r="L543" s="7"/>
      <c r="M543" s="7"/>
      <c r="N543" s="7"/>
      <c r="O543" s="13"/>
      <c r="P543" s="13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8"/>
      <c r="AI543" s="7"/>
      <c r="AJ543" s="7"/>
      <c r="AK543" s="7"/>
      <c r="AL543" s="10"/>
      <c r="AM543" s="7" t="e">
        <f>VLOOKUP(AL543,Personal!$A$2:$I$300,2,FALSE)</f>
        <v>#N/A</v>
      </c>
      <c r="AN543" s="7" t="e">
        <f>VLOOKUP(AL543,Personal!$A$2:$I$300,3,FALSE)</f>
        <v>#N/A</v>
      </c>
      <c r="AO543" s="7" t="e">
        <f>VLOOKUP(AL543,Personal!$A$2:$I$300,6,FALSE)</f>
        <v>#N/A</v>
      </c>
      <c r="AP543" s="7" t="e">
        <f>VLOOKUP(AL543,Personal!$A$2:$I$300,7,FALSE)</f>
        <v>#N/A</v>
      </c>
      <c r="AQ543" s="7" t="e">
        <f>VLOOKUP(AL543,Personal!$A$2:$I$300,8,FALSE)</f>
        <v>#N/A</v>
      </c>
      <c r="AR543" s="7"/>
    </row>
    <row r="544" spans="2:44" x14ac:dyDescent="0.3">
      <c r="B544" s="6">
        <v>539</v>
      </c>
      <c r="C544" s="6"/>
      <c r="D544" s="6"/>
      <c r="E544" s="6"/>
      <c r="F544" s="6"/>
      <c r="G544" s="7"/>
      <c r="H544" s="7"/>
      <c r="I544" s="7"/>
      <c r="J544" s="7"/>
      <c r="K544" s="10"/>
      <c r="L544" s="7"/>
      <c r="M544" s="7"/>
      <c r="N544" s="7"/>
      <c r="O544" s="13"/>
      <c r="P544" s="13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8"/>
      <c r="AI544" s="7"/>
      <c r="AJ544" s="7"/>
      <c r="AK544" s="7"/>
      <c r="AL544" s="10"/>
      <c r="AM544" s="7" t="e">
        <f>VLOOKUP(AL544,Personal!$A$2:$I$300,2,FALSE)</f>
        <v>#N/A</v>
      </c>
      <c r="AN544" s="7" t="e">
        <f>VLOOKUP(AL544,Personal!$A$2:$I$300,3,FALSE)</f>
        <v>#N/A</v>
      </c>
      <c r="AO544" s="7" t="e">
        <f>VLOOKUP(AL544,Personal!$A$2:$I$300,6,FALSE)</f>
        <v>#N/A</v>
      </c>
      <c r="AP544" s="7" t="e">
        <f>VLOOKUP(AL544,Personal!$A$2:$I$300,7,FALSE)</f>
        <v>#N/A</v>
      </c>
      <c r="AQ544" s="7" t="e">
        <f>VLOOKUP(AL544,Personal!$A$2:$I$300,8,FALSE)</f>
        <v>#N/A</v>
      </c>
      <c r="AR544" s="7"/>
    </row>
    <row r="545" spans="2:44" x14ac:dyDescent="0.3">
      <c r="B545" s="6">
        <v>540</v>
      </c>
      <c r="C545" s="6"/>
      <c r="D545" s="6"/>
      <c r="E545" s="6"/>
      <c r="F545" s="6"/>
      <c r="G545" s="7"/>
      <c r="H545" s="7"/>
      <c r="I545" s="7"/>
      <c r="J545" s="7"/>
      <c r="K545" s="10"/>
      <c r="L545" s="7"/>
      <c r="M545" s="7"/>
      <c r="N545" s="7"/>
      <c r="O545" s="13"/>
      <c r="P545" s="13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8"/>
      <c r="AI545" s="7"/>
      <c r="AJ545" s="7"/>
      <c r="AK545" s="7"/>
      <c r="AL545" s="10"/>
      <c r="AM545" s="7" t="e">
        <f>VLOOKUP(AL545,Personal!$A$2:$I$300,2,FALSE)</f>
        <v>#N/A</v>
      </c>
      <c r="AN545" s="7" t="e">
        <f>VLOOKUP(AL545,Personal!$A$2:$I$300,3,FALSE)</f>
        <v>#N/A</v>
      </c>
      <c r="AO545" s="7" t="e">
        <f>VLOOKUP(AL545,Personal!$A$2:$I$300,6,FALSE)</f>
        <v>#N/A</v>
      </c>
      <c r="AP545" s="7" t="e">
        <f>VLOOKUP(AL545,Personal!$A$2:$I$300,7,FALSE)</f>
        <v>#N/A</v>
      </c>
      <c r="AQ545" s="7" t="e">
        <f>VLOOKUP(AL545,Personal!$A$2:$I$300,8,FALSE)</f>
        <v>#N/A</v>
      </c>
      <c r="AR545" s="7"/>
    </row>
    <row r="546" spans="2:44" x14ac:dyDescent="0.3">
      <c r="B546" s="6">
        <v>541</v>
      </c>
      <c r="C546" s="6"/>
      <c r="D546" s="6"/>
      <c r="E546" s="6"/>
      <c r="F546" s="6"/>
      <c r="G546" s="7"/>
      <c r="H546" s="7"/>
      <c r="I546" s="7"/>
      <c r="J546" s="7"/>
      <c r="K546" s="10"/>
      <c r="L546" s="7"/>
      <c r="M546" s="7"/>
      <c r="N546" s="7"/>
      <c r="O546" s="13"/>
      <c r="P546" s="13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8"/>
      <c r="AI546" s="7"/>
      <c r="AJ546" s="7"/>
      <c r="AK546" s="7"/>
      <c r="AL546" s="10"/>
      <c r="AM546" s="7" t="e">
        <f>VLOOKUP(AL546,Personal!$A$2:$I$300,2,FALSE)</f>
        <v>#N/A</v>
      </c>
      <c r="AN546" s="7" t="e">
        <f>VLOOKUP(AL546,Personal!$A$2:$I$300,3,FALSE)</f>
        <v>#N/A</v>
      </c>
      <c r="AO546" s="7" t="e">
        <f>VLOOKUP(AL546,Personal!$A$2:$I$300,6,FALSE)</f>
        <v>#N/A</v>
      </c>
      <c r="AP546" s="7" t="e">
        <f>VLOOKUP(AL546,Personal!$A$2:$I$300,7,FALSE)</f>
        <v>#N/A</v>
      </c>
      <c r="AQ546" s="7" t="e">
        <f>VLOOKUP(AL546,Personal!$A$2:$I$300,8,FALSE)</f>
        <v>#N/A</v>
      </c>
      <c r="AR546" s="7"/>
    </row>
    <row r="547" spans="2:44" x14ac:dyDescent="0.3">
      <c r="B547" s="6">
        <v>542</v>
      </c>
      <c r="C547" s="6"/>
      <c r="D547" s="6"/>
      <c r="E547" s="6"/>
      <c r="F547" s="6"/>
      <c r="G547" s="7"/>
      <c r="H547" s="7"/>
      <c r="I547" s="7"/>
      <c r="J547" s="7"/>
      <c r="K547" s="10"/>
      <c r="L547" s="7"/>
      <c r="M547" s="7"/>
      <c r="N547" s="7"/>
      <c r="O547" s="13"/>
      <c r="P547" s="13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8"/>
      <c r="AI547" s="7"/>
      <c r="AJ547" s="7"/>
      <c r="AK547" s="7"/>
      <c r="AL547" s="10"/>
      <c r="AM547" s="7" t="e">
        <f>VLOOKUP(AL547,Personal!$A$2:$I$300,2,FALSE)</f>
        <v>#N/A</v>
      </c>
      <c r="AN547" s="7" t="e">
        <f>VLOOKUP(AL547,Personal!$A$2:$I$300,3,FALSE)</f>
        <v>#N/A</v>
      </c>
      <c r="AO547" s="7" t="e">
        <f>VLOOKUP(AL547,Personal!$A$2:$I$300,6,FALSE)</f>
        <v>#N/A</v>
      </c>
      <c r="AP547" s="7" t="e">
        <f>VLOOKUP(AL547,Personal!$A$2:$I$300,7,FALSE)</f>
        <v>#N/A</v>
      </c>
      <c r="AQ547" s="7" t="e">
        <f>VLOOKUP(AL547,Personal!$A$2:$I$300,8,FALSE)</f>
        <v>#N/A</v>
      </c>
      <c r="AR547" s="7"/>
    </row>
    <row r="548" spans="2:44" x14ac:dyDescent="0.3">
      <c r="B548" s="6">
        <v>543</v>
      </c>
      <c r="C548" s="6"/>
      <c r="D548" s="6"/>
      <c r="E548" s="6"/>
      <c r="F548" s="6"/>
      <c r="G548" s="7"/>
      <c r="H548" s="7"/>
      <c r="I548" s="7"/>
      <c r="J548" s="7"/>
      <c r="K548" s="10"/>
      <c r="L548" s="7"/>
      <c r="M548" s="7"/>
      <c r="N548" s="7"/>
      <c r="O548" s="13"/>
      <c r="P548" s="13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8"/>
      <c r="AI548" s="7"/>
      <c r="AJ548" s="7"/>
      <c r="AK548" s="7"/>
      <c r="AL548" s="10"/>
      <c r="AM548" s="7" t="e">
        <f>VLOOKUP(AL548,Personal!$A$2:$I$300,2,FALSE)</f>
        <v>#N/A</v>
      </c>
      <c r="AN548" s="7" t="e">
        <f>VLOOKUP(AL548,Personal!$A$2:$I$300,3,FALSE)</f>
        <v>#N/A</v>
      </c>
      <c r="AO548" s="7" t="e">
        <f>VLOOKUP(AL548,Personal!$A$2:$I$300,6,FALSE)</f>
        <v>#N/A</v>
      </c>
      <c r="AP548" s="7" t="e">
        <f>VLOOKUP(AL548,Personal!$A$2:$I$300,7,FALSE)</f>
        <v>#N/A</v>
      </c>
      <c r="AQ548" s="7" t="e">
        <f>VLOOKUP(AL548,Personal!$A$2:$I$300,8,FALSE)</f>
        <v>#N/A</v>
      </c>
      <c r="AR548" s="7"/>
    </row>
    <row r="549" spans="2:44" x14ac:dyDescent="0.3">
      <c r="B549" s="6">
        <v>544</v>
      </c>
      <c r="C549" s="6"/>
      <c r="D549" s="6"/>
      <c r="E549" s="6"/>
      <c r="F549" s="6"/>
      <c r="G549" s="7"/>
      <c r="H549" s="7"/>
      <c r="I549" s="7"/>
      <c r="J549" s="7"/>
      <c r="K549" s="10"/>
      <c r="L549" s="7"/>
      <c r="M549" s="7"/>
      <c r="N549" s="7"/>
      <c r="O549" s="13"/>
      <c r="P549" s="13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8"/>
      <c r="AI549" s="7"/>
      <c r="AJ549" s="7"/>
      <c r="AK549" s="7"/>
      <c r="AL549" s="10"/>
      <c r="AM549" s="7" t="e">
        <f>VLOOKUP(AL549,Personal!$A$2:$I$300,2,FALSE)</f>
        <v>#N/A</v>
      </c>
      <c r="AN549" s="7" t="e">
        <f>VLOOKUP(AL549,Personal!$A$2:$I$300,3,FALSE)</f>
        <v>#N/A</v>
      </c>
      <c r="AO549" s="7" t="e">
        <f>VLOOKUP(AL549,Personal!$A$2:$I$300,6,FALSE)</f>
        <v>#N/A</v>
      </c>
      <c r="AP549" s="7" t="e">
        <f>VLOOKUP(AL549,Personal!$A$2:$I$300,7,FALSE)</f>
        <v>#N/A</v>
      </c>
      <c r="AQ549" s="7" t="e">
        <f>VLOOKUP(AL549,Personal!$A$2:$I$300,8,FALSE)</f>
        <v>#N/A</v>
      </c>
      <c r="AR549" s="7"/>
    </row>
    <row r="550" spans="2:44" x14ac:dyDescent="0.3">
      <c r="B550" s="6">
        <v>545</v>
      </c>
      <c r="C550" s="6"/>
      <c r="D550" s="6"/>
      <c r="E550" s="6"/>
      <c r="F550" s="6"/>
      <c r="G550" s="7"/>
      <c r="H550" s="7"/>
      <c r="I550" s="7"/>
      <c r="J550" s="7"/>
      <c r="K550" s="10"/>
      <c r="L550" s="7"/>
      <c r="M550" s="7"/>
      <c r="N550" s="7"/>
      <c r="O550" s="13"/>
      <c r="P550" s="13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8"/>
      <c r="AI550" s="7"/>
      <c r="AJ550" s="7"/>
      <c r="AK550" s="7"/>
      <c r="AL550" s="10"/>
      <c r="AM550" s="7" t="e">
        <f>VLOOKUP(AL550,Personal!$A$2:$I$300,2,FALSE)</f>
        <v>#N/A</v>
      </c>
      <c r="AN550" s="7" t="e">
        <f>VLOOKUP(AL550,Personal!$A$2:$I$300,3,FALSE)</f>
        <v>#N/A</v>
      </c>
      <c r="AO550" s="7" t="e">
        <f>VLOOKUP(AL550,Personal!$A$2:$I$300,6,FALSE)</f>
        <v>#N/A</v>
      </c>
      <c r="AP550" s="7" t="e">
        <f>VLOOKUP(AL550,Personal!$A$2:$I$300,7,FALSE)</f>
        <v>#N/A</v>
      </c>
      <c r="AQ550" s="7" t="e">
        <f>VLOOKUP(AL550,Personal!$A$2:$I$300,8,FALSE)</f>
        <v>#N/A</v>
      </c>
      <c r="AR550" s="7"/>
    </row>
    <row r="551" spans="2:44" x14ac:dyDescent="0.3">
      <c r="B551" s="6">
        <v>546</v>
      </c>
      <c r="C551" s="6"/>
      <c r="D551" s="6"/>
      <c r="E551" s="6"/>
      <c r="F551" s="6"/>
      <c r="G551" s="7"/>
      <c r="H551" s="7"/>
      <c r="I551" s="7"/>
      <c r="J551" s="7"/>
      <c r="K551" s="10"/>
      <c r="L551" s="7"/>
      <c r="M551" s="7"/>
      <c r="N551" s="7"/>
      <c r="O551" s="13"/>
      <c r="P551" s="13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8"/>
      <c r="AI551" s="7"/>
      <c r="AJ551" s="7"/>
      <c r="AK551" s="7"/>
      <c r="AL551" s="10"/>
      <c r="AM551" s="7" t="e">
        <f>VLOOKUP(AL551,Personal!$A$2:$I$300,2,FALSE)</f>
        <v>#N/A</v>
      </c>
      <c r="AN551" s="7" t="e">
        <f>VLOOKUP(AL551,Personal!$A$2:$I$300,3,FALSE)</f>
        <v>#N/A</v>
      </c>
      <c r="AO551" s="7" t="e">
        <f>VLOOKUP(AL551,Personal!$A$2:$I$300,6,FALSE)</f>
        <v>#N/A</v>
      </c>
      <c r="AP551" s="7" t="e">
        <f>VLOOKUP(AL551,Personal!$A$2:$I$300,7,FALSE)</f>
        <v>#N/A</v>
      </c>
      <c r="AQ551" s="7" t="e">
        <f>VLOOKUP(AL551,Personal!$A$2:$I$300,8,FALSE)</f>
        <v>#N/A</v>
      </c>
      <c r="AR551" s="7"/>
    </row>
    <row r="552" spans="2:44" x14ac:dyDescent="0.3">
      <c r="B552" s="6">
        <v>547</v>
      </c>
      <c r="C552" s="6"/>
      <c r="D552" s="6"/>
      <c r="E552" s="6"/>
      <c r="F552" s="6"/>
      <c r="G552" s="7"/>
      <c r="H552" s="7"/>
      <c r="I552" s="7"/>
      <c r="J552" s="7"/>
      <c r="K552" s="10"/>
      <c r="L552" s="7"/>
      <c r="M552" s="7"/>
      <c r="N552" s="7"/>
      <c r="O552" s="13"/>
      <c r="P552" s="13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8"/>
      <c r="AI552" s="7"/>
      <c r="AJ552" s="7"/>
      <c r="AK552" s="7"/>
      <c r="AL552" s="10"/>
      <c r="AM552" s="7" t="e">
        <f>VLOOKUP(AL552,Personal!$A$2:$I$300,2,FALSE)</f>
        <v>#N/A</v>
      </c>
      <c r="AN552" s="7" t="e">
        <f>VLOOKUP(AL552,Personal!$A$2:$I$300,3,FALSE)</f>
        <v>#N/A</v>
      </c>
      <c r="AO552" s="7" t="e">
        <f>VLOOKUP(AL552,Personal!$A$2:$I$300,6,FALSE)</f>
        <v>#N/A</v>
      </c>
      <c r="AP552" s="7" t="e">
        <f>VLOOKUP(AL552,Personal!$A$2:$I$300,7,FALSE)</f>
        <v>#N/A</v>
      </c>
      <c r="AQ552" s="7" t="e">
        <f>VLOOKUP(AL552,Personal!$A$2:$I$300,8,FALSE)</f>
        <v>#N/A</v>
      </c>
      <c r="AR552" s="7"/>
    </row>
    <row r="553" spans="2:44" x14ac:dyDescent="0.3">
      <c r="B553" s="6">
        <v>548</v>
      </c>
      <c r="C553" s="6"/>
      <c r="D553" s="6"/>
      <c r="E553" s="6"/>
      <c r="F553" s="6"/>
      <c r="G553" s="7"/>
      <c r="H553" s="7"/>
      <c r="I553" s="7"/>
      <c r="J553" s="7"/>
      <c r="K553" s="10"/>
      <c r="L553" s="7"/>
      <c r="M553" s="7"/>
      <c r="N553" s="7"/>
      <c r="O553" s="13"/>
      <c r="P553" s="13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8"/>
      <c r="AI553" s="7"/>
      <c r="AJ553" s="7"/>
      <c r="AK553" s="7"/>
      <c r="AL553" s="10"/>
      <c r="AM553" s="7" t="e">
        <f>VLOOKUP(AL553,Personal!$A$2:$I$300,2,FALSE)</f>
        <v>#N/A</v>
      </c>
      <c r="AN553" s="7" t="e">
        <f>VLOOKUP(AL553,Personal!$A$2:$I$300,3,FALSE)</f>
        <v>#N/A</v>
      </c>
      <c r="AO553" s="7" t="e">
        <f>VLOOKUP(AL553,Personal!$A$2:$I$300,6,FALSE)</f>
        <v>#N/A</v>
      </c>
      <c r="AP553" s="7" t="e">
        <f>VLOOKUP(AL553,Personal!$A$2:$I$300,7,FALSE)</f>
        <v>#N/A</v>
      </c>
      <c r="AQ553" s="7" t="e">
        <f>VLOOKUP(AL553,Personal!$A$2:$I$300,8,FALSE)</f>
        <v>#N/A</v>
      </c>
      <c r="AR553" s="7"/>
    </row>
    <row r="554" spans="2:44" x14ac:dyDescent="0.3">
      <c r="B554" s="6">
        <v>549</v>
      </c>
      <c r="C554" s="6"/>
      <c r="D554" s="6"/>
      <c r="E554" s="6"/>
      <c r="F554" s="6"/>
      <c r="G554" s="7"/>
      <c r="H554" s="7"/>
      <c r="I554" s="7"/>
      <c r="J554" s="7"/>
      <c r="K554" s="10"/>
      <c r="L554" s="7"/>
      <c r="M554" s="7"/>
      <c r="N554" s="7"/>
      <c r="O554" s="13"/>
      <c r="P554" s="13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8"/>
      <c r="AI554" s="7"/>
      <c r="AJ554" s="7"/>
      <c r="AK554" s="7"/>
      <c r="AL554" s="10"/>
      <c r="AM554" s="7" t="e">
        <f>VLOOKUP(AL554,Personal!$A$2:$I$300,2,FALSE)</f>
        <v>#N/A</v>
      </c>
      <c r="AN554" s="7" t="e">
        <f>VLOOKUP(AL554,Personal!$A$2:$I$300,3,FALSE)</f>
        <v>#N/A</v>
      </c>
      <c r="AO554" s="7" t="e">
        <f>VLOOKUP(AL554,Personal!$A$2:$I$300,6,FALSE)</f>
        <v>#N/A</v>
      </c>
      <c r="AP554" s="7" t="e">
        <f>VLOOKUP(AL554,Personal!$A$2:$I$300,7,FALSE)</f>
        <v>#N/A</v>
      </c>
      <c r="AQ554" s="7" t="e">
        <f>VLOOKUP(AL554,Personal!$A$2:$I$300,8,FALSE)</f>
        <v>#N/A</v>
      </c>
      <c r="AR554" s="7"/>
    </row>
    <row r="555" spans="2:44" x14ac:dyDescent="0.3">
      <c r="B555" s="6">
        <v>550</v>
      </c>
      <c r="C555" s="6"/>
      <c r="D555" s="6"/>
      <c r="E555" s="6"/>
      <c r="F555" s="6"/>
      <c r="G555" s="7"/>
      <c r="H555" s="7"/>
      <c r="I555" s="7"/>
      <c r="J555" s="7"/>
      <c r="K555" s="10"/>
      <c r="L555" s="7"/>
      <c r="M555" s="7"/>
      <c r="N555" s="7"/>
      <c r="O555" s="13"/>
      <c r="P555" s="13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8"/>
      <c r="AI555" s="7"/>
      <c r="AJ555" s="7"/>
      <c r="AK555" s="7"/>
      <c r="AL555" s="10"/>
      <c r="AM555" s="7" t="e">
        <f>VLOOKUP(AL555,Personal!$A$2:$I$300,2,FALSE)</f>
        <v>#N/A</v>
      </c>
      <c r="AN555" s="7" t="e">
        <f>VLOOKUP(AL555,Personal!$A$2:$I$300,3,FALSE)</f>
        <v>#N/A</v>
      </c>
      <c r="AO555" s="7" t="e">
        <f>VLOOKUP(AL555,Personal!$A$2:$I$300,6,FALSE)</f>
        <v>#N/A</v>
      </c>
      <c r="AP555" s="7" t="e">
        <f>VLOOKUP(AL555,Personal!$A$2:$I$300,7,FALSE)</f>
        <v>#N/A</v>
      </c>
      <c r="AQ555" s="7" t="e">
        <f>VLOOKUP(AL555,Personal!$A$2:$I$300,8,FALSE)</f>
        <v>#N/A</v>
      </c>
      <c r="AR555" s="7"/>
    </row>
    <row r="556" spans="2:44" x14ac:dyDescent="0.3">
      <c r="B556" s="6">
        <v>551</v>
      </c>
      <c r="C556" s="6"/>
      <c r="D556" s="6"/>
      <c r="E556" s="6"/>
      <c r="F556" s="6"/>
      <c r="G556" s="7"/>
      <c r="H556" s="7"/>
      <c r="I556" s="7"/>
      <c r="J556" s="7"/>
      <c r="K556" s="10"/>
      <c r="L556" s="7"/>
      <c r="M556" s="7"/>
      <c r="N556" s="7"/>
      <c r="O556" s="13"/>
      <c r="P556" s="13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8"/>
      <c r="AI556" s="7"/>
      <c r="AJ556" s="7"/>
      <c r="AK556" s="7"/>
      <c r="AL556" s="10"/>
      <c r="AM556" s="7" t="e">
        <f>VLOOKUP(AL556,Personal!$A$2:$I$300,2,FALSE)</f>
        <v>#N/A</v>
      </c>
      <c r="AN556" s="7" t="e">
        <f>VLOOKUP(AL556,Personal!$A$2:$I$300,3,FALSE)</f>
        <v>#N/A</v>
      </c>
      <c r="AO556" s="7" t="e">
        <f>VLOOKUP(AL556,Personal!$A$2:$I$300,6,FALSE)</f>
        <v>#N/A</v>
      </c>
      <c r="AP556" s="7" t="e">
        <f>VLOOKUP(AL556,Personal!$A$2:$I$300,7,FALSE)</f>
        <v>#N/A</v>
      </c>
      <c r="AQ556" s="7" t="e">
        <f>VLOOKUP(AL556,Personal!$A$2:$I$300,8,FALSE)</f>
        <v>#N/A</v>
      </c>
      <c r="AR556" s="7"/>
    </row>
    <row r="557" spans="2:44" x14ac:dyDescent="0.3">
      <c r="B557" s="6">
        <v>552</v>
      </c>
      <c r="C557" s="6"/>
      <c r="D557" s="6"/>
      <c r="E557" s="6"/>
      <c r="F557" s="6"/>
      <c r="G557" s="7"/>
      <c r="H557" s="7"/>
      <c r="I557" s="7"/>
      <c r="J557" s="7"/>
      <c r="K557" s="10"/>
      <c r="L557" s="7"/>
      <c r="M557" s="7"/>
      <c r="N557" s="7"/>
      <c r="O557" s="13"/>
      <c r="P557" s="13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8"/>
      <c r="AI557" s="7"/>
      <c r="AJ557" s="7"/>
      <c r="AK557" s="7"/>
      <c r="AL557" s="10"/>
      <c r="AM557" s="7" t="e">
        <f>VLOOKUP(AL557,Personal!$A$2:$I$300,2,FALSE)</f>
        <v>#N/A</v>
      </c>
      <c r="AN557" s="7" t="e">
        <f>VLOOKUP(AL557,Personal!$A$2:$I$300,3,FALSE)</f>
        <v>#N/A</v>
      </c>
      <c r="AO557" s="7" t="e">
        <f>VLOOKUP(AL557,Personal!$A$2:$I$300,6,FALSE)</f>
        <v>#N/A</v>
      </c>
      <c r="AP557" s="7" t="e">
        <f>VLOOKUP(AL557,Personal!$A$2:$I$300,7,FALSE)</f>
        <v>#N/A</v>
      </c>
      <c r="AQ557" s="7" t="e">
        <f>VLOOKUP(AL557,Personal!$A$2:$I$300,8,FALSE)</f>
        <v>#N/A</v>
      </c>
      <c r="AR557" s="7"/>
    </row>
    <row r="558" spans="2:44" x14ac:dyDescent="0.3">
      <c r="B558" s="6">
        <v>553</v>
      </c>
      <c r="C558" s="6"/>
      <c r="D558" s="6"/>
      <c r="E558" s="6"/>
      <c r="F558" s="6"/>
      <c r="G558" s="7"/>
      <c r="H558" s="7"/>
      <c r="I558" s="7"/>
      <c r="J558" s="7"/>
      <c r="K558" s="10"/>
      <c r="L558" s="7"/>
      <c r="M558" s="7"/>
      <c r="N558" s="7"/>
      <c r="O558" s="13"/>
      <c r="P558" s="13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8"/>
      <c r="AI558" s="7"/>
      <c r="AJ558" s="7"/>
      <c r="AK558" s="7"/>
      <c r="AL558" s="10"/>
      <c r="AM558" s="7" t="e">
        <f>VLOOKUP(AL558,Personal!$A$2:$I$300,2,FALSE)</f>
        <v>#N/A</v>
      </c>
      <c r="AN558" s="7" t="e">
        <f>VLOOKUP(AL558,Personal!$A$2:$I$300,3,FALSE)</f>
        <v>#N/A</v>
      </c>
      <c r="AO558" s="7" t="e">
        <f>VLOOKUP(AL558,Personal!$A$2:$I$300,6,FALSE)</f>
        <v>#N/A</v>
      </c>
      <c r="AP558" s="7" t="e">
        <f>VLOOKUP(AL558,Personal!$A$2:$I$300,7,FALSE)</f>
        <v>#N/A</v>
      </c>
      <c r="AQ558" s="7" t="e">
        <f>VLOOKUP(AL558,Personal!$A$2:$I$300,8,FALSE)</f>
        <v>#N/A</v>
      </c>
      <c r="AR558" s="7"/>
    </row>
    <row r="559" spans="2:44" x14ac:dyDescent="0.3">
      <c r="B559" s="6">
        <v>554</v>
      </c>
      <c r="C559" s="6"/>
      <c r="D559" s="6"/>
      <c r="E559" s="6"/>
      <c r="F559" s="6"/>
      <c r="G559" s="7"/>
      <c r="H559" s="7"/>
      <c r="I559" s="7"/>
      <c r="J559" s="7"/>
      <c r="K559" s="10"/>
      <c r="L559" s="7"/>
      <c r="M559" s="7"/>
      <c r="N559" s="7"/>
      <c r="O559" s="13"/>
      <c r="P559" s="13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8"/>
      <c r="AI559" s="7"/>
      <c r="AJ559" s="7"/>
      <c r="AK559" s="7"/>
      <c r="AL559" s="10"/>
      <c r="AM559" s="7" t="e">
        <f>VLOOKUP(AL559,Personal!$A$2:$I$300,2,FALSE)</f>
        <v>#N/A</v>
      </c>
      <c r="AN559" s="7" t="e">
        <f>VLOOKUP(AL559,Personal!$A$2:$I$300,3,FALSE)</f>
        <v>#N/A</v>
      </c>
      <c r="AO559" s="7" t="e">
        <f>VLOOKUP(AL559,Personal!$A$2:$I$300,6,FALSE)</f>
        <v>#N/A</v>
      </c>
      <c r="AP559" s="7" t="e">
        <f>VLOOKUP(AL559,Personal!$A$2:$I$300,7,FALSE)</f>
        <v>#N/A</v>
      </c>
      <c r="AQ559" s="7" t="e">
        <f>VLOOKUP(AL559,Personal!$A$2:$I$300,8,FALSE)</f>
        <v>#N/A</v>
      </c>
      <c r="AR559" s="7"/>
    </row>
    <row r="560" spans="2:44" x14ac:dyDescent="0.3">
      <c r="B560" s="6">
        <v>555</v>
      </c>
      <c r="C560" s="6"/>
      <c r="D560" s="6"/>
      <c r="E560" s="6"/>
      <c r="F560" s="6"/>
      <c r="G560" s="7"/>
      <c r="H560" s="7"/>
      <c r="I560" s="7"/>
      <c r="J560" s="7"/>
      <c r="K560" s="10"/>
      <c r="L560" s="7"/>
      <c r="M560" s="7"/>
      <c r="N560" s="7"/>
      <c r="O560" s="13"/>
      <c r="P560" s="13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8"/>
      <c r="AI560" s="7"/>
      <c r="AJ560" s="7"/>
      <c r="AK560" s="7"/>
      <c r="AL560" s="10"/>
      <c r="AM560" s="7" t="e">
        <f>VLOOKUP(AL560,Personal!$A$2:$I$300,2,FALSE)</f>
        <v>#N/A</v>
      </c>
      <c r="AN560" s="7" t="e">
        <f>VLOOKUP(AL560,Personal!$A$2:$I$300,3,FALSE)</f>
        <v>#N/A</v>
      </c>
      <c r="AO560" s="7" t="e">
        <f>VLOOKUP(AL560,Personal!$A$2:$I$300,6,FALSE)</f>
        <v>#N/A</v>
      </c>
      <c r="AP560" s="7" t="e">
        <f>VLOOKUP(AL560,Personal!$A$2:$I$300,7,FALSE)</f>
        <v>#N/A</v>
      </c>
      <c r="AQ560" s="7" t="e">
        <f>VLOOKUP(AL560,Personal!$A$2:$I$300,8,FALSE)</f>
        <v>#N/A</v>
      </c>
      <c r="AR560" s="7"/>
    </row>
    <row r="561" spans="2:44" x14ac:dyDescent="0.3">
      <c r="B561" s="6">
        <v>556</v>
      </c>
      <c r="C561" s="6"/>
      <c r="D561" s="6"/>
      <c r="E561" s="6"/>
      <c r="F561" s="6"/>
      <c r="G561" s="7"/>
      <c r="H561" s="7"/>
      <c r="I561" s="7"/>
      <c r="J561" s="7"/>
      <c r="K561" s="10"/>
      <c r="L561" s="7"/>
      <c r="M561" s="7"/>
      <c r="N561" s="7"/>
      <c r="O561" s="13"/>
      <c r="P561" s="13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8"/>
      <c r="AI561" s="7"/>
      <c r="AJ561" s="7"/>
      <c r="AK561" s="7"/>
      <c r="AL561" s="10"/>
      <c r="AM561" s="7" t="e">
        <f>VLOOKUP(AL561,Personal!$A$2:$I$300,2,FALSE)</f>
        <v>#N/A</v>
      </c>
      <c r="AN561" s="7" t="e">
        <f>VLOOKUP(AL561,Personal!$A$2:$I$300,3,FALSE)</f>
        <v>#N/A</v>
      </c>
      <c r="AO561" s="7" t="e">
        <f>VLOOKUP(AL561,Personal!$A$2:$I$300,6,FALSE)</f>
        <v>#N/A</v>
      </c>
      <c r="AP561" s="7" t="e">
        <f>VLOOKUP(AL561,Personal!$A$2:$I$300,7,FALSE)</f>
        <v>#N/A</v>
      </c>
      <c r="AQ561" s="7" t="e">
        <f>VLOOKUP(AL561,Personal!$A$2:$I$300,8,FALSE)</f>
        <v>#N/A</v>
      </c>
      <c r="AR561" s="7"/>
    </row>
    <row r="562" spans="2:44" x14ac:dyDescent="0.3">
      <c r="B562" s="6">
        <v>557</v>
      </c>
      <c r="C562" s="6"/>
      <c r="D562" s="6"/>
      <c r="E562" s="6"/>
      <c r="F562" s="6"/>
      <c r="G562" s="7"/>
      <c r="H562" s="7"/>
      <c r="I562" s="7"/>
      <c r="J562" s="7"/>
      <c r="K562" s="10"/>
      <c r="L562" s="7"/>
      <c r="M562" s="7"/>
      <c r="N562" s="7"/>
      <c r="O562" s="13"/>
      <c r="P562" s="13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8"/>
      <c r="AI562" s="7"/>
      <c r="AJ562" s="7"/>
      <c r="AK562" s="7"/>
      <c r="AL562" s="10"/>
      <c r="AM562" s="7" t="e">
        <f>VLOOKUP(AL562,Personal!$A$2:$I$300,2,FALSE)</f>
        <v>#N/A</v>
      </c>
      <c r="AN562" s="7" t="e">
        <f>VLOOKUP(AL562,Personal!$A$2:$I$300,3,FALSE)</f>
        <v>#N/A</v>
      </c>
      <c r="AO562" s="7" t="e">
        <f>VLOOKUP(AL562,Personal!$A$2:$I$300,6,FALSE)</f>
        <v>#N/A</v>
      </c>
      <c r="AP562" s="7" t="e">
        <f>VLOOKUP(AL562,Personal!$A$2:$I$300,7,FALSE)</f>
        <v>#N/A</v>
      </c>
      <c r="AQ562" s="7" t="e">
        <f>VLOOKUP(AL562,Personal!$A$2:$I$300,8,FALSE)</f>
        <v>#N/A</v>
      </c>
      <c r="AR562" s="7"/>
    </row>
    <row r="563" spans="2:44" x14ac:dyDescent="0.3">
      <c r="B563" s="6">
        <v>558</v>
      </c>
      <c r="C563" s="6"/>
      <c r="D563" s="6"/>
      <c r="E563" s="6"/>
      <c r="F563" s="6"/>
      <c r="G563" s="7"/>
      <c r="H563" s="7"/>
      <c r="I563" s="7"/>
      <c r="J563" s="7"/>
      <c r="K563" s="10"/>
      <c r="L563" s="7"/>
      <c r="M563" s="7"/>
      <c r="N563" s="7"/>
      <c r="O563" s="13"/>
      <c r="P563" s="13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8"/>
      <c r="AI563" s="7"/>
      <c r="AJ563" s="7"/>
      <c r="AK563" s="7"/>
      <c r="AL563" s="10"/>
      <c r="AM563" s="7" t="e">
        <f>VLOOKUP(AL563,Personal!$A$2:$I$300,2,FALSE)</f>
        <v>#N/A</v>
      </c>
      <c r="AN563" s="7" t="e">
        <f>VLOOKUP(AL563,Personal!$A$2:$I$300,3,FALSE)</f>
        <v>#N/A</v>
      </c>
      <c r="AO563" s="7" t="e">
        <f>VLOOKUP(AL563,Personal!$A$2:$I$300,6,FALSE)</f>
        <v>#N/A</v>
      </c>
      <c r="AP563" s="7" t="e">
        <f>VLOOKUP(AL563,Personal!$A$2:$I$300,7,FALSE)</f>
        <v>#N/A</v>
      </c>
      <c r="AQ563" s="7" t="e">
        <f>VLOOKUP(AL563,Personal!$A$2:$I$300,8,FALSE)</f>
        <v>#N/A</v>
      </c>
      <c r="AR563" s="7"/>
    </row>
    <row r="564" spans="2:44" x14ac:dyDescent="0.3">
      <c r="B564" s="6">
        <v>559</v>
      </c>
      <c r="C564" s="6"/>
      <c r="D564" s="6"/>
      <c r="E564" s="6"/>
      <c r="F564" s="6"/>
      <c r="G564" s="7"/>
      <c r="H564" s="7"/>
      <c r="I564" s="7"/>
      <c r="J564" s="7"/>
      <c r="K564" s="10"/>
      <c r="L564" s="7"/>
      <c r="M564" s="7"/>
      <c r="N564" s="7"/>
      <c r="O564" s="13"/>
      <c r="P564" s="13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8"/>
      <c r="AI564" s="7"/>
      <c r="AJ564" s="7"/>
      <c r="AK564" s="7"/>
      <c r="AL564" s="10"/>
      <c r="AM564" s="7" t="e">
        <f>VLOOKUP(AL564,Personal!$A$2:$I$300,2,FALSE)</f>
        <v>#N/A</v>
      </c>
      <c r="AN564" s="7" t="e">
        <f>VLOOKUP(AL564,Personal!$A$2:$I$300,3,FALSE)</f>
        <v>#N/A</v>
      </c>
      <c r="AO564" s="7" t="e">
        <f>VLOOKUP(AL564,Personal!$A$2:$I$300,6,FALSE)</f>
        <v>#N/A</v>
      </c>
      <c r="AP564" s="7" t="e">
        <f>VLOOKUP(AL564,Personal!$A$2:$I$300,7,FALSE)</f>
        <v>#N/A</v>
      </c>
      <c r="AQ564" s="7" t="e">
        <f>VLOOKUP(AL564,Personal!$A$2:$I$300,8,FALSE)</f>
        <v>#N/A</v>
      </c>
      <c r="AR564" s="7"/>
    </row>
    <row r="565" spans="2:44" x14ac:dyDescent="0.3">
      <c r="B565" s="6">
        <v>560</v>
      </c>
      <c r="C565" s="6"/>
      <c r="D565" s="6"/>
      <c r="E565" s="6"/>
      <c r="F565" s="6"/>
      <c r="G565" s="7"/>
      <c r="H565" s="7"/>
      <c r="I565" s="7"/>
      <c r="J565" s="7"/>
      <c r="K565" s="10"/>
      <c r="L565" s="7"/>
      <c r="M565" s="7"/>
      <c r="N565" s="7"/>
      <c r="O565" s="13"/>
      <c r="P565" s="13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8"/>
      <c r="AI565" s="7"/>
      <c r="AJ565" s="7"/>
      <c r="AK565" s="7"/>
      <c r="AL565" s="10"/>
      <c r="AM565" s="7" t="e">
        <f>VLOOKUP(AL565,Personal!$A$2:$I$300,2,FALSE)</f>
        <v>#N/A</v>
      </c>
      <c r="AN565" s="7" t="e">
        <f>VLOOKUP(AL565,Personal!$A$2:$I$300,3,FALSE)</f>
        <v>#N/A</v>
      </c>
      <c r="AO565" s="7" t="e">
        <f>VLOOKUP(AL565,Personal!$A$2:$I$300,6,FALSE)</f>
        <v>#N/A</v>
      </c>
      <c r="AP565" s="7" t="e">
        <f>VLOOKUP(AL565,Personal!$A$2:$I$300,7,FALSE)</f>
        <v>#N/A</v>
      </c>
      <c r="AQ565" s="7" t="e">
        <f>VLOOKUP(AL565,Personal!$A$2:$I$300,8,FALSE)</f>
        <v>#N/A</v>
      </c>
      <c r="AR565" s="7"/>
    </row>
    <row r="566" spans="2:44" x14ac:dyDescent="0.3">
      <c r="B566" s="6">
        <v>561</v>
      </c>
      <c r="C566" s="6"/>
      <c r="D566" s="6"/>
      <c r="E566" s="6"/>
      <c r="F566" s="6"/>
      <c r="G566" s="7"/>
      <c r="H566" s="7"/>
      <c r="I566" s="7"/>
      <c r="J566" s="7"/>
      <c r="K566" s="10"/>
      <c r="L566" s="7"/>
      <c r="M566" s="7"/>
      <c r="N566" s="7"/>
      <c r="O566" s="13"/>
      <c r="P566" s="13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8"/>
      <c r="AI566" s="7"/>
      <c r="AJ566" s="7"/>
      <c r="AK566" s="7"/>
      <c r="AL566" s="10"/>
      <c r="AM566" s="7" t="e">
        <f>VLOOKUP(AL566,Personal!$A$2:$I$300,2,FALSE)</f>
        <v>#N/A</v>
      </c>
      <c r="AN566" s="7" t="e">
        <f>VLOOKUP(AL566,Personal!$A$2:$I$300,3,FALSE)</f>
        <v>#N/A</v>
      </c>
      <c r="AO566" s="7" t="e">
        <f>VLOOKUP(AL566,Personal!$A$2:$I$300,6,FALSE)</f>
        <v>#N/A</v>
      </c>
      <c r="AP566" s="7" t="e">
        <f>VLOOKUP(AL566,Personal!$A$2:$I$300,7,FALSE)</f>
        <v>#N/A</v>
      </c>
      <c r="AQ566" s="7" t="e">
        <f>VLOOKUP(AL566,Personal!$A$2:$I$300,8,FALSE)</f>
        <v>#N/A</v>
      </c>
      <c r="AR566" s="7"/>
    </row>
    <row r="567" spans="2:44" x14ac:dyDescent="0.3">
      <c r="B567" s="6">
        <v>562</v>
      </c>
      <c r="C567" s="6"/>
      <c r="D567" s="6"/>
      <c r="E567" s="6"/>
      <c r="F567" s="6"/>
      <c r="G567" s="7"/>
      <c r="H567" s="7"/>
      <c r="I567" s="7"/>
      <c r="J567" s="7"/>
      <c r="K567" s="10"/>
      <c r="L567" s="7"/>
      <c r="M567" s="7"/>
      <c r="N567" s="7"/>
      <c r="O567" s="13"/>
      <c r="P567" s="13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8"/>
      <c r="AI567" s="7"/>
      <c r="AJ567" s="7"/>
      <c r="AK567" s="7"/>
      <c r="AL567" s="10"/>
      <c r="AM567" s="7" t="e">
        <f>VLOOKUP(AL567,Personal!$A$2:$I$300,2,FALSE)</f>
        <v>#N/A</v>
      </c>
      <c r="AN567" s="7" t="e">
        <f>VLOOKUP(AL567,Personal!$A$2:$I$300,3,FALSE)</f>
        <v>#N/A</v>
      </c>
      <c r="AO567" s="7" t="e">
        <f>VLOOKUP(AL567,Personal!$A$2:$I$300,6,FALSE)</f>
        <v>#N/A</v>
      </c>
      <c r="AP567" s="7" t="e">
        <f>VLOOKUP(AL567,Personal!$A$2:$I$300,7,FALSE)</f>
        <v>#N/A</v>
      </c>
      <c r="AQ567" s="7" t="e">
        <f>VLOOKUP(AL567,Personal!$A$2:$I$300,8,FALSE)</f>
        <v>#N/A</v>
      </c>
      <c r="AR567" s="7"/>
    </row>
    <row r="568" spans="2:44" x14ac:dyDescent="0.3">
      <c r="B568" s="6">
        <v>563</v>
      </c>
      <c r="C568" s="6"/>
      <c r="D568" s="6"/>
      <c r="E568" s="6"/>
      <c r="F568" s="6"/>
      <c r="G568" s="7"/>
      <c r="H568" s="7"/>
      <c r="I568" s="7"/>
      <c r="J568" s="7"/>
      <c r="K568" s="10"/>
      <c r="L568" s="7"/>
      <c r="M568" s="7"/>
      <c r="N568" s="7"/>
      <c r="O568" s="13"/>
      <c r="P568" s="13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8"/>
      <c r="AI568" s="7"/>
      <c r="AJ568" s="7"/>
      <c r="AK568" s="7"/>
      <c r="AL568" s="10"/>
      <c r="AM568" s="7" t="e">
        <f>VLOOKUP(AL568,Personal!$A$2:$I$300,2,FALSE)</f>
        <v>#N/A</v>
      </c>
      <c r="AN568" s="7" t="e">
        <f>VLOOKUP(AL568,Personal!$A$2:$I$300,3,FALSE)</f>
        <v>#N/A</v>
      </c>
      <c r="AO568" s="7" t="e">
        <f>VLOOKUP(AL568,Personal!$A$2:$I$300,6,FALSE)</f>
        <v>#N/A</v>
      </c>
      <c r="AP568" s="7" t="e">
        <f>VLOOKUP(AL568,Personal!$A$2:$I$300,7,FALSE)</f>
        <v>#N/A</v>
      </c>
      <c r="AQ568" s="7" t="e">
        <f>VLOOKUP(AL568,Personal!$A$2:$I$300,8,FALSE)</f>
        <v>#N/A</v>
      </c>
      <c r="AR568" s="7"/>
    </row>
    <row r="569" spans="2:44" x14ac:dyDescent="0.3">
      <c r="B569" s="6">
        <v>564</v>
      </c>
      <c r="C569" s="6"/>
      <c r="D569" s="6"/>
      <c r="E569" s="6"/>
      <c r="F569" s="6"/>
      <c r="G569" s="7"/>
      <c r="H569" s="7"/>
      <c r="I569" s="7"/>
      <c r="J569" s="7"/>
      <c r="K569" s="10"/>
      <c r="L569" s="7"/>
      <c r="M569" s="7"/>
      <c r="N569" s="7"/>
      <c r="O569" s="13"/>
      <c r="P569" s="13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8"/>
      <c r="AI569" s="7"/>
      <c r="AJ569" s="7"/>
      <c r="AK569" s="7"/>
      <c r="AL569" s="10"/>
      <c r="AM569" s="7" t="e">
        <f>VLOOKUP(AL569,Personal!$A$2:$I$300,2,FALSE)</f>
        <v>#N/A</v>
      </c>
      <c r="AN569" s="7" t="e">
        <f>VLOOKUP(AL569,Personal!$A$2:$I$300,3,FALSE)</f>
        <v>#N/A</v>
      </c>
      <c r="AO569" s="7" t="e">
        <f>VLOOKUP(AL569,Personal!$A$2:$I$300,6,FALSE)</f>
        <v>#N/A</v>
      </c>
      <c r="AP569" s="7" t="e">
        <f>VLOOKUP(AL569,Personal!$A$2:$I$300,7,FALSE)</f>
        <v>#N/A</v>
      </c>
      <c r="AQ569" s="7" t="e">
        <f>VLOOKUP(AL569,Personal!$A$2:$I$300,8,FALSE)</f>
        <v>#N/A</v>
      </c>
      <c r="AR569" s="7"/>
    </row>
    <row r="570" spans="2:44" x14ac:dyDescent="0.3">
      <c r="B570" s="6">
        <v>565</v>
      </c>
      <c r="C570" s="6"/>
      <c r="D570" s="6"/>
      <c r="E570" s="6"/>
      <c r="F570" s="6"/>
      <c r="G570" s="7"/>
      <c r="H570" s="7"/>
      <c r="I570" s="7"/>
      <c r="J570" s="7"/>
      <c r="K570" s="10"/>
      <c r="L570" s="7"/>
      <c r="M570" s="7"/>
      <c r="N570" s="7"/>
      <c r="O570" s="13"/>
      <c r="P570" s="13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8"/>
      <c r="AI570" s="7"/>
      <c r="AJ570" s="7"/>
      <c r="AK570" s="7"/>
      <c r="AL570" s="10"/>
      <c r="AM570" s="7" t="e">
        <f>VLOOKUP(AL570,Personal!$A$2:$I$300,2,FALSE)</f>
        <v>#N/A</v>
      </c>
      <c r="AN570" s="7" t="e">
        <f>VLOOKUP(AL570,Personal!$A$2:$I$300,3,FALSE)</f>
        <v>#N/A</v>
      </c>
      <c r="AO570" s="7" t="e">
        <f>VLOOKUP(AL570,Personal!$A$2:$I$300,6,FALSE)</f>
        <v>#N/A</v>
      </c>
      <c r="AP570" s="7" t="e">
        <f>VLOOKUP(AL570,Personal!$A$2:$I$300,7,FALSE)</f>
        <v>#N/A</v>
      </c>
      <c r="AQ570" s="7" t="e">
        <f>VLOOKUP(AL570,Personal!$A$2:$I$300,8,FALSE)</f>
        <v>#N/A</v>
      </c>
      <c r="AR570" s="7"/>
    </row>
    <row r="571" spans="2:44" x14ac:dyDescent="0.3">
      <c r="B571" s="6">
        <v>566</v>
      </c>
      <c r="C571" s="6"/>
      <c r="D571" s="6"/>
      <c r="E571" s="6"/>
      <c r="F571" s="6"/>
      <c r="G571" s="7"/>
      <c r="H571" s="7"/>
      <c r="I571" s="7"/>
      <c r="J571" s="7"/>
      <c r="K571" s="10"/>
      <c r="L571" s="7"/>
      <c r="M571" s="7"/>
      <c r="N571" s="7"/>
      <c r="O571" s="13"/>
      <c r="P571" s="13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8"/>
      <c r="AI571" s="7"/>
      <c r="AJ571" s="7"/>
      <c r="AK571" s="7"/>
      <c r="AL571" s="10"/>
      <c r="AM571" s="7" t="e">
        <f>VLOOKUP(AL571,Personal!$A$2:$I$300,2,FALSE)</f>
        <v>#N/A</v>
      </c>
      <c r="AN571" s="7" t="e">
        <f>VLOOKUP(AL571,Personal!$A$2:$I$300,3,FALSE)</f>
        <v>#N/A</v>
      </c>
      <c r="AO571" s="7" t="e">
        <f>VLOOKUP(AL571,Personal!$A$2:$I$300,6,FALSE)</f>
        <v>#N/A</v>
      </c>
      <c r="AP571" s="7" t="e">
        <f>VLOOKUP(AL571,Personal!$A$2:$I$300,7,FALSE)</f>
        <v>#N/A</v>
      </c>
      <c r="AQ571" s="7" t="e">
        <f>VLOOKUP(AL571,Personal!$A$2:$I$300,8,FALSE)</f>
        <v>#N/A</v>
      </c>
      <c r="AR571" s="7"/>
    </row>
    <row r="572" spans="2:44" x14ac:dyDescent="0.3">
      <c r="B572" s="6">
        <v>567</v>
      </c>
      <c r="C572" s="6"/>
      <c r="D572" s="6"/>
      <c r="E572" s="6"/>
      <c r="F572" s="6"/>
      <c r="G572" s="7"/>
      <c r="H572" s="7"/>
      <c r="I572" s="7"/>
      <c r="J572" s="7"/>
      <c r="K572" s="10"/>
      <c r="L572" s="7"/>
      <c r="M572" s="7"/>
      <c r="N572" s="7"/>
      <c r="O572" s="13"/>
      <c r="P572" s="13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8"/>
      <c r="AI572" s="7"/>
      <c r="AJ572" s="7"/>
      <c r="AK572" s="7"/>
      <c r="AL572" s="10"/>
      <c r="AM572" s="7" t="e">
        <f>VLOOKUP(AL572,Personal!$A$2:$I$300,2,FALSE)</f>
        <v>#N/A</v>
      </c>
      <c r="AN572" s="7" t="e">
        <f>VLOOKUP(AL572,Personal!$A$2:$I$300,3,FALSE)</f>
        <v>#N/A</v>
      </c>
      <c r="AO572" s="7" t="e">
        <f>VLOOKUP(AL572,Personal!$A$2:$I$300,6,FALSE)</f>
        <v>#N/A</v>
      </c>
      <c r="AP572" s="7" t="e">
        <f>VLOOKUP(AL572,Personal!$A$2:$I$300,7,FALSE)</f>
        <v>#N/A</v>
      </c>
      <c r="AQ572" s="7" t="e">
        <f>VLOOKUP(AL572,Personal!$A$2:$I$300,8,FALSE)</f>
        <v>#N/A</v>
      </c>
      <c r="AR572" s="7"/>
    </row>
    <row r="573" spans="2:44" x14ac:dyDescent="0.3">
      <c r="B573" s="6">
        <v>568</v>
      </c>
      <c r="C573" s="6"/>
      <c r="D573" s="6"/>
      <c r="E573" s="6"/>
      <c r="F573" s="6"/>
      <c r="G573" s="7"/>
      <c r="H573" s="7"/>
      <c r="I573" s="7"/>
      <c r="J573" s="7"/>
      <c r="K573" s="10"/>
      <c r="L573" s="7"/>
      <c r="M573" s="7"/>
      <c r="N573" s="7"/>
      <c r="O573" s="13"/>
      <c r="P573" s="13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8"/>
      <c r="AI573" s="7"/>
      <c r="AJ573" s="7"/>
      <c r="AK573" s="7"/>
      <c r="AL573" s="10"/>
      <c r="AM573" s="7" t="e">
        <f>VLOOKUP(AL573,Personal!$A$2:$I$300,2,FALSE)</f>
        <v>#N/A</v>
      </c>
      <c r="AN573" s="7" t="e">
        <f>VLOOKUP(AL573,Personal!$A$2:$I$300,3,FALSE)</f>
        <v>#N/A</v>
      </c>
      <c r="AO573" s="7" t="e">
        <f>VLOOKUP(AL573,Personal!$A$2:$I$300,6,FALSE)</f>
        <v>#N/A</v>
      </c>
      <c r="AP573" s="7" t="e">
        <f>VLOOKUP(AL573,Personal!$A$2:$I$300,7,FALSE)</f>
        <v>#N/A</v>
      </c>
      <c r="AQ573" s="7" t="e">
        <f>VLOOKUP(AL573,Personal!$A$2:$I$300,8,FALSE)</f>
        <v>#N/A</v>
      </c>
      <c r="AR573" s="7"/>
    </row>
    <row r="574" spans="2:44" x14ac:dyDescent="0.3">
      <c r="B574" s="6">
        <v>569</v>
      </c>
      <c r="C574" s="6"/>
      <c r="D574" s="6"/>
      <c r="E574" s="6"/>
      <c r="F574" s="6"/>
      <c r="G574" s="7"/>
      <c r="H574" s="7"/>
      <c r="I574" s="7"/>
      <c r="J574" s="7"/>
      <c r="K574" s="10"/>
      <c r="L574" s="7"/>
      <c r="M574" s="7"/>
      <c r="N574" s="7"/>
      <c r="O574" s="13"/>
      <c r="P574" s="13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8"/>
      <c r="AI574" s="7"/>
      <c r="AJ574" s="7"/>
      <c r="AK574" s="7"/>
      <c r="AL574" s="10"/>
      <c r="AM574" s="7" t="e">
        <f>VLOOKUP(AL574,Personal!$A$2:$I$300,2,FALSE)</f>
        <v>#N/A</v>
      </c>
      <c r="AN574" s="7" t="e">
        <f>VLOOKUP(AL574,Personal!$A$2:$I$300,3,FALSE)</f>
        <v>#N/A</v>
      </c>
      <c r="AO574" s="7" t="e">
        <f>VLOOKUP(AL574,Personal!$A$2:$I$300,6,FALSE)</f>
        <v>#N/A</v>
      </c>
      <c r="AP574" s="7" t="e">
        <f>VLOOKUP(AL574,Personal!$A$2:$I$300,7,FALSE)</f>
        <v>#N/A</v>
      </c>
      <c r="AQ574" s="7" t="e">
        <f>VLOOKUP(AL574,Personal!$A$2:$I$300,8,FALSE)</f>
        <v>#N/A</v>
      </c>
      <c r="AR574" s="7"/>
    </row>
    <row r="575" spans="2:44" x14ac:dyDescent="0.3">
      <c r="B575" s="6">
        <v>570</v>
      </c>
      <c r="C575" s="6"/>
      <c r="D575" s="6"/>
      <c r="E575" s="6"/>
      <c r="F575" s="6"/>
      <c r="G575" s="7"/>
      <c r="H575" s="7"/>
      <c r="I575" s="7"/>
      <c r="J575" s="7"/>
      <c r="K575" s="10"/>
      <c r="L575" s="7"/>
      <c r="M575" s="7"/>
      <c r="N575" s="7"/>
      <c r="O575" s="13"/>
      <c r="P575" s="13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8"/>
      <c r="AI575" s="7"/>
      <c r="AJ575" s="7"/>
      <c r="AK575" s="7"/>
      <c r="AL575" s="10"/>
      <c r="AM575" s="7" t="e">
        <f>VLOOKUP(AL575,Personal!$A$2:$I$300,2,FALSE)</f>
        <v>#N/A</v>
      </c>
      <c r="AN575" s="7" t="e">
        <f>VLOOKUP(AL575,Personal!$A$2:$I$300,3,FALSE)</f>
        <v>#N/A</v>
      </c>
      <c r="AO575" s="7" t="e">
        <f>VLOOKUP(AL575,Personal!$A$2:$I$300,6,FALSE)</f>
        <v>#N/A</v>
      </c>
      <c r="AP575" s="7" t="e">
        <f>VLOOKUP(AL575,Personal!$A$2:$I$300,7,FALSE)</f>
        <v>#N/A</v>
      </c>
      <c r="AQ575" s="7" t="e">
        <f>VLOOKUP(AL575,Personal!$A$2:$I$300,8,FALSE)</f>
        <v>#N/A</v>
      </c>
      <c r="AR575" s="7"/>
    </row>
    <row r="576" spans="2:44" x14ac:dyDescent="0.3">
      <c r="B576" s="6">
        <v>571</v>
      </c>
      <c r="C576" s="6"/>
      <c r="D576" s="6"/>
      <c r="E576" s="6"/>
      <c r="F576" s="6"/>
      <c r="G576" s="7"/>
      <c r="H576" s="7"/>
      <c r="I576" s="7"/>
      <c r="J576" s="7"/>
      <c r="K576" s="10"/>
      <c r="L576" s="7"/>
      <c r="M576" s="7"/>
      <c r="N576" s="7"/>
      <c r="O576" s="13"/>
      <c r="P576" s="13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8"/>
      <c r="AI576" s="7"/>
      <c r="AJ576" s="7"/>
      <c r="AK576" s="7"/>
      <c r="AL576" s="10"/>
      <c r="AM576" s="7" t="e">
        <f>VLOOKUP(AL576,Personal!$A$2:$I$300,2,FALSE)</f>
        <v>#N/A</v>
      </c>
      <c r="AN576" s="7" t="e">
        <f>VLOOKUP(AL576,Personal!$A$2:$I$300,3,FALSE)</f>
        <v>#N/A</v>
      </c>
      <c r="AO576" s="7" t="e">
        <f>VLOOKUP(AL576,Personal!$A$2:$I$300,6,FALSE)</f>
        <v>#N/A</v>
      </c>
      <c r="AP576" s="7" t="e">
        <f>VLOOKUP(AL576,Personal!$A$2:$I$300,7,FALSE)</f>
        <v>#N/A</v>
      </c>
      <c r="AQ576" s="7" t="e">
        <f>VLOOKUP(AL576,Personal!$A$2:$I$300,8,FALSE)</f>
        <v>#N/A</v>
      </c>
      <c r="AR576" s="7"/>
    </row>
    <row r="577" spans="2:44" x14ac:dyDescent="0.3">
      <c r="B577" s="6">
        <v>572</v>
      </c>
      <c r="C577" s="6"/>
      <c r="D577" s="6"/>
      <c r="E577" s="6"/>
      <c r="F577" s="6"/>
      <c r="G577" s="7"/>
      <c r="H577" s="7"/>
      <c r="I577" s="7"/>
      <c r="J577" s="7"/>
      <c r="K577" s="10"/>
      <c r="L577" s="7"/>
      <c r="M577" s="7"/>
      <c r="N577" s="7"/>
      <c r="O577" s="13"/>
      <c r="P577" s="13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8"/>
      <c r="AI577" s="7"/>
      <c r="AJ577" s="7"/>
      <c r="AK577" s="7"/>
      <c r="AL577" s="10"/>
      <c r="AM577" s="7" t="e">
        <f>VLOOKUP(AL577,Personal!$A$2:$I$300,2,FALSE)</f>
        <v>#N/A</v>
      </c>
      <c r="AN577" s="7" t="e">
        <f>VLOOKUP(AL577,Personal!$A$2:$I$300,3,FALSE)</f>
        <v>#N/A</v>
      </c>
      <c r="AO577" s="7" t="e">
        <f>VLOOKUP(AL577,Personal!$A$2:$I$300,6,FALSE)</f>
        <v>#N/A</v>
      </c>
      <c r="AP577" s="7" t="e">
        <f>VLOOKUP(AL577,Personal!$A$2:$I$300,7,FALSE)</f>
        <v>#N/A</v>
      </c>
      <c r="AQ577" s="7" t="e">
        <f>VLOOKUP(AL577,Personal!$A$2:$I$300,8,FALSE)</f>
        <v>#N/A</v>
      </c>
      <c r="AR577" s="7"/>
    </row>
    <row r="578" spans="2:44" x14ac:dyDescent="0.3">
      <c r="B578" s="6">
        <v>573</v>
      </c>
      <c r="C578" s="6"/>
      <c r="D578" s="6"/>
      <c r="E578" s="6"/>
      <c r="F578" s="6"/>
      <c r="G578" s="7"/>
      <c r="H578" s="7"/>
      <c r="I578" s="7"/>
      <c r="J578" s="7"/>
      <c r="K578" s="10"/>
      <c r="L578" s="7"/>
      <c r="M578" s="7"/>
      <c r="N578" s="7"/>
      <c r="O578" s="13"/>
      <c r="P578" s="13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8"/>
      <c r="AI578" s="7"/>
      <c r="AJ578" s="7"/>
      <c r="AK578" s="7"/>
      <c r="AL578" s="10"/>
      <c r="AM578" s="7" t="e">
        <f>VLOOKUP(AL578,Personal!$A$2:$I$300,2,FALSE)</f>
        <v>#N/A</v>
      </c>
      <c r="AN578" s="7" t="e">
        <f>VLOOKUP(AL578,Personal!$A$2:$I$300,3,FALSE)</f>
        <v>#N/A</v>
      </c>
      <c r="AO578" s="7" t="e">
        <f>VLOOKUP(AL578,Personal!$A$2:$I$300,6,FALSE)</f>
        <v>#N/A</v>
      </c>
      <c r="AP578" s="7" t="e">
        <f>VLOOKUP(AL578,Personal!$A$2:$I$300,7,FALSE)</f>
        <v>#N/A</v>
      </c>
      <c r="AQ578" s="7" t="e">
        <f>VLOOKUP(AL578,Personal!$A$2:$I$300,8,FALSE)</f>
        <v>#N/A</v>
      </c>
      <c r="AR578" s="7"/>
    </row>
    <row r="579" spans="2:44" x14ac:dyDescent="0.3">
      <c r="B579" s="6">
        <v>574</v>
      </c>
      <c r="C579" s="6"/>
      <c r="D579" s="6"/>
      <c r="E579" s="6"/>
      <c r="F579" s="6"/>
      <c r="G579" s="7"/>
      <c r="H579" s="7"/>
      <c r="I579" s="7"/>
      <c r="J579" s="7"/>
      <c r="K579" s="10"/>
      <c r="L579" s="7"/>
      <c r="M579" s="7"/>
      <c r="N579" s="7"/>
      <c r="O579" s="13"/>
      <c r="P579" s="13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8"/>
      <c r="AI579" s="7"/>
      <c r="AJ579" s="7"/>
      <c r="AK579" s="7"/>
      <c r="AL579" s="10"/>
      <c r="AM579" s="7" t="e">
        <f>VLOOKUP(AL579,Personal!$A$2:$I$300,2,FALSE)</f>
        <v>#N/A</v>
      </c>
      <c r="AN579" s="7" t="e">
        <f>VLOOKUP(AL579,Personal!$A$2:$I$300,3,FALSE)</f>
        <v>#N/A</v>
      </c>
      <c r="AO579" s="7" t="e">
        <f>VLOOKUP(AL579,Personal!$A$2:$I$300,6,FALSE)</f>
        <v>#N/A</v>
      </c>
      <c r="AP579" s="7" t="e">
        <f>VLOOKUP(AL579,Personal!$A$2:$I$300,7,FALSE)</f>
        <v>#N/A</v>
      </c>
      <c r="AQ579" s="7" t="e">
        <f>VLOOKUP(AL579,Personal!$A$2:$I$300,8,FALSE)</f>
        <v>#N/A</v>
      </c>
      <c r="AR579" s="7"/>
    </row>
    <row r="580" spans="2:44" x14ac:dyDescent="0.3">
      <c r="B580" s="6">
        <v>575</v>
      </c>
      <c r="C580" s="6"/>
      <c r="D580" s="6"/>
      <c r="E580" s="6"/>
      <c r="F580" s="6"/>
      <c r="G580" s="7"/>
      <c r="H580" s="7"/>
      <c r="I580" s="7"/>
      <c r="J580" s="7"/>
      <c r="K580" s="10"/>
      <c r="L580" s="7"/>
      <c r="M580" s="7"/>
      <c r="N580" s="7"/>
      <c r="O580" s="13"/>
      <c r="P580" s="13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8"/>
      <c r="AI580" s="7"/>
      <c r="AJ580" s="7"/>
      <c r="AK580" s="7"/>
      <c r="AL580" s="10"/>
      <c r="AM580" s="7" t="e">
        <f>VLOOKUP(AL580,Personal!$A$2:$I$300,2,FALSE)</f>
        <v>#N/A</v>
      </c>
      <c r="AN580" s="7" t="e">
        <f>VLOOKUP(AL580,Personal!$A$2:$I$300,3,FALSE)</f>
        <v>#N/A</v>
      </c>
      <c r="AO580" s="7" t="e">
        <f>VLOOKUP(AL580,Personal!$A$2:$I$300,6,FALSE)</f>
        <v>#N/A</v>
      </c>
      <c r="AP580" s="7" t="e">
        <f>VLOOKUP(AL580,Personal!$A$2:$I$300,7,FALSE)</f>
        <v>#N/A</v>
      </c>
      <c r="AQ580" s="7" t="e">
        <f>VLOOKUP(AL580,Personal!$A$2:$I$300,8,FALSE)</f>
        <v>#N/A</v>
      </c>
      <c r="AR580" s="7"/>
    </row>
    <row r="581" spans="2:44" x14ac:dyDescent="0.3">
      <c r="B581" s="6">
        <v>576</v>
      </c>
      <c r="C581" s="6"/>
      <c r="D581" s="6"/>
      <c r="E581" s="6"/>
      <c r="F581" s="6"/>
      <c r="G581" s="7"/>
      <c r="H581" s="7"/>
      <c r="I581" s="7"/>
      <c r="J581" s="7"/>
      <c r="K581" s="10"/>
      <c r="L581" s="7"/>
      <c r="M581" s="7"/>
      <c r="N581" s="7"/>
      <c r="O581" s="13"/>
      <c r="P581" s="13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8"/>
      <c r="AI581" s="7"/>
      <c r="AJ581" s="7"/>
      <c r="AK581" s="7"/>
      <c r="AL581" s="10"/>
      <c r="AM581" s="7" t="e">
        <f>VLOOKUP(AL581,Personal!$A$2:$I$300,2,FALSE)</f>
        <v>#N/A</v>
      </c>
      <c r="AN581" s="7" t="e">
        <f>VLOOKUP(AL581,Personal!$A$2:$I$300,3,FALSE)</f>
        <v>#N/A</v>
      </c>
      <c r="AO581" s="7" t="e">
        <f>VLOOKUP(AL581,Personal!$A$2:$I$300,6,FALSE)</f>
        <v>#N/A</v>
      </c>
      <c r="AP581" s="7" t="e">
        <f>VLOOKUP(AL581,Personal!$A$2:$I$300,7,FALSE)</f>
        <v>#N/A</v>
      </c>
      <c r="AQ581" s="7" t="e">
        <f>VLOOKUP(AL581,Personal!$A$2:$I$300,8,FALSE)</f>
        <v>#N/A</v>
      </c>
      <c r="AR581" s="7"/>
    </row>
    <row r="582" spans="2:44" x14ac:dyDescent="0.3">
      <c r="B582" s="6">
        <v>577</v>
      </c>
      <c r="C582" s="6"/>
      <c r="D582" s="6"/>
      <c r="E582" s="6"/>
      <c r="F582" s="6"/>
      <c r="G582" s="7"/>
      <c r="H582" s="7"/>
      <c r="I582" s="7"/>
      <c r="J582" s="7"/>
      <c r="K582" s="10"/>
      <c r="L582" s="7"/>
      <c r="M582" s="7"/>
      <c r="N582" s="7"/>
      <c r="O582" s="13"/>
      <c r="P582" s="13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8"/>
      <c r="AI582" s="7"/>
      <c r="AJ582" s="7"/>
      <c r="AK582" s="7"/>
      <c r="AL582" s="10"/>
      <c r="AM582" s="7" t="e">
        <f>VLOOKUP(AL582,Personal!$A$2:$I$300,2,FALSE)</f>
        <v>#N/A</v>
      </c>
      <c r="AN582" s="7" t="e">
        <f>VLOOKUP(AL582,Personal!$A$2:$I$300,3,FALSE)</f>
        <v>#N/A</v>
      </c>
      <c r="AO582" s="7" t="e">
        <f>VLOOKUP(AL582,Personal!$A$2:$I$300,6,FALSE)</f>
        <v>#N/A</v>
      </c>
      <c r="AP582" s="7" t="e">
        <f>VLOOKUP(AL582,Personal!$A$2:$I$300,7,FALSE)</f>
        <v>#N/A</v>
      </c>
      <c r="AQ582" s="7" t="e">
        <f>VLOOKUP(AL582,Personal!$A$2:$I$300,8,FALSE)</f>
        <v>#N/A</v>
      </c>
      <c r="AR582" s="7"/>
    </row>
    <row r="583" spans="2:44" x14ac:dyDescent="0.3">
      <c r="B583" s="6">
        <v>578</v>
      </c>
      <c r="C583" s="6"/>
      <c r="D583" s="6"/>
      <c r="E583" s="6"/>
      <c r="F583" s="6"/>
      <c r="G583" s="7"/>
      <c r="H583" s="7"/>
      <c r="I583" s="7"/>
      <c r="J583" s="7"/>
      <c r="K583" s="10"/>
      <c r="L583" s="7"/>
      <c r="M583" s="7"/>
      <c r="N583" s="7"/>
      <c r="O583" s="13"/>
      <c r="P583" s="13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8"/>
      <c r="AI583" s="7"/>
      <c r="AJ583" s="7"/>
      <c r="AK583" s="7"/>
      <c r="AL583" s="10"/>
      <c r="AM583" s="7" t="e">
        <f>VLOOKUP(AL583,Personal!$A$2:$I$300,2,FALSE)</f>
        <v>#N/A</v>
      </c>
      <c r="AN583" s="7" t="e">
        <f>VLOOKUP(AL583,Personal!$A$2:$I$300,3,FALSE)</f>
        <v>#N/A</v>
      </c>
      <c r="AO583" s="7" t="e">
        <f>VLOOKUP(AL583,Personal!$A$2:$I$300,6,FALSE)</f>
        <v>#N/A</v>
      </c>
      <c r="AP583" s="7" t="e">
        <f>VLOOKUP(AL583,Personal!$A$2:$I$300,7,FALSE)</f>
        <v>#N/A</v>
      </c>
      <c r="AQ583" s="7" t="e">
        <f>VLOOKUP(AL583,Personal!$A$2:$I$300,8,FALSE)</f>
        <v>#N/A</v>
      </c>
      <c r="AR583" s="7"/>
    </row>
    <row r="584" spans="2:44" x14ac:dyDescent="0.3">
      <c r="B584" s="6">
        <v>579</v>
      </c>
      <c r="C584" s="6"/>
      <c r="D584" s="6"/>
      <c r="E584" s="6"/>
      <c r="F584" s="6"/>
      <c r="G584" s="7"/>
      <c r="H584" s="7"/>
      <c r="I584" s="7"/>
      <c r="J584" s="7"/>
      <c r="K584" s="10"/>
      <c r="L584" s="7"/>
      <c r="M584" s="7"/>
      <c r="N584" s="7"/>
      <c r="O584" s="13"/>
      <c r="P584" s="13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8"/>
      <c r="AI584" s="7"/>
      <c r="AJ584" s="7"/>
      <c r="AK584" s="7"/>
      <c r="AL584" s="10"/>
      <c r="AM584" s="7" t="e">
        <f>VLOOKUP(AL584,Personal!$A$2:$I$300,2,FALSE)</f>
        <v>#N/A</v>
      </c>
      <c r="AN584" s="7" t="e">
        <f>VLOOKUP(AL584,Personal!$A$2:$I$300,3,FALSE)</f>
        <v>#N/A</v>
      </c>
      <c r="AO584" s="7" t="e">
        <f>VLOOKUP(AL584,Personal!$A$2:$I$300,6,FALSE)</f>
        <v>#N/A</v>
      </c>
      <c r="AP584" s="7" t="e">
        <f>VLOOKUP(AL584,Personal!$A$2:$I$300,7,FALSE)</f>
        <v>#N/A</v>
      </c>
      <c r="AQ584" s="7" t="e">
        <f>VLOOKUP(AL584,Personal!$A$2:$I$300,8,FALSE)</f>
        <v>#N/A</v>
      </c>
      <c r="AR584" s="7"/>
    </row>
    <row r="585" spans="2:44" x14ac:dyDescent="0.3">
      <c r="B585" s="6">
        <v>580</v>
      </c>
      <c r="C585" s="6"/>
      <c r="D585" s="6"/>
      <c r="E585" s="6"/>
      <c r="F585" s="6"/>
      <c r="G585" s="7"/>
      <c r="H585" s="7"/>
      <c r="I585" s="7"/>
      <c r="J585" s="7"/>
      <c r="K585" s="10"/>
      <c r="L585" s="7"/>
      <c r="M585" s="7"/>
      <c r="N585" s="7"/>
      <c r="O585" s="13"/>
      <c r="P585" s="13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8"/>
      <c r="AI585" s="7"/>
      <c r="AJ585" s="7"/>
      <c r="AK585" s="7"/>
      <c r="AL585" s="10"/>
      <c r="AM585" s="7" t="e">
        <f>VLOOKUP(AL585,Personal!$A$2:$I$300,2,FALSE)</f>
        <v>#N/A</v>
      </c>
      <c r="AN585" s="7" t="e">
        <f>VLOOKUP(AL585,Personal!$A$2:$I$300,3,FALSE)</f>
        <v>#N/A</v>
      </c>
      <c r="AO585" s="7" t="e">
        <f>VLOOKUP(AL585,Personal!$A$2:$I$300,6,FALSE)</f>
        <v>#N/A</v>
      </c>
      <c r="AP585" s="7" t="e">
        <f>VLOOKUP(AL585,Personal!$A$2:$I$300,7,FALSE)</f>
        <v>#N/A</v>
      </c>
      <c r="AQ585" s="7" t="e">
        <f>VLOOKUP(AL585,Personal!$A$2:$I$300,8,FALSE)</f>
        <v>#N/A</v>
      </c>
      <c r="AR585" s="7"/>
    </row>
    <row r="586" spans="2:44" x14ac:dyDescent="0.3">
      <c r="B586" s="6">
        <v>581</v>
      </c>
      <c r="C586" s="6"/>
      <c r="D586" s="6"/>
      <c r="E586" s="6"/>
      <c r="F586" s="6"/>
      <c r="G586" s="7"/>
      <c r="H586" s="7"/>
      <c r="I586" s="7"/>
      <c r="J586" s="7"/>
      <c r="K586" s="10"/>
      <c r="L586" s="7"/>
      <c r="M586" s="7"/>
      <c r="N586" s="7"/>
      <c r="O586" s="13"/>
      <c r="P586" s="13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8"/>
      <c r="AI586" s="7"/>
      <c r="AJ586" s="7"/>
      <c r="AK586" s="7"/>
      <c r="AL586" s="10"/>
      <c r="AM586" s="7" t="e">
        <f>VLOOKUP(AL586,Personal!$A$2:$I$300,2,FALSE)</f>
        <v>#N/A</v>
      </c>
      <c r="AN586" s="7" t="e">
        <f>VLOOKUP(AL586,Personal!$A$2:$I$300,3,FALSE)</f>
        <v>#N/A</v>
      </c>
      <c r="AO586" s="7" t="e">
        <f>VLOOKUP(AL586,Personal!$A$2:$I$300,6,FALSE)</f>
        <v>#N/A</v>
      </c>
      <c r="AP586" s="7" t="e">
        <f>VLOOKUP(AL586,Personal!$A$2:$I$300,7,FALSE)</f>
        <v>#N/A</v>
      </c>
      <c r="AQ586" s="7" t="e">
        <f>VLOOKUP(AL586,Personal!$A$2:$I$300,8,FALSE)</f>
        <v>#N/A</v>
      </c>
      <c r="AR586" s="7"/>
    </row>
    <row r="587" spans="2:44" x14ac:dyDescent="0.3">
      <c r="B587" s="6">
        <v>582</v>
      </c>
      <c r="C587" s="6"/>
      <c r="D587" s="6"/>
      <c r="E587" s="6"/>
      <c r="F587" s="6"/>
      <c r="G587" s="7"/>
      <c r="H587" s="7"/>
      <c r="I587" s="7"/>
      <c r="J587" s="7"/>
      <c r="K587" s="10"/>
      <c r="L587" s="7"/>
      <c r="M587" s="7"/>
      <c r="N587" s="7"/>
      <c r="O587" s="13"/>
      <c r="P587" s="13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8"/>
      <c r="AI587" s="7"/>
      <c r="AJ587" s="7"/>
      <c r="AK587" s="7"/>
      <c r="AL587" s="10"/>
      <c r="AM587" s="7" t="e">
        <f>VLOOKUP(AL587,Personal!$A$2:$I$300,2,FALSE)</f>
        <v>#N/A</v>
      </c>
      <c r="AN587" s="7" t="e">
        <f>VLOOKUP(AL587,Personal!$A$2:$I$300,3,FALSE)</f>
        <v>#N/A</v>
      </c>
      <c r="AO587" s="7" t="e">
        <f>VLOOKUP(AL587,Personal!$A$2:$I$300,6,FALSE)</f>
        <v>#N/A</v>
      </c>
      <c r="AP587" s="7" t="e">
        <f>VLOOKUP(AL587,Personal!$A$2:$I$300,7,FALSE)</f>
        <v>#N/A</v>
      </c>
      <c r="AQ587" s="7" t="e">
        <f>VLOOKUP(AL587,Personal!$A$2:$I$300,8,FALSE)</f>
        <v>#N/A</v>
      </c>
      <c r="AR587" s="7"/>
    </row>
    <row r="588" spans="2:44" x14ac:dyDescent="0.3">
      <c r="B588" s="6">
        <v>583</v>
      </c>
      <c r="C588" s="6"/>
      <c r="D588" s="6"/>
      <c r="E588" s="6"/>
      <c r="F588" s="6"/>
      <c r="G588" s="7"/>
      <c r="H588" s="7"/>
      <c r="I588" s="7"/>
      <c r="J588" s="7"/>
      <c r="K588" s="10"/>
      <c r="L588" s="7"/>
      <c r="M588" s="7"/>
      <c r="N588" s="7"/>
      <c r="O588" s="13"/>
      <c r="P588" s="13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8"/>
      <c r="AI588" s="7"/>
      <c r="AJ588" s="7"/>
      <c r="AK588" s="7"/>
      <c r="AL588" s="10"/>
      <c r="AM588" s="7" t="e">
        <f>VLOOKUP(AL588,Personal!$A$2:$I$300,2,FALSE)</f>
        <v>#N/A</v>
      </c>
      <c r="AN588" s="7" t="e">
        <f>VLOOKUP(AL588,Personal!$A$2:$I$300,3,FALSE)</f>
        <v>#N/A</v>
      </c>
      <c r="AO588" s="7" t="e">
        <f>VLOOKUP(AL588,Personal!$A$2:$I$300,6,FALSE)</f>
        <v>#N/A</v>
      </c>
      <c r="AP588" s="7" t="e">
        <f>VLOOKUP(AL588,Personal!$A$2:$I$300,7,FALSE)</f>
        <v>#N/A</v>
      </c>
      <c r="AQ588" s="7" t="e">
        <f>VLOOKUP(AL588,Personal!$A$2:$I$300,8,FALSE)</f>
        <v>#N/A</v>
      </c>
      <c r="AR588" s="7"/>
    </row>
    <row r="589" spans="2:44" x14ac:dyDescent="0.3">
      <c r="B589" s="6">
        <v>584</v>
      </c>
      <c r="C589" s="6"/>
      <c r="D589" s="6"/>
      <c r="E589" s="6"/>
      <c r="F589" s="6"/>
      <c r="G589" s="7"/>
      <c r="H589" s="7"/>
      <c r="I589" s="7"/>
      <c r="J589" s="7"/>
      <c r="K589" s="10"/>
      <c r="L589" s="7"/>
      <c r="M589" s="7"/>
      <c r="N589" s="7"/>
      <c r="O589" s="13"/>
      <c r="P589" s="13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8"/>
      <c r="AI589" s="7"/>
      <c r="AJ589" s="7"/>
      <c r="AK589" s="7"/>
      <c r="AL589" s="10"/>
      <c r="AM589" s="7" t="e">
        <f>VLOOKUP(AL589,Personal!$A$2:$I$300,2,FALSE)</f>
        <v>#N/A</v>
      </c>
      <c r="AN589" s="7" t="e">
        <f>VLOOKUP(AL589,Personal!$A$2:$I$300,3,FALSE)</f>
        <v>#N/A</v>
      </c>
      <c r="AO589" s="7" t="e">
        <f>VLOOKUP(AL589,Personal!$A$2:$I$300,6,FALSE)</f>
        <v>#N/A</v>
      </c>
      <c r="AP589" s="7" t="e">
        <f>VLOOKUP(AL589,Personal!$A$2:$I$300,7,FALSE)</f>
        <v>#N/A</v>
      </c>
      <c r="AQ589" s="7" t="e">
        <f>VLOOKUP(AL589,Personal!$A$2:$I$300,8,FALSE)</f>
        <v>#N/A</v>
      </c>
      <c r="AR589" s="7"/>
    </row>
    <row r="590" spans="2:44" x14ac:dyDescent="0.3">
      <c r="B590" s="6">
        <v>585</v>
      </c>
      <c r="C590" s="6"/>
      <c r="D590" s="6"/>
      <c r="E590" s="6"/>
      <c r="F590" s="6"/>
      <c r="G590" s="7"/>
      <c r="H590" s="7"/>
      <c r="I590" s="7"/>
      <c r="J590" s="7"/>
      <c r="K590" s="10"/>
      <c r="L590" s="7"/>
      <c r="M590" s="7"/>
      <c r="N590" s="7"/>
      <c r="O590" s="13"/>
      <c r="P590" s="13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8"/>
      <c r="AI590" s="7"/>
      <c r="AJ590" s="7"/>
      <c r="AK590" s="7"/>
      <c r="AL590" s="10"/>
      <c r="AM590" s="7" t="e">
        <f>VLOOKUP(AL590,Personal!$A$2:$I$300,2,FALSE)</f>
        <v>#N/A</v>
      </c>
      <c r="AN590" s="7" t="e">
        <f>VLOOKUP(AL590,Personal!$A$2:$I$300,3,FALSE)</f>
        <v>#N/A</v>
      </c>
      <c r="AO590" s="7" t="e">
        <f>VLOOKUP(AL590,Personal!$A$2:$I$300,6,FALSE)</f>
        <v>#N/A</v>
      </c>
      <c r="AP590" s="7" t="e">
        <f>VLOOKUP(AL590,Personal!$A$2:$I$300,7,FALSE)</f>
        <v>#N/A</v>
      </c>
      <c r="AQ590" s="7" t="e">
        <f>VLOOKUP(AL590,Personal!$A$2:$I$300,8,FALSE)</f>
        <v>#N/A</v>
      </c>
      <c r="AR590" s="7"/>
    </row>
    <row r="591" spans="2:44" x14ac:dyDescent="0.3">
      <c r="B591" s="6">
        <v>586</v>
      </c>
      <c r="C591" s="6"/>
      <c r="D591" s="6"/>
      <c r="E591" s="6"/>
      <c r="F591" s="6"/>
      <c r="G591" s="7"/>
      <c r="H591" s="7"/>
      <c r="I591" s="7"/>
      <c r="J591" s="7"/>
      <c r="K591" s="10"/>
      <c r="L591" s="7"/>
      <c r="M591" s="7"/>
      <c r="N591" s="7"/>
      <c r="O591" s="13"/>
      <c r="P591" s="13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8"/>
      <c r="AI591" s="7"/>
      <c r="AJ591" s="7"/>
      <c r="AK591" s="7"/>
      <c r="AL591" s="10"/>
      <c r="AM591" s="7" t="e">
        <f>VLOOKUP(AL591,Personal!$A$2:$I$300,2,FALSE)</f>
        <v>#N/A</v>
      </c>
      <c r="AN591" s="7" t="e">
        <f>VLOOKUP(AL591,Personal!$A$2:$I$300,3,FALSE)</f>
        <v>#N/A</v>
      </c>
      <c r="AO591" s="7" t="e">
        <f>VLOOKUP(AL591,Personal!$A$2:$I$300,6,FALSE)</f>
        <v>#N/A</v>
      </c>
      <c r="AP591" s="7" t="e">
        <f>VLOOKUP(AL591,Personal!$A$2:$I$300,7,FALSE)</f>
        <v>#N/A</v>
      </c>
      <c r="AQ591" s="7" t="e">
        <f>VLOOKUP(AL591,Personal!$A$2:$I$300,8,FALSE)</f>
        <v>#N/A</v>
      </c>
      <c r="AR591" s="7"/>
    </row>
    <row r="592" spans="2:44" x14ac:dyDescent="0.3">
      <c r="B592" s="6">
        <v>587</v>
      </c>
      <c r="C592" s="6"/>
      <c r="D592" s="6"/>
      <c r="E592" s="6"/>
      <c r="F592" s="6"/>
      <c r="G592" s="7"/>
      <c r="H592" s="7"/>
      <c r="I592" s="7"/>
      <c r="J592" s="7"/>
      <c r="K592" s="10"/>
      <c r="L592" s="7"/>
      <c r="M592" s="7"/>
      <c r="N592" s="7"/>
      <c r="O592" s="13"/>
      <c r="P592" s="13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8"/>
      <c r="AI592" s="7"/>
      <c r="AJ592" s="7"/>
      <c r="AK592" s="7"/>
      <c r="AL592" s="10"/>
      <c r="AM592" s="7" t="e">
        <f>VLOOKUP(AL592,Personal!$A$2:$I$300,2,FALSE)</f>
        <v>#N/A</v>
      </c>
      <c r="AN592" s="7" t="e">
        <f>VLOOKUP(AL592,Personal!$A$2:$I$300,3,FALSE)</f>
        <v>#N/A</v>
      </c>
      <c r="AO592" s="7" t="e">
        <f>VLOOKUP(AL592,Personal!$A$2:$I$300,6,FALSE)</f>
        <v>#N/A</v>
      </c>
      <c r="AP592" s="7" t="e">
        <f>VLOOKUP(AL592,Personal!$A$2:$I$300,7,FALSE)</f>
        <v>#N/A</v>
      </c>
      <c r="AQ592" s="7" t="e">
        <f>VLOOKUP(AL592,Personal!$A$2:$I$300,8,FALSE)</f>
        <v>#N/A</v>
      </c>
      <c r="AR592" s="7"/>
    </row>
    <row r="593" spans="2:44" x14ac:dyDescent="0.3">
      <c r="B593" s="6">
        <v>588</v>
      </c>
      <c r="C593" s="6"/>
      <c r="D593" s="6"/>
      <c r="E593" s="6"/>
      <c r="F593" s="6"/>
      <c r="G593" s="7"/>
      <c r="H593" s="7"/>
      <c r="I593" s="7"/>
      <c r="J593" s="7"/>
      <c r="K593" s="10"/>
      <c r="L593" s="7"/>
      <c r="M593" s="7"/>
      <c r="N593" s="7"/>
      <c r="O593" s="13"/>
      <c r="P593" s="13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8"/>
      <c r="AI593" s="7"/>
      <c r="AJ593" s="7"/>
      <c r="AK593" s="7"/>
      <c r="AL593" s="10"/>
      <c r="AM593" s="7" t="e">
        <f>VLOOKUP(AL593,Personal!$A$2:$I$300,2,FALSE)</f>
        <v>#N/A</v>
      </c>
      <c r="AN593" s="7" t="e">
        <f>VLOOKUP(AL593,Personal!$A$2:$I$300,3,FALSE)</f>
        <v>#N/A</v>
      </c>
      <c r="AO593" s="7" t="e">
        <f>VLOOKUP(AL593,Personal!$A$2:$I$300,6,FALSE)</f>
        <v>#N/A</v>
      </c>
      <c r="AP593" s="7" t="e">
        <f>VLOOKUP(AL593,Personal!$A$2:$I$300,7,FALSE)</f>
        <v>#N/A</v>
      </c>
      <c r="AQ593" s="7" t="e">
        <f>VLOOKUP(AL593,Personal!$A$2:$I$300,8,FALSE)</f>
        <v>#N/A</v>
      </c>
      <c r="AR593" s="7"/>
    </row>
    <row r="594" spans="2:44" x14ac:dyDescent="0.3">
      <c r="B594" s="6">
        <v>589</v>
      </c>
      <c r="C594" s="6"/>
      <c r="D594" s="6"/>
      <c r="E594" s="6"/>
      <c r="F594" s="6"/>
      <c r="G594" s="7"/>
      <c r="H594" s="7"/>
      <c r="I594" s="7"/>
      <c r="J594" s="7"/>
      <c r="K594" s="10"/>
      <c r="L594" s="7"/>
      <c r="M594" s="7"/>
      <c r="N594" s="7"/>
      <c r="O594" s="13"/>
      <c r="P594" s="13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8"/>
      <c r="AI594" s="7"/>
      <c r="AJ594" s="7"/>
      <c r="AK594" s="7"/>
      <c r="AL594" s="10"/>
      <c r="AM594" s="7" t="e">
        <f>VLOOKUP(AL594,Personal!$A$2:$I$300,2,FALSE)</f>
        <v>#N/A</v>
      </c>
      <c r="AN594" s="7" t="e">
        <f>VLOOKUP(AL594,Personal!$A$2:$I$300,3,FALSE)</f>
        <v>#N/A</v>
      </c>
      <c r="AO594" s="7" t="e">
        <f>VLOOKUP(AL594,Personal!$A$2:$I$300,6,FALSE)</f>
        <v>#N/A</v>
      </c>
      <c r="AP594" s="7" t="e">
        <f>VLOOKUP(AL594,Personal!$A$2:$I$300,7,FALSE)</f>
        <v>#N/A</v>
      </c>
      <c r="AQ594" s="7" t="e">
        <f>VLOOKUP(AL594,Personal!$A$2:$I$300,8,FALSE)</f>
        <v>#N/A</v>
      </c>
      <c r="AR594" s="7"/>
    </row>
    <row r="595" spans="2:44" x14ac:dyDescent="0.3">
      <c r="B595" s="6">
        <v>590</v>
      </c>
      <c r="C595" s="6"/>
      <c r="D595" s="6"/>
      <c r="E595" s="6"/>
      <c r="F595" s="6"/>
      <c r="G595" s="7"/>
      <c r="H595" s="7"/>
      <c r="I595" s="7"/>
      <c r="J595" s="7"/>
      <c r="K595" s="10"/>
      <c r="L595" s="7"/>
      <c r="M595" s="7"/>
      <c r="N595" s="7"/>
      <c r="O595" s="13"/>
      <c r="P595" s="13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8"/>
      <c r="AI595" s="7"/>
      <c r="AJ595" s="7"/>
      <c r="AK595" s="7"/>
      <c r="AL595" s="10"/>
      <c r="AM595" s="7" t="e">
        <f>VLOOKUP(AL595,Personal!$A$2:$I$300,2,FALSE)</f>
        <v>#N/A</v>
      </c>
      <c r="AN595" s="7" t="e">
        <f>VLOOKUP(AL595,Personal!$A$2:$I$300,3,FALSE)</f>
        <v>#N/A</v>
      </c>
      <c r="AO595" s="7" t="e">
        <f>VLOOKUP(AL595,Personal!$A$2:$I$300,6,FALSE)</f>
        <v>#N/A</v>
      </c>
      <c r="AP595" s="7" t="e">
        <f>VLOOKUP(AL595,Personal!$A$2:$I$300,7,FALSE)</f>
        <v>#N/A</v>
      </c>
      <c r="AQ595" s="7" t="e">
        <f>VLOOKUP(AL595,Personal!$A$2:$I$300,8,FALSE)</f>
        <v>#N/A</v>
      </c>
      <c r="AR595" s="7"/>
    </row>
    <row r="596" spans="2:44" x14ac:dyDescent="0.3">
      <c r="B596" s="6">
        <v>591</v>
      </c>
      <c r="C596" s="6"/>
      <c r="D596" s="6"/>
      <c r="E596" s="6"/>
      <c r="F596" s="6"/>
      <c r="G596" s="7"/>
      <c r="H596" s="7"/>
      <c r="I596" s="7"/>
      <c r="J596" s="7"/>
      <c r="K596" s="10"/>
      <c r="L596" s="7"/>
      <c r="M596" s="7"/>
      <c r="N596" s="7"/>
      <c r="O596" s="13"/>
      <c r="P596" s="13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8"/>
      <c r="AI596" s="7"/>
      <c r="AJ596" s="7"/>
      <c r="AK596" s="7"/>
      <c r="AL596" s="10"/>
      <c r="AM596" s="7" t="e">
        <f>VLOOKUP(AL596,Personal!$A$2:$I$300,2,FALSE)</f>
        <v>#N/A</v>
      </c>
      <c r="AN596" s="7" t="e">
        <f>VLOOKUP(AL596,Personal!$A$2:$I$300,3,FALSE)</f>
        <v>#N/A</v>
      </c>
      <c r="AO596" s="7" t="e">
        <f>VLOOKUP(AL596,Personal!$A$2:$I$300,6,FALSE)</f>
        <v>#N/A</v>
      </c>
      <c r="AP596" s="7" t="e">
        <f>VLOOKUP(AL596,Personal!$A$2:$I$300,7,FALSE)</f>
        <v>#N/A</v>
      </c>
      <c r="AQ596" s="7" t="e">
        <f>VLOOKUP(AL596,Personal!$A$2:$I$300,8,FALSE)</f>
        <v>#N/A</v>
      </c>
      <c r="AR596" s="7"/>
    </row>
    <row r="597" spans="2:44" x14ac:dyDescent="0.3">
      <c r="B597" s="6">
        <v>592</v>
      </c>
      <c r="C597" s="6"/>
      <c r="D597" s="6"/>
      <c r="E597" s="6"/>
      <c r="F597" s="6"/>
      <c r="G597" s="7"/>
      <c r="H597" s="7"/>
      <c r="I597" s="7"/>
      <c r="J597" s="7"/>
      <c r="K597" s="10"/>
      <c r="L597" s="7"/>
      <c r="M597" s="7"/>
      <c r="N597" s="7"/>
      <c r="O597" s="13"/>
      <c r="P597" s="13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8"/>
      <c r="AI597" s="7"/>
      <c r="AJ597" s="7"/>
      <c r="AK597" s="7"/>
      <c r="AL597" s="10"/>
      <c r="AM597" s="7" t="e">
        <f>VLOOKUP(AL597,Personal!$A$2:$I$300,2,FALSE)</f>
        <v>#N/A</v>
      </c>
      <c r="AN597" s="7" t="e">
        <f>VLOOKUP(AL597,Personal!$A$2:$I$300,3,FALSE)</f>
        <v>#N/A</v>
      </c>
      <c r="AO597" s="7" t="e">
        <f>VLOOKUP(AL597,Personal!$A$2:$I$300,6,FALSE)</f>
        <v>#N/A</v>
      </c>
      <c r="AP597" s="7" t="e">
        <f>VLOOKUP(AL597,Personal!$A$2:$I$300,7,FALSE)</f>
        <v>#N/A</v>
      </c>
      <c r="AQ597" s="7" t="e">
        <f>VLOOKUP(AL597,Personal!$A$2:$I$300,8,FALSE)</f>
        <v>#N/A</v>
      </c>
      <c r="AR597" s="7"/>
    </row>
    <row r="598" spans="2:44" x14ac:dyDescent="0.3">
      <c r="B598" s="6">
        <v>593</v>
      </c>
      <c r="C598" s="6"/>
      <c r="D598" s="6"/>
      <c r="E598" s="6"/>
      <c r="F598" s="6"/>
      <c r="G598" s="7"/>
      <c r="H598" s="7"/>
      <c r="I598" s="7"/>
      <c r="J598" s="7"/>
      <c r="K598" s="10"/>
      <c r="L598" s="7"/>
      <c r="M598" s="7"/>
      <c r="N598" s="7"/>
      <c r="O598" s="13"/>
      <c r="P598" s="13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8"/>
      <c r="AI598" s="7"/>
      <c r="AJ598" s="7"/>
      <c r="AK598" s="7"/>
      <c r="AL598" s="10"/>
      <c r="AM598" s="7" t="e">
        <f>VLOOKUP(AL598,Personal!$A$2:$I$300,2,FALSE)</f>
        <v>#N/A</v>
      </c>
      <c r="AN598" s="7" t="e">
        <f>VLOOKUP(AL598,Personal!$A$2:$I$300,3,FALSE)</f>
        <v>#N/A</v>
      </c>
      <c r="AO598" s="7" t="e">
        <f>VLOOKUP(AL598,Personal!$A$2:$I$300,6,FALSE)</f>
        <v>#N/A</v>
      </c>
      <c r="AP598" s="7" t="e">
        <f>VLOOKUP(AL598,Personal!$A$2:$I$300,7,FALSE)</f>
        <v>#N/A</v>
      </c>
      <c r="AQ598" s="7" t="e">
        <f>VLOOKUP(AL598,Personal!$A$2:$I$300,8,FALSE)</f>
        <v>#N/A</v>
      </c>
      <c r="AR598" s="7"/>
    </row>
    <row r="599" spans="2:44" x14ac:dyDescent="0.3">
      <c r="B599" s="6">
        <v>594</v>
      </c>
      <c r="C599" s="6"/>
      <c r="D599" s="6"/>
      <c r="E599" s="6"/>
      <c r="F599" s="6"/>
      <c r="G599" s="7"/>
      <c r="H599" s="7"/>
      <c r="I599" s="7"/>
      <c r="J599" s="7"/>
      <c r="K599" s="10"/>
      <c r="L599" s="7"/>
      <c r="M599" s="7"/>
      <c r="N599" s="7"/>
      <c r="O599" s="13"/>
      <c r="P599" s="13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8"/>
      <c r="AI599" s="7"/>
      <c r="AJ599" s="7"/>
      <c r="AK599" s="7"/>
      <c r="AL599" s="10"/>
      <c r="AM599" s="7" t="e">
        <f>VLOOKUP(AL599,Personal!$A$2:$I$300,2,FALSE)</f>
        <v>#N/A</v>
      </c>
      <c r="AN599" s="7" t="e">
        <f>VLOOKUP(AL599,Personal!$A$2:$I$300,3,FALSE)</f>
        <v>#N/A</v>
      </c>
      <c r="AO599" s="7" t="e">
        <f>VLOOKUP(AL599,Personal!$A$2:$I$300,6,FALSE)</f>
        <v>#N/A</v>
      </c>
      <c r="AP599" s="7" t="e">
        <f>VLOOKUP(AL599,Personal!$A$2:$I$300,7,FALSE)</f>
        <v>#N/A</v>
      </c>
      <c r="AQ599" s="7" t="e">
        <f>VLOOKUP(AL599,Personal!$A$2:$I$300,8,FALSE)</f>
        <v>#N/A</v>
      </c>
      <c r="AR599" s="7"/>
    </row>
    <row r="600" spans="2:44" x14ac:dyDescent="0.3">
      <c r="B600" s="6">
        <v>595</v>
      </c>
      <c r="C600" s="6"/>
      <c r="D600" s="6"/>
      <c r="E600" s="6"/>
      <c r="F600" s="6"/>
      <c r="G600" s="7"/>
      <c r="H600" s="7"/>
      <c r="I600" s="7"/>
      <c r="J600" s="7"/>
      <c r="K600" s="10"/>
      <c r="L600" s="7"/>
      <c r="M600" s="7"/>
      <c r="N600" s="7"/>
      <c r="O600" s="13"/>
      <c r="P600" s="13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8"/>
      <c r="AI600" s="7"/>
      <c r="AJ600" s="7"/>
      <c r="AK600" s="7"/>
      <c r="AL600" s="10"/>
      <c r="AM600" s="7" t="e">
        <f>VLOOKUP(AL600,Personal!$A$2:$I$300,2,FALSE)</f>
        <v>#N/A</v>
      </c>
      <c r="AN600" s="7" t="e">
        <f>VLOOKUP(AL600,Personal!$A$2:$I$300,3,FALSE)</f>
        <v>#N/A</v>
      </c>
      <c r="AO600" s="7" t="e">
        <f>VLOOKUP(AL600,Personal!$A$2:$I$300,6,FALSE)</f>
        <v>#N/A</v>
      </c>
      <c r="AP600" s="7" t="e">
        <f>VLOOKUP(AL600,Personal!$A$2:$I$300,7,FALSE)</f>
        <v>#N/A</v>
      </c>
      <c r="AQ600" s="7" t="e">
        <f>VLOOKUP(AL600,Personal!$A$2:$I$300,8,FALSE)</f>
        <v>#N/A</v>
      </c>
      <c r="AR600" s="7"/>
    </row>
    <row r="601" spans="2:44" x14ac:dyDescent="0.3">
      <c r="B601" s="6">
        <v>596</v>
      </c>
      <c r="C601" s="6"/>
      <c r="D601" s="6"/>
      <c r="E601" s="6"/>
      <c r="F601" s="6"/>
      <c r="G601" s="7"/>
      <c r="H601" s="7"/>
      <c r="I601" s="7"/>
      <c r="J601" s="7"/>
      <c r="K601" s="10"/>
      <c r="L601" s="7"/>
      <c r="M601" s="7"/>
      <c r="N601" s="7"/>
      <c r="O601" s="13"/>
      <c r="P601" s="13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8"/>
      <c r="AI601" s="7"/>
      <c r="AJ601" s="7"/>
      <c r="AK601" s="7"/>
      <c r="AL601" s="10"/>
      <c r="AM601" s="7" t="e">
        <f>VLOOKUP(AL601,Personal!$A$2:$I$300,2,FALSE)</f>
        <v>#N/A</v>
      </c>
      <c r="AN601" s="7" t="e">
        <f>VLOOKUP(AL601,Personal!$A$2:$I$300,3,FALSE)</f>
        <v>#N/A</v>
      </c>
      <c r="AO601" s="7" t="e">
        <f>VLOOKUP(AL601,Personal!$A$2:$I$300,6,FALSE)</f>
        <v>#N/A</v>
      </c>
      <c r="AP601" s="7" t="e">
        <f>VLOOKUP(AL601,Personal!$A$2:$I$300,7,FALSE)</f>
        <v>#N/A</v>
      </c>
      <c r="AQ601" s="7" t="e">
        <f>VLOOKUP(AL601,Personal!$A$2:$I$300,8,FALSE)</f>
        <v>#N/A</v>
      </c>
      <c r="AR601" s="7"/>
    </row>
    <row r="602" spans="2:44" x14ac:dyDescent="0.3">
      <c r="B602" s="6">
        <v>597</v>
      </c>
      <c r="C602" s="6"/>
      <c r="D602" s="6"/>
      <c r="E602" s="6"/>
      <c r="F602" s="6"/>
      <c r="G602" s="7"/>
      <c r="H602" s="7"/>
      <c r="I602" s="7"/>
      <c r="J602" s="7"/>
      <c r="K602" s="10"/>
      <c r="L602" s="7"/>
      <c r="M602" s="7"/>
      <c r="N602" s="7"/>
      <c r="O602" s="13"/>
      <c r="P602" s="13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8"/>
      <c r="AI602" s="7"/>
      <c r="AJ602" s="7"/>
      <c r="AK602" s="7"/>
      <c r="AL602" s="10"/>
      <c r="AM602" s="7" t="e">
        <f>VLOOKUP(AL602,Personal!$A$2:$I$300,2,FALSE)</f>
        <v>#N/A</v>
      </c>
      <c r="AN602" s="7" t="e">
        <f>VLOOKUP(AL602,Personal!$A$2:$I$300,3,FALSE)</f>
        <v>#N/A</v>
      </c>
      <c r="AO602" s="7" t="e">
        <f>VLOOKUP(AL602,Personal!$A$2:$I$300,6,FALSE)</f>
        <v>#N/A</v>
      </c>
      <c r="AP602" s="7" t="e">
        <f>VLOOKUP(AL602,Personal!$A$2:$I$300,7,FALSE)</f>
        <v>#N/A</v>
      </c>
      <c r="AQ602" s="7" t="e">
        <f>VLOOKUP(AL602,Personal!$A$2:$I$300,8,FALSE)</f>
        <v>#N/A</v>
      </c>
      <c r="AR602" s="7"/>
    </row>
    <row r="603" spans="2:44" x14ac:dyDescent="0.3">
      <c r="B603" s="6">
        <v>598</v>
      </c>
      <c r="C603" s="6"/>
      <c r="D603" s="6"/>
      <c r="E603" s="6"/>
      <c r="F603" s="6"/>
      <c r="G603" s="7"/>
      <c r="H603" s="7"/>
      <c r="I603" s="7"/>
      <c r="J603" s="7"/>
      <c r="K603" s="10"/>
      <c r="L603" s="7"/>
      <c r="M603" s="7"/>
      <c r="N603" s="7"/>
      <c r="O603" s="13"/>
      <c r="P603" s="13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8"/>
      <c r="AI603" s="7"/>
      <c r="AJ603" s="7"/>
      <c r="AK603" s="7"/>
      <c r="AL603" s="10"/>
      <c r="AM603" s="7" t="e">
        <f>VLOOKUP(AL603,Personal!$A$2:$I$300,2,FALSE)</f>
        <v>#N/A</v>
      </c>
      <c r="AN603" s="7" t="e">
        <f>VLOOKUP(AL603,Personal!$A$2:$I$300,3,FALSE)</f>
        <v>#N/A</v>
      </c>
      <c r="AO603" s="7" t="e">
        <f>VLOOKUP(AL603,Personal!$A$2:$I$300,6,FALSE)</f>
        <v>#N/A</v>
      </c>
      <c r="AP603" s="7" t="e">
        <f>VLOOKUP(AL603,Personal!$A$2:$I$300,7,FALSE)</f>
        <v>#N/A</v>
      </c>
      <c r="AQ603" s="7" t="e">
        <f>VLOOKUP(AL603,Personal!$A$2:$I$300,8,FALSE)</f>
        <v>#N/A</v>
      </c>
      <c r="AR603" s="7"/>
    </row>
    <row r="604" spans="2:44" x14ac:dyDescent="0.3">
      <c r="B604" s="6">
        <v>599</v>
      </c>
      <c r="C604" s="6"/>
      <c r="D604" s="6"/>
      <c r="E604" s="6"/>
      <c r="F604" s="6"/>
      <c r="G604" s="7"/>
      <c r="H604" s="7"/>
      <c r="I604" s="7"/>
      <c r="J604" s="7"/>
      <c r="K604" s="10"/>
      <c r="L604" s="7"/>
      <c r="M604" s="7"/>
      <c r="N604" s="7"/>
      <c r="O604" s="13"/>
      <c r="P604" s="13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8"/>
      <c r="AI604" s="7"/>
      <c r="AJ604" s="7"/>
      <c r="AK604" s="7"/>
      <c r="AL604" s="10"/>
      <c r="AM604" s="7" t="e">
        <f>VLOOKUP(AL604,Personal!$A$2:$I$300,2,FALSE)</f>
        <v>#N/A</v>
      </c>
      <c r="AN604" s="7" t="e">
        <f>VLOOKUP(AL604,Personal!$A$2:$I$300,3,FALSE)</f>
        <v>#N/A</v>
      </c>
      <c r="AO604" s="7" t="e">
        <f>VLOOKUP(AL604,Personal!$A$2:$I$300,6,FALSE)</f>
        <v>#N/A</v>
      </c>
      <c r="AP604" s="7" t="e">
        <f>VLOOKUP(AL604,Personal!$A$2:$I$300,7,FALSE)</f>
        <v>#N/A</v>
      </c>
      <c r="AQ604" s="7" t="e">
        <f>VLOOKUP(AL604,Personal!$A$2:$I$300,8,FALSE)</f>
        <v>#N/A</v>
      </c>
      <c r="AR604" s="7"/>
    </row>
    <row r="605" spans="2:44" x14ac:dyDescent="0.3">
      <c r="B605" s="6">
        <v>600</v>
      </c>
      <c r="C605" s="6"/>
      <c r="D605" s="6"/>
      <c r="E605" s="6"/>
      <c r="F605" s="6"/>
      <c r="G605" s="7"/>
      <c r="H605" s="7"/>
      <c r="I605" s="7"/>
      <c r="J605" s="7"/>
      <c r="K605" s="10"/>
      <c r="L605" s="7"/>
      <c r="M605" s="7"/>
      <c r="N605" s="7"/>
      <c r="O605" s="13"/>
      <c r="P605" s="13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8"/>
      <c r="AI605" s="7"/>
      <c r="AJ605" s="7"/>
      <c r="AK605" s="7"/>
      <c r="AL605" s="10"/>
      <c r="AM605" s="7" t="e">
        <f>VLOOKUP(AL605,Personal!$A$2:$I$300,2,FALSE)</f>
        <v>#N/A</v>
      </c>
      <c r="AN605" s="7" t="e">
        <f>VLOOKUP(AL605,Personal!$A$2:$I$300,3,FALSE)</f>
        <v>#N/A</v>
      </c>
      <c r="AO605" s="7" t="e">
        <f>VLOOKUP(AL605,Personal!$A$2:$I$300,6,FALSE)</f>
        <v>#N/A</v>
      </c>
      <c r="AP605" s="7" t="e">
        <f>VLOOKUP(AL605,Personal!$A$2:$I$300,7,FALSE)</f>
        <v>#N/A</v>
      </c>
      <c r="AQ605" s="7" t="e">
        <f>VLOOKUP(AL605,Personal!$A$2:$I$300,8,FALSE)</f>
        <v>#N/A</v>
      </c>
      <c r="AR605" s="7"/>
    </row>
    <row r="606" spans="2:44" x14ac:dyDescent="0.3">
      <c r="B606" s="6">
        <v>601</v>
      </c>
      <c r="C606" s="6"/>
      <c r="D606" s="6"/>
      <c r="E606" s="6"/>
      <c r="F606" s="6"/>
      <c r="G606" s="7"/>
      <c r="H606" s="7"/>
      <c r="I606" s="7"/>
      <c r="J606" s="7"/>
      <c r="K606" s="10"/>
      <c r="L606" s="7"/>
      <c r="M606" s="7"/>
      <c r="N606" s="7"/>
      <c r="O606" s="13"/>
      <c r="P606" s="13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8"/>
      <c r="AI606" s="7"/>
      <c r="AJ606" s="7"/>
      <c r="AK606" s="7"/>
      <c r="AL606" s="10"/>
      <c r="AM606" s="7" t="e">
        <f>VLOOKUP(AL606,Personal!$A$2:$I$300,2,FALSE)</f>
        <v>#N/A</v>
      </c>
      <c r="AN606" s="7" t="e">
        <f>VLOOKUP(AL606,Personal!$A$2:$I$300,3,FALSE)</f>
        <v>#N/A</v>
      </c>
      <c r="AO606" s="7" t="e">
        <f>VLOOKUP(AL606,Personal!$A$2:$I$300,6,FALSE)</f>
        <v>#N/A</v>
      </c>
      <c r="AP606" s="7" t="e">
        <f>VLOOKUP(AL606,Personal!$A$2:$I$300,7,FALSE)</f>
        <v>#N/A</v>
      </c>
      <c r="AQ606" s="7" t="e">
        <f>VLOOKUP(AL606,Personal!$A$2:$I$300,8,FALSE)</f>
        <v>#N/A</v>
      </c>
      <c r="AR606" s="7"/>
    </row>
    <row r="607" spans="2:44" x14ac:dyDescent="0.3">
      <c r="B607" s="6">
        <v>602</v>
      </c>
      <c r="C607" s="6"/>
      <c r="D607" s="6"/>
      <c r="E607" s="6"/>
      <c r="F607" s="6"/>
      <c r="G607" s="7"/>
      <c r="H607" s="7"/>
      <c r="I607" s="7"/>
      <c r="J607" s="7"/>
      <c r="K607" s="10"/>
      <c r="L607" s="7"/>
      <c r="M607" s="7"/>
      <c r="N607" s="7"/>
      <c r="O607" s="13"/>
      <c r="P607" s="13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8"/>
      <c r="AI607" s="7"/>
      <c r="AJ607" s="7"/>
      <c r="AK607" s="7"/>
      <c r="AL607" s="10"/>
      <c r="AM607" s="7" t="e">
        <f>VLOOKUP(AL607,Personal!$A$2:$I$300,2,FALSE)</f>
        <v>#N/A</v>
      </c>
      <c r="AN607" s="7" t="e">
        <f>VLOOKUP(AL607,Personal!$A$2:$I$300,3,FALSE)</f>
        <v>#N/A</v>
      </c>
      <c r="AO607" s="7" t="e">
        <f>VLOOKUP(AL607,Personal!$A$2:$I$300,6,FALSE)</f>
        <v>#N/A</v>
      </c>
      <c r="AP607" s="7" t="e">
        <f>VLOOKUP(AL607,Personal!$A$2:$I$300,7,FALSE)</f>
        <v>#N/A</v>
      </c>
      <c r="AQ607" s="7" t="e">
        <f>VLOOKUP(AL607,Personal!$A$2:$I$300,8,FALSE)</f>
        <v>#N/A</v>
      </c>
      <c r="AR607" s="7"/>
    </row>
    <row r="608" spans="2:44" x14ac:dyDescent="0.3">
      <c r="B608" s="6">
        <v>603</v>
      </c>
      <c r="C608" s="6"/>
      <c r="D608" s="6"/>
      <c r="E608" s="6"/>
      <c r="F608" s="6"/>
      <c r="G608" s="7"/>
      <c r="H608" s="7"/>
      <c r="I608" s="7"/>
      <c r="J608" s="7"/>
      <c r="K608" s="10"/>
      <c r="L608" s="7"/>
      <c r="M608" s="7"/>
      <c r="N608" s="7"/>
      <c r="O608" s="13"/>
      <c r="P608" s="13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8"/>
      <c r="AI608" s="7"/>
      <c r="AJ608" s="7"/>
      <c r="AK608" s="7"/>
      <c r="AL608" s="10"/>
      <c r="AM608" s="7" t="e">
        <f>VLOOKUP(AL608,Personal!$A$2:$I$300,2,FALSE)</f>
        <v>#N/A</v>
      </c>
      <c r="AN608" s="7" t="e">
        <f>VLOOKUP(AL608,Personal!$A$2:$I$300,3,FALSE)</f>
        <v>#N/A</v>
      </c>
      <c r="AO608" s="7" t="e">
        <f>VLOOKUP(AL608,Personal!$A$2:$I$300,6,FALSE)</f>
        <v>#N/A</v>
      </c>
      <c r="AP608" s="7" t="e">
        <f>VLOOKUP(AL608,Personal!$A$2:$I$300,7,FALSE)</f>
        <v>#N/A</v>
      </c>
      <c r="AQ608" s="7" t="e">
        <f>VLOOKUP(AL608,Personal!$A$2:$I$300,8,FALSE)</f>
        <v>#N/A</v>
      </c>
      <c r="AR608" s="7"/>
    </row>
    <row r="609" spans="2:44" x14ac:dyDescent="0.3">
      <c r="B609" s="6">
        <v>604</v>
      </c>
      <c r="C609" s="6"/>
      <c r="D609" s="6"/>
      <c r="E609" s="6"/>
      <c r="F609" s="6"/>
      <c r="G609" s="7"/>
      <c r="H609" s="7"/>
      <c r="I609" s="7"/>
      <c r="J609" s="7"/>
      <c r="K609" s="10"/>
      <c r="L609" s="7"/>
      <c r="M609" s="7"/>
      <c r="N609" s="7"/>
      <c r="O609" s="13"/>
      <c r="P609" s="13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8"/>
      <c r="AI609" s="7"/>
      <c r="AJ609" s="7"/>
      <c r="AK609" s="7"/>
      <c r="AL609" s="10"/>
      <c r="AM609" s="7" t="e">
        <f>VLOOKUP(AL609,Personal!$A$2:$I$300,2,FALSE)</f>
        <v>#N/A</v>
      </c>
      <c r="AN609" s="7" t="e">
        <f>VLOOKUP(AL609,Personal!$A$2:$I$300,3,FALSE)</f>
        <v>#N/A</v>
      </c>
      <c r="AO609" s="7" t="e">
        <f>VLOOKUP(AL609,Personal!$A$2:$I$300,6,FALSE)</f>
        <v>#N/A</v>
      </c>
      <c r="AP609" s="7" t="e">
        <f>VLOOKUP(AL609,Personal!$A$2:$I$300,7,FALSE)</f>
        <v>#N/A</v>
      </c>
      <c r="AQ609" s="7" t="e">
        <f>VLOOKUP(AL609,Personal!$A$2:$I$300,8,FALSE)</f>
        <v>#N/A</v>
      </c>
      <c r="AR609" s="7"/>
    </row>
    <row r="610" spans="2:44" x14ac:dyDescent="0.3">
      <c r="B610" s="6">
        <v>605</v>
      </c>
      <c r="C610" s="6"/>
      <c r="D610" s="6"/>
      <c r="E610" s="6"/>
      <c r="F610" s="6"/>
      <c r="G610" s="7"/>
      <c r="H610" s="7"/>
      <c r="I610" s="7"/>
      <c r="J610" s="7"/>
      <c r="K610" s="10"/>
      <c r="L610" s="7"/>
      <c r="M610" s="7"/>
      <c r="N610" s="7"/>
      <c r="O610" s="13"/>
      <c r="P610" s="13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8"/>
      <c r="AI610" s="7"/>
      <c r="AJ610" s="7"/>
      <c r="AK610" s="7"/>
      <c r="AL610" s="10"/>
      <c r="AM610" s="7" t="e">
        <f>VLOOKUP(AL610,Personal!$A$2:$I$300,2,FALSE)</f>
        <v>#N/A</v>
      </c>
      <c r="AN610" s="7" t="e">
        <f>VLOOKUP(AL610,Personal!$A$2:$I$300,3,FALSE)</f>
        <v>#N/A</v>
      </c>
      <c r="AO610" s="7" t="e">
        <f>VLOOKUP(AL610,Personal!$A$2:$I$300,6,FALSE)</f>
        <v>#N/A</v>
      </c>
      <c r="AP610" s="7" t="e">
        <f>VLOOKUP(AL610,Personal!$A$2:$I$300,7,FALSE)</f>
        <v>#N/A</v>
      </c>
      <c r="AQ610" s="7" t="e">
        <f>VLOOKUP(AL610,Personal!$A$2:$I$300,8,FALSE)</f>
        <v>#N/A</v>
      </c>
      <c r="AR610" s="7"/>
    </row>
    <row r="611" spans="2:44" x14ac:dyDescent="0.3">
      <c r="B611" s="6">
        <v>606</v>
      </c>
      <c r="C611" s="6"/>
      <c r="D611" s="6"/>
      <c r="E611" s="6"/>
      <c r="F611" s="6"/>
      <c r="G611" s="7"/>
      <c r="H611" s="7"/>
      <c r="I611" s="7"/>
      <c r="J611" s="7"/>
      <c r="K611" s="10"/>
      <c r="L611" s="7"/>
      <c r="M611" s="7"/>
      <c r="N611" s="7"/>
      <c r="O611" s="13"/>
      <c r="P611" s="13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8"/>
      <c r="AI611" s="7"/>
      <c r="AJ611" s="7"/>
      <c r="AK611" s="7"/>
      <c r="AL611" s="10"/>
      <c r="AM611" s="7" t="e">
        <f>VLOOKUP(AL611,Personal!$A$2:$I$300,2,FALSE)</f>
        <v>#N/A</v>
      </c>
      <c r="AN611" s="7" t="e">
        <f>VLOOKUP(AL611,Personal!$A$2:$I$300,3,FALSE)</f>
        <v>#N/A</v>
      </c>
      <c r="AO611" s="7" t="e">
        <f>VLOOKUP(AL611,Personal!$A$2:$I$300,6,FALSE)</f>
        <v>#N/A</v>
      </c>
      <c r="AP611" s="7" t="e">
        <f>VLOOKUP(AL611,Personal!$A$2:$I$300,7,FALSE)</f>
        <v>#N/A</v>
      </c>
      <c r="AQ611" s="7" t="e">
        <f>VLOOKUP(AL611,Personal!$A$2:$I$300,8,FALSE)</f>
        <v>#N/A</v>
      </c>
      <c r="AR611" s="7"/>
    </row>
    <row r="612" spans="2:44" x14ac:dyDescent="0.3">
      <c r="B612" s="6">
        <v>607</v>
      </c>
      <c r="C612" s="6"/>
      <c r="D612" s="6"/>
      <c r="E612" s="6"/>
      <c r="F612" s="6"/>
      <c r="G612" s="7"/>
      <c r="H612" s="7"/>
      <c r="I612" s="7"/>
      <c r="J612" s="7"/>
      <c r="K612" s="10"/>
      <c r="L612" s="7"/>
      <c r="M612" s="7"/>
      <c r="N612" s="7"/>
      <c r="O612" s="13"/>
      <c r="P612" s="13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8"/>
      <c r="AI612" s="7"/>
      <c r="AJ612" s="7"/>
      <c r="AK612" s="7"/>
      <c r="AL612" s="10"/>
      <c r="AM612" s="7" t="e">
        <f>VLOOKUP(AL612,Personal!$A$2:$I$300,2,FALSE)</f>
        <v>#N/A</v>
      </c>
      <c r="AN612" s="7" t="e">
        <f>VLOOKUP(AL612,Personal!$A$2:$I$300,3,FALSE)</f>
        <v>#N/A</v>
      </c>
      <c r="AO612" s="7" t="e">
        <f>VLOOKUP(AL612,Personal!$A$2:$I$300,6,FALSE)</f>
        <v>#N/A</v>
      </c>
      <c r="AP612" s="7" t="e">
        <f>VLOOKUP(AL612,Personal!$A$2:$I$300,7,FALSE)</f>
        <v>#N/A</v>
      </c>
      <c r="AQ612" s="7" t="e">
        <f>VLOOKUP(AL612,Personal!$A$2:$I$300,8,FALSE)</f>
        <v>#N/A</v>
      </c>
      <c r="AR612" s="7"/>
    </row>
    <row r="613" spans="2:44" x14ac:dyDescent="0.3">
      <c r="B613" s="6">
        <v>608</v>
      </c>
      <c r="C613" s="6"/>
      <c r="D613" s="6"/>
      <c r="E613" s="6"/>
      <c r="F613" s="6"/>
      <c r="G613" s="7"/>
      <c r="H613" s="7"/>
      <c r="I613" s="7"/>
      <c r="J613" s="7"/>
      <c r="K613" s="10"/>
      <c r="L613" s="7"/>
      <c r="M613" s="7"/>
      <c r="N613" s="7"/>
      <c r="O613" s="13"/>
      <c r="P613" s="13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8"/>
      <c r="AI613" s="7"/>
      <c r="AJ613" s="7"/>
      <c r="AK613" s="7"/>
      <c r="AL613" s="10"/>
      <c r="AM613" s="7" t="e">
        <f>VLOOKUP(AL613,Personal!$A$2:$I$300,2,FALSE)</f>
        <v>#N/A</v>
      </c>
      <c r="AN613" s="7" t="e">
        <f>VLOOKUP(AL613,Personal!$A$2:$I$300,3,FALSE)</f>
        <v>#N/A</v>
      </c>
      <c r="AO613" s="7" t="e">
        <f>VLOOKUP(AL613,Personal!$A$2:$I$300,6,FALSE)</f>
        <v>#N/A</v>
      </c>
      <c r="AP613" s="7" t="e">
        <f>VLOOKUP(AL613,Personal!$A$2:$I$300,7,FALSE)</f>
        <v>#N/A</v>
      </c>
      <c r="AQ613" s="7" t="e">
        <f>VLOOKUP(AL613,Personal!$A$2:$I$300,8,FALSE)</f>
        <v>#N/A</v>
      </c>
      <c r="AR613" s="7"/>
    </row>
    <row r="614" spans="2:44" x14ac:dyDescent="0.3">
      <c r="B614" s="6">
        <v>609</v>
      </c>
      <c r="C614" s="6"/>
      <c r="D614" s="6"/>
      <c r="E614" s="6"/>
      <c r="F614" s="6"/>
      <c r="G614" s="7"/>
      <c r="H614" s="7"/>
      <c r="I614" s="7"/>
      <c r="J614" s="7"/>
      <c r="K614" s="10"/>
      <c r="L614" s="7"/>
      <c r="M614" s="7"/>
      <c r="N614" s="7"/>
      <c r="O614" s="13"/>
      <c r="P614" s="13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8"/>
      <c r="AI614" s="7"/>
      <c r="AJ614" s="7"/>
      <c r="AK614" s="7"/>
      <c r="AL614" s="10"/>
      <c r="AM614" s="7" t="e">
        <f>VLOOKUP(AL614,Personal!$A$2:$I$300,2,FALSE)</f>
        <v>#N/A</v>
      </c>
      <c r="AN614" s="7" t="e">
        <f>VLOOKUP(AL614,Personal!$A$2:$I$300,3,FALSE)</f>
        <v>#N/A</v>
      </c>
      <c r="AO614" s="7" t="e">
        <f>VLOOKUP(AL614,Personal!$A$2:$I$300,6,FALSE)</f>
        <v>#N/A</v>
      </c>
      <c r="AP614" s="7" t="e">
        <f>VLOOKUP(AL614,Personal!$A$2:$I$300,7,FALSE)</f>
        <v>#N/A</v>
      </c>
      <c r="AQ614" s="7" t="e">
        <f>VLOOKUP(AL614,Personal!$A$2:$I$300,8,FALSE)</f>
        <v>#N/A</v>
      </c>
      <c r="AR614" s="7"/>
    </row>
    <row r="615" spans="2:44" x14ac:dyDescent="0.3">
      <c r="B615" s="6">
        <v>610</v>
      </c>
      <c r="C615" s="6"/>
      <c r="D615" s="6"/>
      <c r="E615" s="6"/>
      <c r="F615" s="6"/>
      <c r="G615" s="7"/>
      <c r="H615" s="7"/>
      <c r="I615" s="7"/>
      <c r="J615" s="7"/>
      <c r="K615" s="10"/>
      <c r="L615" s="7"/>
      <c r="M615" s="7"/>
      <c r="N615" s="7"/>
      <c r="O615" s="13"/>
      <c r="P615" s="13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8"/>
      <c r="AI615" s="7"/>
      <c r="AJ615" s="7"/>
      <c r="AK615" s="7"/>
      <c r="AL615" s="10"/>
      <c r="AM615" s="7" t="e">
        <f>VLOOKUP(AL615,Personal!$A$2:$I$300,2,FALSE)</f>
        <v>#N/A</v>
      </c>
      <c r="AN615" s="7" t="e">
        <f>VLOOKUP(AL615,Personal!$A$2:$I$300,3,FALSE)</f>
        <v>#N/A</v>
      </c>
      <c r="AO615" s="7" t="e">
        <f>VLOOKUP(AL615,Personal!$A$2:$I$300,6,FALSE)</f>
        <v>#N/A</v>
      </c>
      <c r="AP615" s="7" t="e">
        <f>VLOOKUP(AL615,Personal!$A$2:$I$300,7,FALSE)</f>
        <v>#N/A</v>
      </c>
      <c r="AQ615" s="7" t="e">
        <f>VLOOKUP(AL615,Personal!$A$2:$I$300,8,FALSE)</f>
        <v>#N/A</v>
      </c>
      <c r="AR615" s="7"/>
    </row>
    <row r="616" spans="2:44" x14ac:dyDescent="0.3">
      <c r="B616" s="6">
        <v>611</v>
      </c>
      <c r="C616" s="6"/>
      <c r="D616" s="6"/>
      <c r="E616" s="6"/>
      <c r="F616" s="6"/>
      <c r="G616" s="7"/>
      <c r="H616" s="7"/>
      <c r="I616" s="7"/>
      <c r="J616" s="7"/>
      <c r="K616" s="10"/>
      <c r="L616" s="7"/>
      <c r="M616" s="7"/>
      <c r="N616" s="7"/>
      <c r="O616" s="13"/>
      <c r="P616" s="13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8"/>
      <c r="AI616" s="7"/>
      <c r="AJ616" s="7"/>
      <c r="AK616" s="7"/>
      <c r="AL616" s="10"/>
      <c r="AM616" s="7" t="e">
        <f>VLOOKUP(AL616,Personal!$A$2:$I$300,2,FALSE)</f>
        <v>#N/A</v>
      </c>
      <c r="AN616" s="7" t="e">
        <f>VLOOKUP(AL616,Personal!$A$2:$I$300,3,FALSE)</f>
        <v>#N/A</v>
      </c>
      <c r="AO616" s="7" t="e">
        <f>VLOOKUP(AL616,Personal!$A$2:$I$300,6,FALSE)</f>
        <v>#N/A</v>
      </c>
      <c r="AP616" s="7" t="e">
        <f>VLOOKUP(AL616,Personal!$A$2:$I$300,7,FALSE)</f>
        <v>#N/A</v>
      </c>
      <c r="AQ616" s="7" t="e">
        <f>VLOOKUP(AL616,Personal!$A$2:$I$300,8,FALSE)</f>
        <v>#N/A</v>
      </c>
      <c r="AR616" s="7"/>
    </row>
    <row r="617" spans="2:44" x14ac:dyDescent="0.3">
      <c r="B617" s="6">
        <v>612</v>
      </c>
      <c r="C617" s="6"/>
      <c r="D617" s="6"/>
      <c r="E617" s="6"/>
      <c r="F617" s="6"/>
      <c r="G617" s="7"/>
      <c r="H617" s="7"/>
      <c r="I617" s="7"/>
      <c r="J617" s="7"/>
      <c r="K617" s="10"/>
      <c r="L617" s="7"/>
      <c r="M617" s="7"/>
      <c r="N617" s="7"/>
      <c r="O617" s="13"/>
      <c r="P617" s="13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8"/>
      <c r="AI617" s="7"/>
      <c r="AJ617" s="7"/>
      <c r="AK617" s="7"/>
      <c r="AL617" s="10"/>
      <c r="AM617" s="7" t="e">
        <f>VLOOKUP(AL617,Personal!$A$2:$I$300,2,FALSE)</f>
        <v>#N/A</v>
      </c>
      <c r="AN617" s="7" t="e">
        <f>VLOOKUP(AL617,Personal!$A$2:$I$300,3,FALSE)</f>
        <v>#N/A</v>
      </c>
      <c r="AO617" s="7" t="e">
        <f>VLOOKUP(AL617,Personal!$A$2:$I$300,6,FALSE)</f>
        <v>#N/A</v>
      </c>
      <c r="AP617" s="7" t="e">
        <f>VLOOKUP(AL617,Personal!$A$2:$I$300,7,FALSE)</f>
        <v>#N/A</v>
      </c>
      <c r="AQ617" s="7" t="e">
        <f>VLOOKUP(AL617,Personal!$A$2:$I$300,8,FALSE)</f>
        <v>#N/A</v>
      </c>
      <c r="AR617" s="7"/>
    </row>
    <row r="618" spans="2:44" x14ac:dyDescent="0.3">
      <c r="B618" s="6">
        <v>613</v>
      </c>
      <c r="C618" s="6"/>
      <c r="D618" s="6"/>
      <c r="E618" s="6"/>
      <c r="F618" s="6"/>
      <c r="G618" s="7"/>
      <c r="H618" s="7"/>
      <c r="I618" s="7"/>
      <c r="J618" s="7"/>
      <c r="K618" s="10"/>
      <c r="L618" s="7"/>
      <c r="M618" s="7"/>
      <c r="N618" s="7"/>
      <c r="O618" s="13"/>
      <c r="P618" s="13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8"/>
      <c r="AI618" s="7"/>
      <c r="AJ618" s="7"/>
      <c r="AK618" s="7"/>
      <c r="AL618" s="10"/>
      <c r="AM618" s="7" t="e">
        <f>VLOOKUP(AL618,Personal!$A$2:$I$300,2,FALSE)</f>
        <v>#N/A</v>
      </c>
      <c r="AN618" s="7" t="e">
        <f>VLOOKUP(AL618,Personal!$A$2:$I$300,3,FALSE)</f>
        <v>#N/A</v>
      </c>
      <c r="AO618" s="7" t="e">
        <f>VLOOKUP(AL618,Personal!$A$2:$I$300,6,FALSE)</f>
        <v>#N/A</v>
      </c>
      <c r="AP618" s="7" t="e">
        <f>VLOOKUP(AL618,Personal!$A$2:$I$300,7,FALSE)</f>
        <v>#N/A</v>
      </c>
      <c r="AQ618" s="7" t="e">
        <f>VLOOKUP(AL618,Personal!$A$2:$I$300,8,FALSE)</f>
        <v>#N/A</v>
      </c>
      <c r="AR618" s="7"/>
    </row>
    <row r="619" spans="2:44" x14ac:dyDescent="0.3">
      <c r="B619" s="6">
        <v>614</v>
      </c>
      <c r="C619" s="6"/>
      <c r="D619" s="6"/>
      <c r="E619" s="6"/>
      <c r="F619" s="6"/>
      <c r="G619" s="7"/>
      <c r="H619" s="7"/>
      <c r="I619" s="7"/>
      <c r="J619" s="7"/>
      <c r="K619" s="10"/>
      <c r="L619" s="7"/>
      <c r="M619" s="7"/>
      <c r="N619" s="7"/>
      <c r="O619" s="13"/>
      <c r="P619" s="13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8"/>
      <c r="AI619" s="7"/>
      <c r="AJ619" s="7"/>
      <c r="AK619" s="7"/>
      <c r="AL619" s="10"/>
      <c r="AM619" s="7" t="e">
        <f>VLOOKUP(AL619,Personal!$A$2:$I$300,2,FALSE)</f>
        <v>#N/A</v>
      </c>
      <c r="AN619" s="7" t="e">
        <f>VLOOKUP(AL619,Personal!$A$2:$I$300,3,FALSE)</f>
        <v>#N/A</v>
      </c>
      <c r="AO619" s="7" t="e">
        <f>VLOOKUP(AL619,Personal!$A$2:$I$300,6,FALSE)</f>
        <v>#N/A</v>
      </c>
      <c r="AP619" s="7" t="e">
        <f>VLOOKUP(AL619,Personal!$A$2:$I$300,7,FALSE)</f>
        <v>#N/A</v>
      </c>
      <c r="AQ619" s="7" t="e">
        <f>VLOOKUP(AL619,Personal!$A$2:$I$300,8,FALSE)</f>
        <v>#N/A</v>
      </c>
      <c r="AR619" s="7"/>
    </row>
    <row r="620" spans="2:44" x14ac:dyDescent="0.3">
      <c r="B620" s="6">
        <v>615</v>
      </c>
      <c r="C620" s="6"/>
      <c r="D620" s="6"/>
      <c r="E620" s="6"/>
      <c r="F620" s="6"/>
      <c r="G620" s="7"/>
      <c r="H620" s="7"/>
      <c r="I620" s="7"/>
      <c r="J620" s="7"/>
      <c r="K620" s="10"/>
      <c r="L620" s="7"/>
      <c r="M620" s="7"/>
      <c r="N620" s="7"/>
      <c r="O620" s="13"/>
      <c r="P620" s="13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8"/>
      <c r="AI620" s="7"/>
      <c r="AJ620" s="7"/>
      <c r="AK620" s="7"/>
      <c r="AL620" s="10"/>
      <c r="AM620" s="7" t="e">
        <f>VLOOKUP(AL620,Personal!$A$2:$I$300,2,FALSE)</f>
        <v>#N/A</v>
      </c>
      <c r="AN620" s="7" t="e">
        <f>VLOOKUP(AL620,Personal!$A$2:$I$300,3,FALSE)</f>
        <v>#N/A</v>
      </c>
      <c r="AO620" s="7" t="e">
        <f>VLOOKUP(AL620,Personal!$A$2:$I$300,6,FALSE)</f>
        <v>#N/A</v>
      </c>
      <c r="AP620" s="7" t="e">
        <f>VLOOKUP(AL620,Personal!$A$2:$I$300,7,FALSE)</f>
        <v>#N/A</v>
      </c>
      <c r="AQ620" s="7" t="e">
        <f>VLOOKUP(AL620,Personal!$A$2:$I$300,8,FALSE)</f>
        <v>#N/A</v>
      </c>
      <c r="AR620" s="7"/>
    </row>
    <row r="621" spans="2:44" x14ac:dyDescent="0.3">
      <c r="B621" s="6">
        <v>616</v>
      </c>
      <c r="C621" s="6"/>
      <c r="D621" s="6"/>
      <c r="E621" s="6"/>
      <c r="F621" s="6"/>
      <c r="G621" s="7"/>
      <c r="H621" s="7"/>
      <c r="I621" s="7"/>
      <c r="J621" s="7"/>
      <c r="K621" s="10"/>
      <c r="L621" s="7"/>
      <c r="M621" s="7"/>
      <c r="N621" s="7"/>
      <c r="O621" s="13"/>
      <c r="P621" s="13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8"/>
      <c r="AI621" s="7"/>
      <c r="AJ621" s="7"/>
      <c r="AK621" s="7"/>
      <c r="AL621" s="10"/>
      <c r="AM621" s="7" t="e">
        <f>VLOOKUP(AL621,Personal!$A$2:$I$300,2,FALSE)</f>
        <v>#N/A</v>
      </c>
      <c r="AN621" s="7" t="e">
        <f>VLOOKUP(AL621,Personal!$A$2:$I$300,3,FALSE)</f>
        <v>#N/A</v>
      </c>
      <c r="AO621" s="7" t="e">
        <f>VLOOKUP(AL621,Personal!$A$2:$I$300,6,FALSE)</f>
        <v>#N/A</v>
      </c>
      <c r="AP621" s="7" t="e">
        <f>VLOOKUP(AL621,Personal!$A$2:$I$300,7,FALSE)</f>
        <v>#N/A</v>
      </c>
      <c r="AQ621" s="7" t="e">
        <f>VLOOKUP(AL621,Personal!$A$2:$I$300,8,FALSE)</f>
        <v>#N/A</v>
      </c>
      <c r="AR621" s="7"/>
    </row>
    <row r="622" spans="2:44" x14ac:dyDescent="0.3">
      <c r="B622" s="6">
        <v>617</v>
      </c>
      <c r="C622" s="6"/>
      <c r="D622" s="6"/>
      <c r="E622" s="6"/>
      <c r="F622" s="6"/>
      <c r="G622" s="7"/>
      <c r="H622" s="7"/>
      <c r="I622" s="7"/>
      <c r="J622" s="7"/>
      <c r="K622" s="10"/>
      <c r="L622" s="7"/>
      <c r="M622" s="7"/>
      <c r="N622" s="7"/>
      <c r="O622" s="13"/>
      <c r="P622" s="13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8"/>
      <c r="AI622" s="7"/>
      <c r="AJ622" s="7"/>
      <c r="AK622" s="7"/>
      <c r="AL622" s="10"/>
      <c r="AM622" s="7" t="e">
        <f>VLOOKUP(AL622,Personal!$A$2:$I$300,2,FALSE)</f>
        <v>#N/A</v>
      </c>
      <c r="AN622" s="7" t="e">
        <f>VLOOKUP(AL622,Personal!$A$2:$I$300,3,FALSE)</f>
        <v>#N/A</v>
      </c>
      <c r="AO622" s="7" t="e">
        <f>VLOOKUP(AL622,Personal!$A$2:$I$300,6,FALSE)</f>
        <v>#N/A</v>
      </c>
      <c r="AP622" s="7" t="e">
        <f>VLOOKUP(AL622,Personal!$A$2:$I$300,7,FALSE)</f>
        <v>#N/A</v>
      </c>
      <c r="AQ622" s="7" t="e">
        <f>VLOOKUP(AL622,Personal!$A$2:$I$300,8,FALSE)</f>
        <v>#N/A</v>
      </c>
      <c r="AR622" s="7"/>
    </row>
    <row r="623" spans="2:44" x14ac:dyDescent="0.3">
      <c r="B623" s="6">
        <v>618</v>
      </c>
      <c r="C623" s="6"/>
      <c r="D623" s="6"/>
      <c r="E623" s="6"/>
      <c r="F623" s="6"/>
      <c r="G623" s="7"/>
      <c r="H623" s="7"/>
      <c r="I623" s="7"/>
      <c r="J623" s="7"/>
      <c r="K623" s="10"/>
      <c r="L623" s="7"/>
      <c r="M623" s="7"/>
      <c r="N623" s="7"/>
      <c r="O623" s="13"/>
      <c r="P623" s="13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8"/>
      <c r="AI623" s="7"/>
      <c r="AJ623" s="7"/>
      <c r="AK623" s="7"/>
      <c r="AL623" s="10"/>
      <c r="AM623" s="7" t="e">
        <f>VLOOKUP(AL623,Personal!$A$2:$I$300,2,FALSE)</f>
        <v>#N/A</v>
      </c>
      <c r="AN623" s="7" t="e">
        <f>VLOOKUP(AL623,Personal!$A$2:$I$300,3,FALSE)</f>
        <v>#N/A</v>
      </c>
      <c r="AO623" s="7" t="e">
        <f>VLOOKUP(AL623,Personal!$A$2:$I$300,6,FALSE)</f>
        <v>#N/A</v>
      </c>
      <c r="AP623" s="7" t="e">
        <f>VLOOKUP(AL623,Personal!$A$2:$I$300,7,FALSE)</f>
        <v>#N/A</v>
      </c>
      <c r="AQ623" s="7" t="e">
        <f>VLOOKUP(AL623,Personal!$A$2:$I$300,8,FALSE)</f>
        <v>#N/A</v>
      </c>
      <c r="AR623" s="7"/>
    </row>
    <row r="624" spans="2:44" x14ac:dyDescent="0.3">
      <c r="B624" s="6">
        <v>619</v>
      </c>
      <c r="C624" s="6"/>
      <c r="D624" s="6"/>
      <c r="E624" s="6"/>
      <c r="F624" s="6"/>
      <c r="G624" s="7"/>
      <c r="H624" s="7"/>
      <c r="I624" s="7"/>
      <c r="J624" s="7"/>
      <c r="K624" s="10"/>
      <c r="L624" s="7"/>
      <c r="M624" s="7"/>
      <c r="N624" s="7"/>
      <c r="O624" s="13"/>
      <c r="P624" s="13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8"/>
      <c r="AI624" s="7"/>
      <c r="AJ624" s="7"/>
      <c r="AK624" s="7"/>
      <c r="AL624" s="10"/>
      <c r="AM624" s="7" t="e">
        <f>VLOOKUP(AL624,Personal!$A$2:$I$300,2,FALSE)</f>
        <v>#N/A</v>
      </c>
      <c r="AN624" s="7" t="e">
        <f>VLOOKUP(AL624,Personal!$A$2:$I$300,3,FALSE)</f>
        <v>#N/A</v>
      </c>
      <c r="AO624" s="7" t="e">
        <f>VLOOKUP(AL624,Personal!$A$2:$I$300,6,FALSE)</f>
        <v>#N/A</v>
      </c>
      <c r="AP624" s="7" t="e">
        <f>VLOOKUP(AL624,Personal!$A$2:$I$300,7,FALSE)</f>
        <v>#N/A</v>
      </c>
      <c r="AQ624" s="7" t="e">
        <f>VLOOKUP(AL624,Personal!$A$2:$I$300,8,FALSE)</f>
        <v>#N/A</v>
      </c>
      <c r="AR624" s="7"/>
    </row>
    <row r="625" spans="2:44" x14ac:dyDescent="0.3">
      <c r="B625" s="6">
        <v>620</v>
      </c>
      <c r="C625" s="6"/>
      <c r="D625" s="6"/>
      <c r="E625" s="6"/>
      <c r="F625" s="6"/>
      <c r="G625" s="7"/>
      <c r="H625" s="7"/>
      <c r="I625" s="7"/>
      <c r="J625" s="7"/>
      <c r="K625" s="10"/>
      <c r="L625" s="7"/>
      <c r="M625" s="7"/>
      <c r="N625" s="7"/>
      <c r="O625" s="13"/>
      <c r="P625" s="13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8"/>
      <c r="AI625" s="7"/>
      <c r="AJ625" s="7"/>
      <c r="AK625" s="7"/>
      <c r="AL625" s="10"/>
      <c r="AM625" s="7" t="e">
        <f>VLOOKUP(AL625,Personal!$A$2:$I$300,2,FALSE)</f>
        <v>#N/A</v>
      </c>
      <c r="AN625" s="7" t="e">
        <f>VLOOKUP(AL625,Personal!$A$2:$I$300,3,FALSE)</f>
        <v>#N/A</v>
      </c>
      <c r="AO625" s="7" t="e">
        <f>VLOOKUP(AL625,Personal!$A$2:$I$300,6,FALSE)</f>
        <v>#N/A</v>
      </c>
      <c r="AP625" s="7" t="e">
        <f>VLOOKUP(AL625,Personal!$A$2:$I$300,7,FALSE)</f>
        <v>#N/A</v>
      </c>
      <c r="AQ625" s="7" t="e">
        <f>VLOOKUP(AL625,Personal!$A$2:$I$300,8,FALSE)</f>
        <v>#N/A</v>
      </c>
      <c r="AR625" s="7"/>
    </row>
    <row r="626" spans="2:44" x14ac:dyDescent="0.3">
      <c r="B626" s="6">
        <v>621</v>
      </c>
      <c r="C626" s="6"/>
      <c r="D626" s="6"/>
      <c r="E626" s="6"/>
      <c r="F626" s="6"/>
      <c r="G626" s="7"/>
      <c r="H626" s="7"/>
      <c r="I626" s="7"/>
      <c r="J626" s="7"/>
      <c r="K626" s="10"/>
      <c r="L626" s="7"/>
      <c r="M626" s="7"/>
      <c r="N626" s="7"/>
      <c r="O626" s="13"/>
      <c r="P626" s="13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8"/>
      <c r="AI626" s="7"/>
      <c r="AJ626" s="7"/>
      <c r="AK626" s="7"/>
      <c r="AL626" s="10"/>
      <c r="AM626" s="7" t="e">
        <f>VLOOKUP(AL626,Personal!$A$2:$I$300,2,FALSE)</f>
        <v>#N/A</v>
      </c>
      <c r="AN626" s="7" t="e">
        <f>VLOOKUP(AL626,Personal!$A$2:$I$300,3,FALSE)</f>
        <v>#N/A</v>
      </c>
      <c r="AO626" s="7" t="e">
        <f>VLOOKUP(AL626,Personal!$A$2:$I$300,6,FALSE)</f>
        <v>#N/A</v>
      </c>
      <c r="AP626" s="7" t="e">
        <f>VLOOKUP(AL626,Personal!$A$2:$I$300,7,FALSE)</f>
        <v>#N/A</v>
      </c>
      <c r="AQ626" s="7" t="e">
        <f>VLOOKUP(AL626,Personal!$A$2:$I$300,8,FALSE)</f>
        <v>#N/A</v>
      </c>
      <c r="AR626" s="7"/>
    </row>
    <row r="627" spans="2:44" x14ac:dyDescent="0.3">
      <c r="B627" s="6">
        <v>622</v>
      </c>
      <c r="C627" s="6"/>
      <c r="D627" s="6"/>
      <c r="E627" s="6"/>
      <c r="F627" s="6"/>
      <c r="G627" s="7"/>
      <c r="H627" s="7"/>
      <c r="I627" s="7"/>
      <c r="J627" s="7"/>
      <c r="K627" s="10"/>
      <c r="L627" s="7"/>
      <c r="M627" s="7"/>
      <c r="N627" s="7"/>
      <c r="O627" s="13"/>
      <c r="P627" s="13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8"/>
      <c r="AI627" s="7"/>
      <c r="AJ627" s="7"/>
      <c r="AK627" s="7"/>
      <c r="AL627" s="10"/>
      <c r="AM627" s="7" t="e">
        <f>VLOOKUP(AL627,Personal!$A$2:$I$300,2,FALSE)</f>
        <v>#N/A</v>
      </c>
      <c r="AN627" s="7" t="e">
        <f>VLOOKUP(AL627,Personal!$A$2:$I$300,3,FALSE)</f>
        <v>#N/A</v>
      </c>
      <c r="AO627" s="7" t="e">
        <f>VLOOKUP(AL627,Personal!$A$2:$I$300,6,FALSE)</f>
        <v>#N/A</v>
      </c>
      <c r="AP627" s="7" t="e">
        <f>VLOOKUP(AL627,Personal!$A$2:$I$300,7,FALSE)</f>
        <v>#N/A</v>
      </c>
      <c r="AQ627" s="7" t="e">
        <f>VLOOKUP(AL627,Personal!$A$2:$I$300,8,FALSE)</f>
        <v>#N/A</v>
      </c>
      <c r="AR627" s="7"/>
    </row>
    <row r="628" spans="2:44" x14ac:dyDescent="0.3">
      <c r="B628" s="6">
        <v>623</v>
      </c>
      <c r="C628" s="6"/>
      <c r="D628" s="6"/>
      <c r="E628" s="6"/>
      <c r="F628" s="6"/>
      <c r="G628" s="7"/>
      <c r="H628" s="7"/>
      <c r="I628" s="7"/>
      <c r="J628" s="7"/>
      <c r="K628" s="10"/>
      <c r="L628" s="7"/>
      <c r="M628" s="7"/>
      <c r="N628" s="7"/>
      <c r="O628" s="13"/>
      <c r="P628" s="13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8"/>
      <c r="AI628" s="7"/>
      <c r="AJ628" s="7"/>
      <c r="AK628" s="7"/>
      <c r="AL628" s="10"/>
      <c r="AM628" s="7" t="e">
        <f>VLOOKUP(AL628,Personal!$A$2:$I$300,2,FALSE)</f>
        <v>#N/A</v>
      </c>
      <c r="AN628" s="7" t="e">
        <f>VLOOKUP(AL628,Personal!$A$2:$I$300,3,FALSE)</f>
        <v>#N/A</v>
      </c>
      <c r="AO628" s="7" t="e">
        <f>VLOOKUP(AL628,Personal!$A$2:$I$300,6,FALSE)</f>
        <v>#N/A</v>
      </c>
      <c r="AP628" s="7" t="e">
        <f>VLOOKUP(AL628,Personal!$A$2:$I$300,7,FALSE)</f>
        <v>#N/A</v>
      </c>
      <c r="AQ628" s="7" t="e">
        <f>VLOOKUP(AL628,Personal!$A$2:$I$300,8,FALSE)</f>
        <v>#N/A</v>
      </c>
      <c r="AR628" s="7"/>
    </row>
    <row r="629" spans="2:44" x14ac:dyDescent="0.3">
      <c r="B629" s="6">
        <v>624</v>
      </c>
      <c r="C629" s="6"/>
      <c r="D629" s="6"/>
      <c r="E629" s="6"/>
      <c r="F629" s="6"/>
      <c r="G629" s="7"/>
      <c r="H629" s="7"/>
      <c r="I629" s="7"/>
      <c r="J629" s="7"/>
      <c r="K629" s="10"/>
      <c r="L629" s="7"/>
      <c r="M629" s="7"/>
      <c r="N629" s="7"/>
      <c r="O629" s="13"/>
      <c r="P629" s="13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8"/>
      <c r="AI629" s="7"/>
      <c r="AJ629" s="7"/>
      <c r="AK629" s="7"/>
      <c r="AL629" s="10"/>
      <c r="AM629" s="7" t="e">
        <f>VLOOKUP(AL629,Personal!$A$2:$I$300,2,FALSE)</f>
        <v>#N/A</v>
      </c>
      <c r="AN629" s="7" t="e">
        <f>VLOOKUP(AL629,Personal!$A$2:$I$300,3,FALSE)</f>
        <v>#N/A</v>
      </c>
      <c r="AO629" s="7" t="e">
        <f>VLOOKUP(AL629,Personal!$A$2:$I$300,6,FALSE)</f>
        <v>#N/A</v>
      </c>
      <c r="AP629" s="7" t="e">
        <f>VLOOKUP(AL629,Personal!$A$2:$I$300,7,FALSE)</f>
        <v>#N/A</v>
      </c>
      <c r="AQ629" s="7" t="e">
        <f>VLOOKUP(AL629,Personal!$A$2:$I$300,8,FALSE)</f>
        <v>#N/A</v>
      </c>
      <c r="AR629" s="7"/>
    </row>
    <row r="630" spans="2:44" x14ac:dyDescent="0.3">
      <c r="B630" s="6">
        <v>625</v>
      </c>
      <c r="C630" s="6"/>
      <c r="D630" s="6"/>
      <c r="E630" s="6"/>
      <c r="F630" s="6"/>
      <c r="G630" s="7"/>
      <c r="H630" s="7"/>
      <c r="I630" s="7"/>
      <c r="J630" s="7"/>
      <c r="K630" s="10"/>
      <c r="L630" s="7"/>
      <c r="M630" s="7"/>
      <c r="N630" s="7"/>
      <c r="O630" s="13"/>
      <c r="P630" s="13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8"/>
      <c r="AI630" s="7"/>
      <c r="AJ630" s="7"/>
      <c r="AK630" s="7"/>
      <c r="AL630" s="10"/>
      <c r="AM630" s="7" t="e">
        <f>VLOOKUP(AL630,Personal!$A$2:$I$300,2,FALSE)</f>
        <v>#N/A</v>
      </c>
      <c r="AN630" s="7" t="e">
        <f>VLOOKUP(AL630,Personal!$A$2:$I$300,3,FALSE)</f>
        <v>#N/A</v>
      </c>
      <c r="AO630" s="7" t="e">
        <f>VLOOKUP(AL630,Personal!$A$2:$I$300,6,FALSE)</f>
        <v>#N/A</v>
      </c>
      <c r="AP630" s="7" t="e">
        <f>VLOOKUP(AL630,Personal!$A$2:$I$300,7,FALSE)</f>
        <v>#N/A</v>
      </c>
      <c r="AQ630" s="7" t="e">
        <f>VLOOKUP(AL630,Personal!$A$2:$I$300,8,FALSE)</f>
        <v>#N/A</v>
      </c>
      <c r="AR630" s="7"/>
    </row>
    <row r="631" spans="2:44" x14ac:dyDescent="0.3">
      <c r="B631" s="6">
        <v>626</v>
      </c>
      <c r="C631" s="6"/>
      <c r="D631" s="6"/>
      <c r="E631" s="6"/>
      <c r="F631" s="6"/>
      <c r="G631" s="7"/>
      <c r="H631" s="7"/>
      <c r="I631" s="7"/>
      <c r="J631" s="7"/>
      <c r="K631" s="10"/>
      <c r="L631" s="7"/>
      <c r="M631" s="7"/>
      <c r="N631" s="7"/>
      <c r="O631" s="13"/>
      <c r="P631" s="13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8"/>
      <c r="AI631" s="7"/>
      <c r="AJ631" s="7"/>
      <c r="AK631" s="7"/>
      <c r="AL631" s="10"/>
      <c r="AM631" s="7" t="e">
        <f>VLOOKUP(AL631,Personal!$A$2:$I$300,2,FALSE)</f>
        <v>#N/A</v>
      </c>
      <c r="AN631" s="7" t="e">
        <f>VLOOKUP(AL631,Personal!$A$2:$I$300,3,FALSE)</f>
        <v>#N/A</v>
      </c>
      <c r="AO631" s="7" t="e">
        <f>VLOOKUP(AL631,Personal!$A$2:$I$300,6,FALSE)</f>
        <v>#N/A</v>
      </c>
      <c r="AP631" s="7" t="e">
        <f>VLOOKUP(AL631,Personal!$A$2:$I$300,7,FALSE)</f>
        <v>#N/A</v>
      </c>
      <c r="AQ631" s="7" t="e">
        <f>VLOOKUP(AL631,Personal!$A$2:$I$300,8,FALSE)</f>
        <v>#N/A</v>
      </c>
      <c r="AR631" s="7"/>
    </row>
    <row r="632" spans="2:44" x14ac:dyDescent="0.3">
      <c r="B632" s="6">
        <v>627</v>
      </c>
      <c r="C632" s="6"/>
      <c r="D632" s="6"/>
      <c r="E632" s="6"/>
      <c r="F632" s="6"/>
      <c r="G632" s="7"/>
      <c r="H632" s="7"/>
      <c r="I632" s="7"/>
      <c r="J632" s="7"/>
      <c r="K632" s="10"/>
      <c r="L632" s="7"/>
      <c r="M632" s="7"/>
      <c r="N632" s="7"/>
      <c r="O632" s="13"/>
      <c r="P632" s="13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8"/>
      <c r="AI632" s="7"/>
      <c r="AJ632" s="7"/>
      <c r="AK632" s="7"/>
      <c r="AL632" s="10"/>
      <c r="AM632" s="7" t="e">
        <f>VLOOKUP(AL632,Personal!$A$2:$I$300,2,FALSE)</f>
        <v>#N/A</v>
      </c>
      <c r="AN632" s="7" t="e">
        <f>VLOOKUP(AL632,Personal!$A$2:$I$300,3,FALSE)</f>
        <v>#N/A</v>
      </c>
      <c r="AO632" s="7" t="e">
        <f>VLOOKUP(AL632,Personal!$A$2:$I$300,6,FALSE)</f>
        <v>#N/A</v>
      </c>
      <c r="AP632" s="7" t="e">
        <f>VLOOKUP(AL632,Personal!$A$2:$I$300,7,FALSE)</f>
        <v>#N/A</v>
      </c>
      <c r="AQ632" s="7" t="e">
        <f>VLOOKUP(AL632,Personal!$A$2:$I$300,8,FALSE)</f>
        <v>#N/A</v>
      </c>
      <c r="AR632" s="7"/>
    </row>
    <row r="633" spans="2:44" x14ac:dyDescent="0.3">
      <c r="B633" s="6">
        <v>628</v>
      </c>
      <c r="C633" s="6"/>
      <c r="D633" s="6"/>
      <c r="E633" s="6"/>
      <c r="F633" s="6"/>
      <c r="G633" s="7"/>
      <c r="H633" s="7"/>
      <c r="I633" s="7"/>
      <c r="J633" s="7"/>
      <c r="K633" s="10"/>
      <c r="L633" s="7"/>
      <c r="M633" s="7"/>
      <c r="N633" s="7"/>
      <c r="O633" s="13"/>
      <c r="P633" s="13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8"/>
      <c r="AI633" s="7"/>
      <c r="AJ633" s="7"/>
      <c r="AK633" s="7"/>
      <c r="AL633" s="10"/>
      <c r="AM633" s="7" t="e">
        <f>VLOOKUP(AL633,Personal!$A$2:$I$300,2,FALSE)</f>
        <v>#N/A</v>
      </c>
      <c r="AN633" s="7" t="e">
        <f>VLOOKUP(AL633,Personal!$A$2:$I$300,3,FALSE)</f>
        <v>#N/A</v>
      </c>
      <c r="AO633" s="7" t="e">
        <f>VLOOKUP(AL633,Personal!$A$2:$I$300,6,FALSE)</f>
        <v>#N/A</v>
      </c>
      <c r="AP633" s="7" t="e">
        <f>VLOOKUP(AL633,Personal!$A$2:$I$300,7,FALSE)</f>
        <v>#N/A</v>
      </c>
      <c r="AQ633" s="7" t="e">
        <f>VLOOKUP(AL633,Personal!$A$2:$I$300,8,FALSE)</f>
        <v>#N/A</v>
      </c>
      <c r="AR633" s="7"/>
    </row>
    <row r="634" spans="2:44" x14ac:dyDescent="0.3">
      <c r="B634" s="6">
        <v>629</v>
      </c>
      <c r="C634" s="6"/>
      <c r="D634" s="6"/>
      <c r="E634" s="6"/>
      <c r="F634" s="6"/>
      <c r="G634" s="7"/>
      <c r="H634" s="7"/>
      <c r="I634" s="7"/>
      <c r="J634" s="7"/>
      <c r="K634" s="10"/>
      <c r="L634" s="7"/>
      <c r="M634" s="7"/>
      <c r="N634" s="7"/>
      <c r="O634" s="13"/>
      <c r="P634" s="13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8"/>
      <c r="AI634" s="7"/>
      <c r="AJ634" s="7"/>
      <c r="AK634" s="7"/>
      <c r="AL634" s="10"/>
      <c r="AM634" s="7" t="e">
        <f>VLOOKUP(AL634,Personal!$A$2:$I$300,2,FALSE)</f>
        <v>#N/A</v>
      </c>
      <c r="AN634" s="7" t="e">
        <f>VLOOKUP(AL634,Personal!$A$2:$I$300,3,FALSE)</f>
        <v>#N/A</v>
      </c>
      <c r="AO634" s="7" t="e">
        <f>VLOOKUP(AL634,Personal!$A$2:$I$300,6,FALSE)</f>
        <v>#N/A</v>
      </c>
      <c r="AP634" s="7" t="e">
        <f>VLOOKUP(AL634,Personal!$A$2:$I$300,7,FALSE)</f>
        <v>#N/A</v>
      </c>
      <c r="AQ634" s="7" t="e">
        <f>VLOOKUP(AL634,Personal!$A$2:$I$300,8,FALSE)</f>
        <v>#N/A</v>
      </c>
      <c r="AR634" s="7"/>
    </row>
    <row r="635" spans="2:44" x14ac:dyDescent="0.3">
      <c r="B635" s="6">
        <v>630</v>
      </c>
      <c r="C635" s="6"/>
      <c r="D635" s="6"/>
      <c r="E635" s="6"/>
      <c r="F635" s="6"/>
      <c r="G635" s="7"/>
      <c r="H635" s="7"/>
      <c r="I635" s="7"/>
      <c r="J635" s="7"/>
      <c r="K635" s="10"/>
      <c r="L635" s="7"/>
      <c r="M635" s="7"/>
      <c r="N635" s="7"/>
      <c r="O635" s="13"/>
      <c r="P635" s="13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8"/>
      <c r="AI635" s="7"/>
      <c r="AJ635" s="7"/>
      <c r="AK635" s="7"/>
      <c r="AL635" s="10"/>
      <c r="AM635" s="7" t="e">
        <f>VLOOKUP(AL635,Personal!$A$2:$I$300,2,FALSE)</f>
        <v>#N/A</v>
      </c>
      <c r="AN635" s="7" t="e">
        <f>VLOOKUP(AL635,Personal!$A$2:$I$300,3,FALSE)</f>
        <v>#N/A</v>
      </c>
      <c r="AO635" s="7" t="e">
        <f>VLOOKUP(AL635,Personal!$A$2:$I$300,6,FALSE)</f>
        <v>#N/A</v>
      </c>
      <c r="AP635" s="7" t="e">
        <f>VLOOKUP(AL635,Personal!$A$2:$I$300,7,FALSE)</f>
        <v>#N/A</v>
      </c>
      <c r="AQ635" s="7" t="e">
        <f>VLOOKUP(AL635,Personal!$A$2:$I$300,8,FALSE)</f>
        <v>#N/A</v>
      </c>
      <c r="AR635" s="7"/>
    </row>
    <row r="636" spans="2:44" x14ac:dyDescent="0.3">
      <c r="B636" s="6">
        <v>631</v>
      </c>
      <c r="C636" s="6"/>
      <c r="D636" s="6"/>
      <c r="E636" s="6"/>
      <c r="F636" s="6"/>
      <c r="G636" s="7"/>
      <c r="H636" s="7"/>
      <c r="I636" s="7"/>
      <c r="J636" s="7"/>
      <c r="K636" s="10"/>
      <c r="L636" s="7"/>
      <c r="M636" s="7"/>
      <c r="N636" s="7"/>
      <c r="O636" s="13"/>
      <c r="P636" s="13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8"/>
      <c r="AI636" s="7"/>
      <c r="AJ636" s="7"/>
      <c r="AK636" s="7"/>
      <c r="AL636" s="10"/>
      <c r="AM636" s="7" t="e">
        <f>VLOOKUP(AL636,Personal!$A$2:$I$300,2,FALSE)</f>
        <v>#N/A</v>
      </c>
      <c r="AN636" s="7" t="e">
        <f>VLOOKUP(AL636,Personal!$A$2:$I$300,3,FALSE)</f>
        <v>#N/A</v>
      </c>
      <c r="AO636" s="7" t="e">
        <f>VLOOKUP(AL636,Personal!$A$2:$I$300,6,FALSE)</f>
        <v>#N/A</v>
      </c>
      <c r="AP636" s="7" t="e">
        <f>VLOOKUP(AL636,Personal!$A$2:$I$300,7,FALSE)</f>
        <v>#N/A</v>
      </c>
      <c r="AQ636" s="7" t="e">
        <f>VLOOKUP(AL636,Personal!$A$2:$I$300,8,FALSE)</f>
        <v>#N/A</v>
      </c>
      <c r="AR636" s="7"/>
    </row>
    <row r="637" spans="2:44" x14ac:dyDescent="0.3">
      <c r="B637" s="6">
        <v>632</v>
      </c>
      <c r="C637" s="6"/>
      <c r="D637" s="6"/>
      <c r="E637" s="6"/>
      <c r="F637" s="6"/>
      <c r="G637" s="7"/>
      <c r="H637" s="7"/>
      <c r="I637" s="7"/>
      <c r="J637" s="7"/>
      <c r="K637" s="10"/>
      <c r="L637" s="7"/>
      <c r="M637" s="7"/>
      <c r="N637" s="7"/>
      <c r="O637" s="13"/>
      <c r="P637" s="13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8"/>
      <c r="AI637" s="7"/>
      <c r="AJ637" s="7"/>
      <c r="AK637" s="7"/>
      <c r="AL637" s="10"/>
      <c r="AM637" s="7" t="e">
        <f>VLOOKUP(AL637,Personal!$A$2:$I$300,2,FALSE)</f>
        <v>#N/A</v>
      </c>
      <c r="AN637" s="7" t="e">
        <f>VLOOKUP(AL637,Personal!$A$2:$I$300,3,FALSE)</f>
        <v>#N/A</v>
      </c>
      <c r="AO637" s="7" t="e">
        <f>VLOOKUP(AL637,Personal!$A$2:$I$300,6,FALSE)</f>
        <v>#N/A</v>
      </c>
      <c r="AP637" s="7" t="e">
        <f>VLOOKUP(AL637,Personal!$A$2:$I$300,7,FALSE)</f>
        <v>#N/A</v>
      </c>
      <c r="AQ637" s="7" t="e">
        <f>VLOOKUP(AL637,Personal!$A$2:$I$300,8,FALSE)</f>
        <v>#N/A</v>
      </c>
      <c r="AR637" s="7"/>
    </row>
    <row r="638" spans="2:44" x14ac:dyDescent="0.3">
      <c r="B638" s="6">
        <v>633</v>
      </c>
      <c r="C638" s="6"/>
      <c r="D638" s="6"/>
      <c r="E638" s="6"/>
      <c r="F638" s="6"/>
      <c r="G638" s="7"/>
      <c r="H638" s="7"/>
      <c r="I638" s="7"/>
      <c r="J638" s="7"/>
      <c r="K638" s="10"/>
      <c r="L638" s="7"/>
      <c r="M638" s="7"/>
      <c r="N638" s="7"/>
      <c r="O638" s="13"/>
      <c r="P638" s="13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8"/>
      <c r="AI638" s="7"/>
      <c r="AJ638" s="7"/>
      <c r="AK638" s="7"/>
      <c r="AL638" s="10"/>
      <c r="AM638" s="7" t="e">
        <f>VLOOKUP(AL638,Personal!$A$2:$I$300,2,FALSE)</f>
        <v>#N/A</v>
      </c>
      <c r="AN638" s="7" t="e">
        <f>VLOOKUP(AL638,Personal!$A$2:$I$300,3,FALSE)</f>
        <v>#N/A</v>
      </c>
      <c r="AO638" s="7" t="e">
        <f>VLOOKUP(AL638,Personal!$A$2:$I$300,6,FALSE)</f>
        <v>#N/A</v>
      </c>
      <c r="AP638" s="7" t="e">
        <f>VLOOKUP(AL638,Personal!$A$2:$I$300,7,FALSE)</f>
        <v>#N/A</v>
      </c>
      <c r="AQ638" s="7" t="e">
        <f>VLOOKUP(AL638,Personal!$A$2:$I$300,8,FALSE)</f>
        <v>#N/A</v>
      </c>
      <c r="AR638" s="7"/>
    </row>
    <row r="639" spans="2:44" x14ac:dyDescent="0.3">
      <c r="B639" s="6">
        <v>634</v>
      </c>
      <c r="C639" s="6"/>
      <c r="D639" s="6"/>
      <c r="E639" s="6"/>
      <c r="F639" s="6"/>
      <c r="G639" s="7"/>
      <c r="H639" s="7"/>
      <c r="I639" s="7"/>
      <c r="J639" s="7"/>
      <c r="K639" s="10"/>
      <c r="L639" s="7"/>
      <c r="M639" s="7"/>
      <c r="N639" s="7"/>
      <c r="O639" s="13"/>
      <c r="P639" s="13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8"/>
      <c r="AI639" s="7"/>
      <c r="AJ639" s="7"/>
      <c r="AK639" s="7"/>
      <c r="AL639" s="10"/>
      <c r="AM639" s="7" t="e">
        <f>VLOOKUP(AL639,Personal!$A$2:$I$300,2,FALSE)</f>
        <v>#N/A</v>
      </c>
      <c r="AN639" s="7" t="e">
        <f>VLOOKUP(AL639,Personal!$A$2:$I$300,3,FALSE)</f>
        <v>#N/A</v>
      </c>
      <c r="AO639" s="7" t="e">
        <f>VLOOKUP(AL639,Personal!$A$2:$I$300,6,FALSE)</f>
        <v>#N/A</v>
      </c>
      <c r="AP639" s="7" t="e">
        <f>VLOOKUP(AL639,Personal!$A$2:$I$300,7,FALSE)</f>
        <v>#N/A</v>
      </c>
      <c r="AQ639" s="7" t="e">
        <f>VLOOKUP(AL639,Personal!$A$2:$I$300,8,FALSE)</f>
        <v>#N/A</v>
      </c>
      <c r="AR639" s="7"/>
    </row>
    <row r="640" spans="2:44" x14ac:dyDescent="0.3">
      <c r="B640" s="6">
        <v>635</v>
      </c>
      <c r="C640" s="6"/>
      <c r="D640" s="6"/>
      <c r="E640" s="6"/>
      <c r="F640" s="6"/>
      <c r="G640" s="7"/>
      <c r="H640" s="7"/>
      <c r="I640" s="7"/>
      <c r="J640" s="7"/>
      <c r="K640" s="10"/>
      <c r="L640" s="7"/>
      <c r="M640" s="7"/>
      <c r="N640" s="7"/>
      <c r="O640" s="13"/>
      <c r="P640" s="13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8"/>
      <c r="AI640" s="7"/>
      <c r="AJ640" s="7"/>
      <c r="AK640" s="7"/>
      <c r="AL640" s="10"/>
      <c r="AM640" s="7" t="e">
        <f>VLOOKUP(AL640,Personal!$A$2:$I$300,2,FALSE)</f>
        <v>#N/A</v>
      </c>
      <c r="AN640" s="7" t="e">
        <f>VLOOKUP(AL640,Personal!$A$2:$I$300,3,FALSE)</f>
        <v>#N/A</v>
      </c>
      <c r="AO640" s="7" t="e">
        <f>VLOOKUP(AL640,Personal!$A$2:$I$300,6,FALSE)</f>
        <v>#N/A</v>
      </c>
      <c r="AP640" s="7" t="e">
        <f>VLOOKUP(AL640,Personal!$A$2:$I$300,7,FALSE)</f>
        <v>#N/A</v>
      </c>
      <c r="AQ640" s="7" t="e">
        <f>VLOOKUP(AL640,Personal!$A$2:$I$300,8,FALSE)</f>
        <v>#N/A</v>
      </c>
      <c r="AR640" s="7"/>
    </row>
    <row r="641" spans="2:44" x14ac:dyDescent="0.3">
      <c r="B641" s="6">
        <v>636</v>
      </c>
      <c r="C641" s="6"/>
      <c r="D641" s="6"/>
      <c r="E641" s="6"/>
      <c r="F641" s="6"/>
      <c r="G641" s="7"/>
      <c r="H641" s="7"/>
      <c r="I641" s="7"/>
      <c r="J641" s="7"/>
      <c r="K641" s="10"/>
      <c r="L641" s="7"/>
      <c r="M641" s="7"/>
      <c r="N641" s="7"/>
      <c r="O641" s="13"/>
      <c r="P641" s="13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8"/>
      <c r="AI641" s="7"/>
      <c r="AJ641" s="7"/>
      <c r="AK641" s="7"/>
      <c r="AL641" s="10"/>
      <c r="AM641" s="7" t="e">
        <f>VLOOKUP(AL641,Personal!$A$2:$I$300,2,FALSE)</f>
        <v>#N/A</v>
      </c>
      <c r="AN641" s="7" t="e">
        <f>VLOOKUP(AL641,Personal!$A$2:$I$300,3,FALSE)</f>
        <v>#N/A</v>
      </c>
      <c r="AO641" s="7" t="e">
        <f>VLOOKUP(AL641,Personal!$A$2:$I$300,6,FALSE)</f>
        <v>#N/A</v>
      </c>
      <c r="AP641" s="7" t="e">
        <f>VLOOKUP(AL641,Personal!$A$2:$I$300,7,FALSE)</f>
        <v>#N/A</v>
      </c>
      <c r="AQ641" s="7" t="e">
        <f>VLOOKUP(AL641,Personal!$A$2:$I$300,8,FALSE)</f>
        <v>#N/A</v>
      </c>
      <c r="AR641" s="7"/>
    </row>
    <row r="642" spans="2:44" x14ac:dyDescent="0.3">
      <c r="B642" s="6">
        <v>637</v>
      </c>
      <c r="C642" s="6"/>
      <c r="D642" s="6"/>
      <c r="E642" s="6"/>
      <c r="F642" s="6"/>
      <c r="G642" s="7"/>
      <c r="H642" s="7"/>
      <c r="I642" s="7"/>
      <c r="J642" s="7"/>
      <c r="K642" s="10"/>
      <c r="L642" s="7"/>
      <c r="M642" s="7"/>
      <c r="N642" s="7"/>
      <c r="O642" s="13"/>
      <c r="P642" s="13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8"/>
      <c r="AI642" s="7"/>
      <c r="AJ642" s="7"/>
      <c r="AK642" s="7"/>
      <c r="AL642" s="10"/>
      <c r="AM642" s="7" t="e">
        <f>VLOOKUP(AL642,Personal!$A$2:$I$300,2,FALSE)</f>
        <v>#N/A</v>
      </c>
      <c r="AN642" s="7" t="e">
        <f>VLOOKUP(AL642,Personal!$A$2:$I$300,3,FALSE)</f>
        <v>#N/A</v>
      </c>
      <c r="AO642" s="7" t="e">
        <f>VLOOKUP(AL642,Personal!$A$2:$I$300,6,FALSE)</f>
        <v>#N/A</v>
      </c>
      <c r="AP642" s="7" t="e">
        <f>VLOOKUP(AL642,Personal!$A$2:$I$300,7,FALSE)</f>
        <v>#N/A</v>
      </c>
      <c r="AQ642" s="7" t="e">
        <f>VLOOKUP(AL642,Personal!$A$2:$I$300,8,FALSE)</f>
        <v>#N/A</v>
      </c>
      <c r="AR642" s="7"/>
    </row>
    <row r="643" spans="2:44" x14ac:dyDescent="0.3">
      <c r="B643" s="6">
        <v>638</v>
      </c>
      <c r="C643" s="6"/>
      <c r="D643" s="6"/>
      <c r="E643" s="6"/>
      <c r="F643" s="6"/>
      <c r="G643" s="7"/>
      <c r="H643" s="7"/>
      <c r="I643" s="7"/>
      <c r="J643" s="7"/>
      <c r="K643" s="10"/>
      <c r="L643" s="7"/>
      <c r="M643" s="7"/>
      <c r="N643" s="7"/>
      <c r="O643" s="13"/>
      <c r="P643" s="13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8"/>
      <c r="AI643" s="7"/>
      <c r="AJ643" s="7"/>
      <c r="AK643" s="7"/>
      <c r="AL643" s="10"/>
      <c r="AM643" s="7" t="e">
        <f>VLOOKUP(AL643,Personal!$A$2:$I$300,2,FALSE)</f>
        <v>#N/A</v>
      </c>
      <c r="AN643" s="7" t="e">
        <f>VLOOKUP(AL643,Personal!$A$2:$I$300,3,FALSE)</f>
        <v>#N/A</v>
      </c>
      <c r="AO643" s="7" t="e">
        <f>VLOOKUP(AL643,Personal!$A$2:$I$300,6,FALSE)</f>
        <v>#N/A</v>
      </c>
      <c r="AP643" s="7" t="e">
        <f>VLOOKUP(AL643,Personal!$A$2:$I$300,7,FALSE)</f>
        <v>#N/A</v>
      </c>
      <c r="AQ643" s="7" t="e">
        <f>VLOOKUP(AL643,Personal!$A$2:$I$300,8,FALSE)</f>
        <v>#N/A</v>
      </c>
      <c r="AR643" s="7"/>
    </row>
    <row r="644" spans="2:44" x14ac:dyDescent="0.3">
      <c r="B644" s="6">
        <v>639</v>
      </c>
      <c r="C644" s="6"/>
      <c r="D644" s="6"/>
      <c r="E644" s="6"/>
      <c r="F644" s="6"/>
      <c r="G644" s="7"/>
      <c r="H644" s="7"/>
      <c r="I644" s="7"/>
      <c r="J644" s="7"/>
      <c r="K644" s="10"/>
      <c r="L644" s="7"/>
      <c r="M644" s="7"/>
      <c r="N644" s="7"/>
      <c r="O644" s="13"/>
      <c r="P644" s="13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8"/>
      <c r="AI644" s="7"/>
      <c r="AJ644" s="7"/>
      <c r="AK644" s="7"/>
      <c r="AL644" s="10"/>
      <c r="AM644" s="7" t="e">
        <f>VLOOKUP(AL644,Personal!$A$2:$I$300,2,FALSE)</f>
        <v>#N/A</v>
      </c>
      <c r="AN644" s="7" t="e">
        <f>VLOOKUP(AL644,Personal!$A$2:$I$300,3,FALSE)</f>
        <v>#N/A</v>
      </c>
      <c r="AO644" s="7" t="e">
        <f>VLOOKUP(AL644,Personal!$A$2:$I$300,6,FALSE)</f>
        <v>#N/A</v>
      </c>
      <c r="AP644" s="7" t="e">
        <f>VLOOKUP(AL644,Personal!$A$2:$I$300,7,FALSE)</f>
        <v>#N/A</v>
      </c>
      <c r="AQ644" s="7" t="e">
        <f>VLOOKUP(AL644,Personal!$A$2:$I$300,8,FALSE)</f>
        <v>#N/A</v>
      </c>
      <c r="AR644" s="7"/>
    </row>
    <row r="645" spans="2:44" x14ac:dyDescent="0.3">
      <c r="B645" s="6">
        <v>640</v>
      </c>
      <c r="C645" s="6"/>
      <c r="D645" s="6"/>
      <c r="E645" s="6"/>
      <c r="F645" s="6"/>
      <c r="G645" s="7"/>
      <c r="H645" s="7"/>
      <c r="I645" s="7"/>
      <c r="J645" s="7"/>
      <c r="K645" s="10"/>
      <c r="L645" s="7"/>
      <c r="M645" s="7"/>
      <c r="N645" s="7"/>
      <c r="O645" s="13"/>
      <c r="P645" s="13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8"/>
      <c r="AI645" s="7"/>
      <c r="AJ645" s="7"/>
      <c r="AK645" s="7"/>
      <c r="AL645" s="10"/>
      <c r="AM645" s="7" t="e">
        <f>VLOOKUP(AL645,Personal!$A$2:$I$300,2,FALSE)</f>
        <v>#N/A</v>
      </c>
      <c r="AN645" s="7" t="e">
        <f>VLOOKUP(AL645,Personal!$A$2:$I$300,3,FALSE)</f>
        <v>#N/A</v>
      </c>
      <c r="AO645" s="7" t="e">
        <f>VLOOKUP(AL645,Personal!$A$2:$I$300,6,FALSE)</f>
        <v>#N/A</v>
      </c>
      <c r="AP645" s="7" t="e">
        <f>VLOOKUP(AL645,Personal!$A$2:$I$300,7,FALSE)</f>
        <v>#N/A</v>
      </c>
      <c r="AQ645" s="7" t="e">
        <f>VLOOKUP(AL645,Personal!$A$2:$I$300,8,FALSE)</f>
        <v>#N/A</v>
      </c>
      <c r="AR645" s="7"/>
    </row>
    <row r="646" spans="2:44" x14ac:dyDescent="0.3">
      <c r="B646" s="6">
        <v>641</v>
      </c>
      <c r="C646" s="6"/>
      <c r="D646" s="6"/>
      <c r="E646" s="6"/>
      <c r="F646" s="6"/>
      <c r="G646" s="7"/>
      <c r="H646" s="7"/>
      <c r="I646" s="7"/>
      <c r="J646" s="7"/>
      <c r="K646" s="10"/>
      <c r="L646" s="7"/>
      <c r="M646" s="7"/>
      <c r="N646" s="7"/>
      <c r="O646" s="13"/>
      <c r="P646" s="13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8"/>
      <c r="AI646" s="7"/>
      <c r="AJ646" s="7"/>
      <c r="AK646" s="7"/>
      <c r="AL646" s="10"/>
      <c r="AM646" s="7" t="e">
        <f>VLOOKUP(AL646,Personal!$A$2:$I$300,2,FALSE)</f>
        <v>#N/A</v>
      </c>
      <c r="AN646" s="7" t="e">
        <f>VLOOKUP(AL646,Personal!$A$2:$I$300,3,FALSE)</f>
        <v>#N/A</v>
      </c>
      <c r="AO646" s="7" t="e">
        <f>VLOOKUP(AL646,Personal!$A$2:$I$300,6,FALSE)</f>
        <v>#N/A</v>
      </c>
      <c r="AP646" s="7" t="e">
        <f>VLOOKUP(AL646,Personal!$A$2:$I$300,7,FALSE)</f>
        <v>#N/A</v>
      </c>
      <c r="AQ646" s="7" t="e">
        <f>VLOOKUP(AL646,Personal!$A$2:$I$300,8,FALSE)</f>
        <v>#N/A</v>
      </c>
      <c r="AR646" s="7"/>
    </row>
    <row r="647" spans="2:44" x14ac:dyDescent="0.3">
      <c r="B647" s="6">
        <v>642</v>
      </c>
      <c r="C647" s="6"/>
      <c r="D647" s="6"/>
      <c r="E647" s="6"/>
      <c r="F647" s="6"/>
      <c r="G647" s="7"/>
      <c r="H647" s="7"/>
      <c r="I647" s="7"/>
      <c r="J647" s="7"/>
      <c r="K647" s="10"/>
      <c r="L647" s="7"/>
      <c r="M647" s="7"/>
      <c r="N647" s="7"/>
      <c r="O647" s="13"/>
      <c r="P647" s="13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8"/>
      <c r="AI647" s="7"/>
      <c r="AJ647" s="7"/>
      <c r="AK647" s="7"/>
      <c r="AL647" s="10"/>
      <c r="AM647" s="7" t="e">
        <f>VLOOKUP(AL647,Personal!$A$2:$I$300,2,FALSE)</f>
        <v>#N/A</v>
      </c>
      <c r="AN647" s="7" t="e">
        <f>VLOOKUP(AL647,Personal!$A$2:$I$300,3,FALSE)</f>
        <v>#N/A</v>
      </c>
      <c r="AO647" s="7" t="e">
        <f>VLOOKUP(AL647,Personal!$A$2:$I$300,6,FALSE)</f>
        <v>#N/A</v>
      </c>
      <c r="AP647" s="7" t="e">
        <f>VLOOKUP(AL647,Personal!$A$2:$I$300,7,FALSE)</f>
        <v>#N/A</v>
      </c>
      <c r="AQ647" s="7" t="e">
        <f>VLOOKUP(AL647,Personal!$A$2:$I$300,8,FALSE)</f>
        <v>#N/A</v>
      </c>
      <c r="AR647" s="7"/>
    </row>
    <row r="648" spans="2:44" x14ac:dyDescent="0.3">
      <c r="B648" s="6">
        <v>643</v>
      </c>
      <c r="C648" s="6"/>
      <c r="D648" s="6"/>
      <c r="E648" s="6"/>
      <c r="F648" s="6"/>
      <c r="G648" s="7"/>
      <c r="H648" s="7"/>
      <c r="I648" s="7"/>
      <c r="J648" s="7"/>
      <c r="K648" s="10"/>
      <c r="L648" s="7"/>
      <c r="M648" s="7"/>
      <c r="N648" s="7"/>
      <c r="O648" s="13"/>
      <c r="P648" s="13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8"/>
      <c r="AI648" s="7"/>
      <c r="AJ648" s="7"/>
      <c r="AK648" s="7"/>
      <c r="AL648" s="10"/>
      <c r="AM648" s="7" t="e">
        <f>VLOOKUP(AL648,Personal!$A$2:$I$300,2,FALSE)</f>
        <v>#N/A</v>
      </c>
      <c r="AN648" s="7" t="e">
        <f>VLOOKUP(AL648,Personal!$A$2:$I$300,3,FALSE)</f>
        <v>#N/A</v>
      </c>
      <c r="AO648" s="7" t="e">
        <f>VLOOKUP(AL648,Personal!$A$2:$I$300,6,FALSE)</f>
        <v>#N/A</v>
      </c>
      <c r="AP648" s="7" t="e">
        <f>VLOOKUP(AL648,Personal!$A$2:$I$300,7,FALSE)</f>
        <v>#N/A</v>
      </c>
      <c r="AQ648" s="7" t="e">
        <f>VLOOKUP(AL648,Personal!$A$2:$I$300,8,FALSE)</f>
        <v>#N/A</v>
      </c>
      <c r="AR648" s="7"/>
    </row>
    <row r="649" spans="2:44" x14ac:dyDescent="0.3">
      <c r="B649" s="6">
        <v>644</v>
      </c>
      <c r="C649" s="6"/>
      <c r="D649" s="6"/>
      <c r="E649" s="6"/>
      <c r="F649" s="6"/>
      <c r="G649" s="7"/>
      <c r="H649" s="7"/>
      <c r="I649" s="7"/>
      <c r="J649" s="7"/>
      <c r="K649" s="10"/>
      <c r="L649" s="7"/>
      <c r="M649" s="7"/>
      <c r="N649" s="7"/>
      <c r="O649" s="13"/>
      <c r="P649" s="13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8"/>
      <c r="AI649" s="7"/>
      <c r="AJ649" s="7"/>
      <c r="AK649" s="7"/>
      <c r="AL649" s="10"/>
      <c r="AM649" s="7" t="e">
        <f>VLOOKUP(AL649,Personal!$A$2:$I$300,2,FALSE)</f>
        <v>#N/A</v>
      </c>
      <c r="AN649" s="7" t="e">
        <f>VLOOKUP(AL649,Personal!$A$2:$I$300,3,FALSE)</f>
        <v>#N/A</v>
      </c>
      <c r="AO649" s="7" t="e">
        <f>VLOOKUP(AL649,Personal!$A$2:$I$300,6,FALSE)</f>
        <v>#N/A</v>
      </c>
      <c r="AP649" s="7" t="e">
        <f>VLOOKUP(AL649,Personal!$A$2:$I$300,7,FALSE)</f>
        <v>#N/A</v>
      </c>
      <c r="AQ649" s="7" t="e">
        <f>VLOOKUP(AL649,Personal!$A$2:$I$300,8,FALSE)</f>
        <v>#N/A</v>
      </c>
      <c r="AR649" s="7"/>
    </row>
    <row r="650" spans="2:44" x14ac:dyDescent="0.3">
      <c r="B650" s="6">
        <v>645</v>
      </c>
      <c r="C650" s="6"/>
      <c r="D650" s="6"/>
      <c r="E650" s="6"/>
      <c r="F650" s="6"/>
      <c r="G650" s="7"/>
      <c r="H650" s="7"/>
      <c r="I650" s="7"/>
      <c r="J650" s="7"/>
      <c r="K650" s="10"/>
      <c r="L650" s="7"/>
      <c r="M650" s="7"/>
      <c r="N650" s="7"/>
      <c r="O650" s="13"/>
      <c r="P650" s="13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8"/>
      <c r="AI650" s="7"/>
      <c r="AJ650" s="7"/>
      <c r="AK650" s="7"/>
      <c r="AL650" s="10"/>
      <c r="AM650" s="7" t="e">
        <f>VLOOKUP(AL650,Personal!$A$2:$I$300,2,FALSE)</f>
        <v>#N/A</v>
      </c>
      <c r="AN650" s="7" t="e">
        <f>VLOOKUP(AL650,Personal!$A$2:$I$300,3,FALSE)</f>
        <v>#N/A</v>
      </c>
      <c r="AO650" s="7" t="e">
        <f>VLOOKUP(AL650,Personal!$A$2:$I$300,6,FALSE)</f>
        <v>#N/A</v>
      </c>
      <c r="AP650" s="7" t="e">
        <f>VLOOKUP(AL650,Personal!$A$2:$I$300,7,FALSE)</f>
        <v>#N/A</v>
      </c>
      <c r="AQ650" s="7" t="e">
        <f>VLOOKUP(AL650,Personal!$A$2:$I$300,8,FALSE)</f>
        <v>#N/A</v>
      </c>
      <c r="AR650" s="7"/>
    </row>
    <row r="651" spans="2:44" x14ac:dyDescent="0.3">
      <c r="B651" s="6">
        <v>646</v>
      </c>
      <c r="C651" s="6"/>
      <c r="D651" s="6"/>
      <c r="E651" s="6"/>
      <c r="F651" s="6"/>
      <c r="G651" s="7"/>
      <c r="H651" s="7"/>
      <c r="I651" s="7"/>
      <c r="J651" s="7"/>
      <c r="K651" s="10"/>
      <c r="L651" s="7"/>
      <c r="M651" s="7"/>
      <c r="N651" s="7"/>
      <c r="O651" s="13"/>
      <c r="P651" s="13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8"/>
      <c r="AI651" s="7"/>
      <c r="AJ651" s="7"/>
      <c r="AK651" s="7"/>
      <c r="AL651" s="10"/>
      <c r="AM651" s="7" t="e">
        <f>VLOOKUP(AL651,Personal!$A$2:$I$300,2,FALSE)</f>
        <v>#N/A</v>
      </c>
      <c r="AN651" s="7" t="e">
        <f>VLOOKUP(AL651,Personal!$A$2:$I$300,3,FALSE)</f>
        <v>#N/A</v>
      </c>
      <c r="AO651" s="7" t="e">
        <f>VLOOKUP(AL651,Personal!$A$2:$I$300,6,FALSE)</f>
        <v>#N/A</v>
      </c>
      <c r="AP651" s="7" t="e">
        <f>VLOOKUP(AL651,Personal!$A$2:$I$300,7,FALSE)</f>
        <v>#N/A</v>
      </c>
      <c r="AQ651" s="7" t="e">
        <f>VLOOKUP(AL651,Personal!$A$2:$I$300,8,FALSE)</f>
        <v>#N/A</v>
      </c>
      <c r="AR651" s="7"/>
    </row>
    <row r="652" spans="2:44" x14ac:dyDescent="0.3">
      <c r="B652" s="6">
        <v>647</v>
      </c>
      <c r="C652" s="6"/>
      <c r="D652" s="6"/>
      <c r="E652" s="6"/>
      <c r="F652" s="6"/>
      <c r="G652" s="7"/>
      <c r="H652" s="7"/>
      <c r="I652" s="7"/>
      <c r="J652" s="7"/>
      <c r="K652" s="10"/>
      <c r="L652" s="7"/>
      <c r="M652" s="7"/>
      <c r="N652" s="7"/>
      <c r="O652" s="13"/>
      <c r="P652" s="13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8"/>
      <c r="AI652" s="7"/>
      <c r="AJ652" s="7"/>
      <c r="AK652" s="7"/>
      <c r="AL652" s="10"/>
      <c r="AM652" s="7" t="e">
        <f>VLOOKUP(AL652,Personal!$A$2:$I$300,2,FALSE)</f>
        <v>#N/A</v>
      </c>
      <c r="AN652" s="7" t="e">
        <f>VLOOKUP(AL652,Personal!$A$2:$I$300,3,FALSE)</f>
        <v>#N/A</v>
      </c>
      <c r="AO652" s="7" t="e">
        <f>VLOOKUP(AL652,Personal!$A$2:$I$300,6,FALSE)</f>
        <v>#N/A</v>
      </c>
      <c r="AP652" s="7" t="e">
        <f>VLOOKUP(AL652,Personal!$A$2:$I$300,7,FALSE)</f>
        <v>#N/A</v>
      </c>
      <c r="AQ652" s="7" t="e">
        <f>VLOOKUP(AL652,Personal!$A$2:$I$300,8,FALSE)</f>
        <v>#N/A</v>
      </c>
      <c r="AR652" s="7"/>
    </row>
    <row r="653" spans="2:44" x14ac:dyDescent="0.3">
      <c r="B653" s="6">
        <v>648</v>
      </c>
      <c r="C653" s="6"/>
      <c r="D653" s="6"/>
      <c r="E653" s="6"/>
      <c r="F653" s="6"/>
      <c r="G653" s="7"/>
      <c r="H653" s="7"/>
      <c r="I653" s="7"/>
      <c r="J653" s="7"/>
      <c r="K653" s="10"/>
      <c r="L653" s="7"/>
      <c r="M653" s="7"/>
      <c r="N653" s="7"/>
      <c r="O653" s="13"/>
      <c r="P653" s="13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8"/>
      <c r="AI653" s="7"/>
      <c r="AJ653" s="7"/>
      <c r="AK653" s="7"/>
      <c r="AL653" s="10"/>
      <c r="AM653" s="7" t="e">
        <f>VLOOKUP(AL653,Personal!$A$2:$I$300,2,FALSE)</f>
        <v>#N/A</v>
      </c>
      <c r="AN653" s="7" t="e">
        <f>VLOOKUP(AL653,Personal!$A$2:$I$300,3,FALSE)</f>
        <v>#N/A</v>
      </c>
      <c r="AO653" s="7" t="e">
        <f>VLOOKUP(AL653,Personal!$A$2:$I$300,6,FALSE)</f>
        <v>#N/A</v>
      </c>
      <c r="AP653" s="7" t="e">
        <f>VLOOKUP(AL653,Personal!$A$2:$I$300,7,FALSE)</f>
        <v>#N/A</v>
      </c>
      <c r="AQ653" s="7" t="e">
        <f>VLOOKUP(AL653,Personal!$A$2:$I$300,8,FALSE)</f>
        <v>#N/A</v>
      </c>
      <c r="AR653" s="7"/>
    </row>
    <row r="654" spans="2:44" x14ac:dyDescent="0.3">
      <c r="B654" s="6">
        <v>649</v>
      </c>
      <c r="C654" s="6"/>
      <c r="D654" s="6"/>
      <c r="E654" s="6"/>
      <c r="F654" s="6"/>
      <c r="G654" s="7"/>
      <c r="H654" s="7"/>
      <c r="I654" s="7"/>
      <c r="J654" s="7"/>
      <c r="K654" s="10"/>
      <c r="L654" s="7"/>
      <c r="M654" s="7"/>
      <c r="N654" s="7"/>
      <c r="O654" s="13"/>
      <c r="P654" s="13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8"/>
      <c r="AI654" s="7"/>
      <c r="AJ654" s="7"/>
      <c r="AK654" s="7"/>
      <c r="AL654" s="10"/>
      <c r="AM654" s="7" t="e">
        <f>VLOOKUP(AL654,Personal!$A$2:$I$300,2,FALSE)</f>
        <v>#N/A</v>
      </c>
      <c r="AN654" s="7" t="e">
        <f>VLOOKUP(AL654,Personal!$A$2:$I$300,3,FALSE)</f>
        <v>#N/A</v>
      </c>
      <c r="AO654" s="7" t="e">
        <f>VLOOKUP(AL654,Personal!$A$2:$I$300,6,FALSE)</f>
        <v>#N/A</v>
      </c>
      <c r="AP654" s="7" t="e">
        <f>VLOOKUP(AL654,Personal!$A$2:$I$300,7,FALSE)</f>
        <v>#N/A</v>
      </c>
      <c r="AQ654" s="7" t="e">
        <f>VLOOKUP(AL654,Personal!$A$2:$I$300,8,FALSE)</f>
        <v>#N/A</v>
      </c>
      <c r="AR654" s="7"/>
    </row>
    <row r="655" spans="2:44" x14ac:dyDescent="0.3">
      <c r="B655" s="6">
        <v>650</v>
      </c>
      <c r="C655" s="6"/>
      <c r="D655" s="6"/>
      <c r="E655" s="6"/>
      <c r="F655" s="6"/>
      <c r="G655" s="7"/>
      <c r="H655" s="7"/>
      <c r="I655" s="7"/>
      <c r="J655" s="7"/>
      <c r="K655" s="10"/>
      <c r="L655" s="7"/>
      <c r="M655" s="7"/>
      <c r="N655" s="7"/>
      <c r="O655" s="13"/>
      <c r="P655" s="13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8"/>
      <c r="AI655" s="7"/>
      <c r="AJ655" s="7"/>
      <c r="AK655" s="7"/>
      <c r="AL655" s="10"/>
      <c r="AM655" s="7" t="e">
        <f>VLOOKUP(AL655,Personal!$A$2:$I$300,2,FALSE)</f>
        <v>#N/A</v>
      </c>
      <c r="AN655" s="7" t="e">
        <f>VLOOKUP(AL655,Personal!$A$2:$I$300,3,FALSE)</f>
        <v>#N/A</v>
      </c>
      <c r="AO655" s="7" t="e">
        <f>VLOOKUP(AL655,Personal!$A$2:$I$300,6,FALSE)</f>
        <v>#N/A</v>
      </c>
      <c r="AP655" s="7" t="e">
        <f>VLOOKUP(AL655,Personal!$A$2:$I$300,7,FALSE)</f>
        <v>#N/A</v>
      </c>
      <c r="AQ655" s="7" t="e">
        <f>VLOOKUP(AL655,Personal!$A$2:$I$300,8,FALSE)</f>
        <v>#N/A</v>
      </c>
      <c r="AR655" s="7"/>
    </row>
    <row r="656" spans="2:44" x14ac:dyDescent="0.3">
      <c r="B656" s="6">
        <v>651</v>
      </c>
      <c r="C656" s="6"/>
      <c r="D656" s="6"/>
      <c r="E656" s="6"/>
      <c r="F656" s="6"/>
      <c r="G656" s="7"/>
      <c r="H656" s="7"/>
      <c r="I656" s="7"/>
      <c r="J656" s="7"/>
      <c r="K656" s="10"/>
      <c r="L656" s="7"/>
      <c r="M656" s="7"/>
      <c r="N656" s="7"/>
      <c r="O656" s="13"/>
      <c r="P656" s="13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8"/>
      <c r="AI656" s="7"/>
      <c r="AJ656" s="7"/>
      <c r="AK656" s="7"/>
      <c r="AL656" s="10"/>
      <c r="AM656" s="7" t="e">
        <f>VLOOKUP(AL656,Personal!$A$2:$I$300,2,FALSE)</f>
        <v>#N/A</v>
      </c>
      <c r="AN656" s="7" t="e">
        <f>VLOOKUP(AL656,Personal!$A$2:$I$300,3,FALSE)</f>
        <v>#N/A</v>
      </c>
      <c r="AO656" s="7" t="e">
        <f>VLOOKUP(AL656,Personal!$A$2:$I$300,6,FALSE)</f>
        <v>#N/A</v>
      </c>
      <c r="AP656" s="7" t="e">
        <f>VLOOKUP(AL656,Personal!$A$2:$I$300,7,FALSE)</f>
        <v>#N/A</v>
      </c>
      <c r="AQ656" s="7" t="e">
        <f>VLOOKUP(AL656,Personal!$A$2:$I$300,8,FALSE)</f>
        <v>#N/A</v>
      </c>
      <c r="AR656" s="7"/>
    </row>
    <row r="657" spans="2:44" x14ac:dyDescent="0.3">
      <c r="B657" s="6">
        <v>652</v>
      </c>
      <c r="C657" s="6"/>
      <c r="D657" s="6"/>
      <c r="E657" s="6"/>
      <c r="F657" s="6"/>
      <c r="G657" s="7"/>
      <c r="H657" s="7"/>
      <c r="I657" s="7"/>
      <c r="J657" s="7"/>
      <c r="K657" s="10"/>
      <c r="L657" s="7"/>
      <c r="M657" s="7"/>
      <c r="N657" s="7"/>
      <c r="O657" s="13"/>
      <c r="P657" s="13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8"/>
      <c r="AI657" s="7"/>
      <c r="AJ657" s="7"/>
      <c r="AK657" s="7"/>
      <c r="AL657" s="10"/>
      <c r="AM657" s="7" t="e">
        <f>VLOOKUP(AL657,Personal!$A$2:$I$300,2,FALSE)</f>
        <v>#N/A</v>
      </c>
      <c r="AN657" s="7" t="e">
        <f>VLOOKUP(AL657,Personal!$A$2:$I$300,3,FALSE)</f>
        <v>#N/A</v>
      </c>
      <c r="AO657" s="7" t="e">
        <f>VLOOKUP(AL657,Personal!$A$2:$I$300,6,FALSE)</f>
        <v>#N/A</v>
      </c>
      <c r="AP657" s="7" t="e">
        <f>VLOOKUP(AL657,Personal!$A$2:$I$300,7,FALSE)</f>
        <v>#N/A</v>
      </c>
      <c r="AQ657" s="7" t="e">
        <f>VLOOKUP(AL657,Personal!$A$2:$I$300,8,FALSE)</f>
        <v>#N/A</v>
      </c>
      <c r="AR657" s="7"/>
    </row>
    <row r="658" spans="2:44" x14ac:dyDescent="0.3">
      <c r="B658" s="6">
        <v>653</v>
      </c>
      <c r="C658" s="6"/>
      <c r="D658" s="6"/>
      <c r="E658" s="6"/>
      <c r="F658" s="6"/>
      <c r="G658" s="7"/>
      <c r="H658" s="7"/>
      <c r="I658" s="7"/>
      <c r="J658" s="7"/>
      <c r="K658" s="10"/>
      <c r="L658" s="7"/>
      <c r="M658" s="7"/>
      <c r="N658" s="7"/>
      <c r="O658" s="13"/>
      <c r="P658" s="13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8"/>
      <c r="AI658" s="7"/>
      <c r="AJ658" s="7"/>
      <c r="AK658" s="7"/>
      <c r="AL658" s="10"/>
      <c r="AM658" s="7" t="e">
        <f>VLOOKUP(AL658,Personal!$A$2:$I$300,2,FALSE)</f>
        <v>#N/A</v>
      </c>
      <c r="AN658" s="7" t="e">
        <f>VLOOKUP(AL658,Personal!$A$2:$I$300,3,FALSE)</f>
        <v>#N/A</v>
      </c>
      <c r="AO658" s="7" t="e">
        <f>VLOOKUP(AL658,Personal!$A$2:$I$300,6,FALSE)</f>
        <v>#N/A</v>
      </c>
      <c r="AP658" s="7" t="e">
        <f>VLOOKUP(AL658,Personal!$A$2:$I$300,7,FALSE)</f>
        <v>#N/A</v>
      </c>
      <c r="AQ658" s="7" t="e">
        <f>VLOOKUP(AL658,Personal!$A$2:$I$300,8,FALSE)</f>
        <v>#N/A</v>
      </c>
      <c r="AR658" s="7"/>
    </row>
    <row r="659" spans="2:44" x14ac:dyDescent="0.3">
      <c r="B659" s="6">
        <v>654</v>
      </c>
      <c r="C659" s="6"/>
      <c r="D659" s="6"/>
      <c r="E659" s="6"/>
      <c r="F659" s="6"/>
      <c r="G659" s="7"/>
      <c r="H659" s="7"/>
      <c r="I659" s="7"/>
      <c r="J659" s="7"/>
      <c r="K659" s="10"/>
      <c r="L659" s="7"/>
      <c r="M659" s="7"/>
      <c r="N659" s="7"/>
      <c r="O659" s="13"/>
      <c r="P659" s="13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8"/>
      <c r="AI659" s="7"/>
      <c r="AJ659" s="7"/>
      <c r="AK659" s="7"/>
      <c r="AL659" s="10"/>
      <c r="AM659" s="7" t="e">
        <f>VLOOKUP(AL659,Personal!$A$2:$I$300,2,FALSE)</f>
        <v>#N/A</v>
      </c>
      <c r="AN659" s="7" t="e">
        <f>VLOOKUP(AL659,Personal!$A$2:$I$300,3,FALSE)</f>
        <v>#N/A</v>
      </c>
      <c r="AO659" s="7" t="e">
        <f>VLOOKUP(AL659,Personal!$A$2:$I$300,6,FALSE)</f>
        <v>#N/A</v>
      </c>
      <c r="AP659" s="7" t="e">
        <f>VLOOKUP(AL659,Personal!$A$2:$I$300,7,FALSE)</f>
        <v>#N/A</v>
      </c>
      <c r="AQ659" s="7" t="e">
        <f>VLOOKUP(AL659,Personal!$A$2:$I$300,8,FALSE)</f>
        <v>#N/A</v>
      </c>
      <c r="AR659" s="7"/>
    </row>
    <row r="660" spans="2:44" x14ac:dyDescent="0.3">
      <c r="B660" s="6">
        <v>655</v>
      </c>
      <c r="C660" s="6"/>
      <c r="D660" s="6"/>
      <c r="E660" s="6"/>
      <c r="F660" s="6"/>
      <c r="G660" s="7"/>
      <c r="H660" s="7"/>
      <c r="I660" s="7"/>
      <c r="J660" s="7"/>
      <c r="K660" s="10"/>
      <c r="L660" s="7"/>
      <c r="M660" s="7"/>
      <c r="N660" s="7"/>
      <c r="O660" s="13"/>
      <c r="P660" s="13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8"/>
      <c r="AI660" s="7"/>
      <c r="AJ660" s="7"/>
      <c r="AK660" s="7"/>
      <c r="AL660" s="10"/>
      <c r="AM660" s="7" t="e">
        <f>VLOOKUP(AL660,Personal!$A$2:$I$300,2,FALSE)</f>
        <v>#N/A</v>
      </c>
      <c r="AN660" s="7" t="e">
        <f>VLOOKUP(AL660,Personal!$A$2:$I$300,3,FALSE)</f>
        <v>#N/A</v>
      </c>
      <c r="AO660" s="7" t="e">
        <f>VLOOKUP(AL660,Personal!$A$2:$I$300,6,FALSE)</f>
        <v>#N/A</v>
      </c>
      <c r="AP660" s="7" t="e">
        <f>VLOOKUP(AL660,Personal!$A$2:$I$300,7,FALSE)</f>
        <v>#N/A</v>
      </c>
      <c r="AQ660" s="7" t="e">
        <f>VLOOKUP(AL660,Personal!$A$2:$I$300,8,FALSE)</f>
        <v>#N/A</v>
      </c>
      <c r="AR660" s="7"/>
    </row>
    <row r="661" spans="2:44" x14ac:dyDescent="0.3">
      <c r="B661" s="6">
        <v>656</v>
      </c>
      <c r="C661" s="6"/>
      <c r="D661" s="6"/>
      <c r="E661" s="6"/>
      <c r="F661" s="6"/>
      <c r="G661" s="7"/>
      <c r="H661" s="7"/>
      <c r="I661" s="7"/>
      <c r="J661" s="7"/>
      <c r="K661" s="10"/>
      <c r="L661" s="7"/>
      <c r="M661" s="7"/>
      <c r="N661" s="7"/>
      <c r="O661" s="13"/>
      <c r="P661" s="13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8"/>
      <c r="AI661" s="7"/>
      <c r="AJ661" s="7"/>
      <c r="AK661" s="7"/>
      <c r="AL661" s="10"/>
      <c r="AM661" s="7" t="e">
        <f>VLOOKUP(AL661,Personal!$A$2:$I$300,2,FALSE)</f>
        <v>#N/A</v>
      </c>
      <c r="AN661" s="7" t="e">
        <f>VLOOKUP(AL661,Personal!$A$2:$I$300,3,FALSE)</f>
        <v>#N/A</v>
      </c>
      <c r="AO661" s="7" t="e">
        <f>VLOOKUP(AL661,Personal!$A$2:$I$300,6,FALSE)</f>
        <v>#N/A</v>
      </c>
      <c r="AP661" s="7" t="e">
        <f>VLOOKUP(AL661,Personal!$A$2:$I$300,7,FALSE)</f>
        <v>#N/A</v>
      </c>
      <c r="AQ661" s="7" t="e">
        <f>VLOOKUP(AL661,Personal!$A$2:$I$300,8,FALSE)</f>
        <v>#N/A</v>
      </c>
      <c r="AR661" s="7"/>
    </row>
    <row r="662" spans="2:44" x14ac:dyDescent="0.3">
      <c r="B662" s="6">
        <v>657</v>
      </c>
      <c r="C662" s="6"/>
      <c r="D662" s="6"/>
      <c r="E662" s="6"/>
      <c r="F662" s="6"/>
      <c r="G662" s="7"/>
      <c r="H662" s="7"/>
      <c r="I662" s="7"/>
      <c r="J662" s="7"/>
      <c r="K662" s="10"/>
      <c r="L662" s="7"/>
      <c r="M662" s="7"/>
      <c r="N662" s="7"/>
      <c r="O662" s="13"/>
      <c r="P662" s="13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8"/>
      <c r="AI662" s="7"/>
      <c r="AJ662" s="7"/>
      <c r="AK662" s="7"/>
      <c r="AL662" s="10"/>
      <c r="AM662" s="7" t="e">
        <f>VLOOKUP(AL662,Personal!$A$2:$I$300,2,FALSE)</f>
        <v>#N/A</v>
      </c>
      <c r="AN662" s="7" t="e">
        <f>VLOOKUP(AL662,Personal!$A$2:$I$300,3,FALSE)</f>
        <v>#N/A</v>
      </c>
      <c r="AO662" s="7" t="e">
        <f>VLOOKUP(AL662,Personal!$A$2:$I$300,6,FALSE)</f>
        <v>#N/A</v>
      </c>
      <c r="AP662" s="7" t="e">
        <f>VLOOKUP(AL662,Personal!$A$2:$I$300,7,FALSE)</f>
        <v>#N/A</v>
      </c>
      <c r="AQ662" s="7" t="e">
        <f>VLOOKUP(AL662,Personal!$A$2:$I$300,8,FALSE)</f>
        <v>#N/A</v>
      </c>
      <c r="AR662" s="7"/>
    </row>
    <row r="663" spans="2:44" x14ac:dyDescent="0.3">
      <c r="B663" s="6">
        <v>658</v>
      </c>
      <c r="C663" s="6"/>
      <c r="D663" s="6"/>
      <c r="E663" s="6"/>
      <c r="F663" s="6"/>
      <c r="G663" s="7"/>
      <c r="H663" s="7"/>
      <c r="I663" s="7"/>
      <c r="J663" s="7"/>
      <c r="K663" s="10"/>
      <c r="L663" s="7"/>
      <c r="M663" s="7"/>
      <c r="N663" s="7"/>
      <c r="O663" s="13"/>
      <c r="P663" s="13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8"/>
      <c r="AI663" s="7"/>
      <c r="AJ663" s="7"/>
      <c r="AK663" s="7"/>
      <c r="AL663" s="10"/>
      <c r="AM663" s="7" t="e">
        <f>VLOOKUP(AL663,Personal!$A$2:$I$300,2,FALSE)</f>
        <v>#N/A</v>
      </c>
      <c r="AN663" s="7" t="e">
        <f>VLOOKUP(AL663,Personal!$A$2:$I$300,3,FALSE)</f>
        <v>#N/A</v>
      </c>
      <c r="AO663" s="7" t="e">
        <f>VLOOKUP(AL663,Personal!$A$2:$I$300,6,FALSE)</f>
        <v>#N/A</v>
      </c>
      <c r="AP663" s="7" t="e">
        <f>VLOOKUP(AL663,Personal!$A$2:$I$300,7,FALSE)</f>
        <v>#N/A</v>
      </c>
      <c r="AQ663" s="7" t="e">
        <f>VLOOKUP(AL663,Personal!$A$2:$I$300,8,FALSE)</f>
        <v>#N/A</v>
      </c>
      <c r="AR663" s="7"/>
    </row>
    <row r="664" spans="2:44" x14ac:dyDescent="0.3">
      <c r="B664" s="6">
        <v>659</v>
      </c>
      <c r="C664" s="6"/>
      <c r="D664" s="6"/>
      <c r="E664" s="6"/>
      <c r="F664" s="6"/>
      <c r="G664" s="7"/>
      <c r="H664" s="7"/>
      <c r="I664" s="7"/>
      <c r="J664" s="7"/>
      <c r="K664" s="10"/>
      <c r="L664" s="7"/>
      <c r="M664" s="7"/>
      <c r="N664" s="7"/>
      <c r="O664" s="13"/>
      <c r="P664" s="13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8"/>
      <c r="AI664" s="7"/>
      <c r="AJ664" s="7"/>
      <c r="AK664" s="7"/>
      <c r="AL664" s="10"/>
      <c r="AM664" s="7" t="e">
        <f>VLOOKUP(AL664,Personal!$A$2:$I$300,2,FALSE)</f>
        <v>#N/A</v>
      </c>
      <c r="AN664" s="7" t="e">
        <f>VLOOKUP(AL664,Personal!$A$2:$I$300,3,FALSE)</f>
        <v>#N/A</v>
      </c>
      <c r="AO664" s="7" t="e">
        <f>VLOOKUP(AL664,Personal!$A$2:$I$300,6,FALSE)</f>
        <v>#N/A</v>
      </c>
      <c r="AP664" s="7" t="e">
        <f>VLOOKUP(AL664,Personal!$A$2:$I$300,7,FALSE)</f>
        <v>#N/A</v>
      </c>
      <c r="AQ664" s="7" t="e">
        <f>VLOOKUP(AL664,Personal!$A$2:$I$300,8,FALSE)</f>
        <v>#N/A</v>
      </c>
      <c r="AR664" s="7"/>
    </row>
    <row r="665" spans="2:44" x14ac:dyDescent="0.3">
      <c r="B665" s="6">
        <v>660</v>
      </c>
      <c r="C665" s="6"/>
      <c r="D665" s="6"/>
      <c r="E665" s="6"/>
      <c r="F665" s="6"/>
      <c r="G665" s="7"/>
      <c r="H665" s="7"/>
      <c r="I665" s="7"/>
      <c r="J665" s="7"/>
      <c r="K665" s="10"/>
      <c r="L665" s="7"/>
      <c r="M665" s="7"/>
      <c r="N665" s="7"/>
      <c r="O665" s="13"/>
      <c r="P665" s="13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8"/>
      <c r="AI665" s="7"/>
      <c r="AJ665" s="7"/>
      <c r="AK665" s="7"/>
      <c r="AL665" s="10"/>
      <c r="AM665" s="7" t="e">
        <f>VLOOKUP(AL665,Personal!$A$2:$I$300,2,FALSE)</f>
        <v>#N/A</v>
      </c>
      <c r="AN665" s="7" t="e">
        <f>VLOOKUP(AL665,Personal!$A$2:$I$300,3,FALSE)</f>
        <v>#N/A</v>
      </c>
      <c r="AO665" s="7" t="e">
        <f>VLOOKUP(AL665,Personal!$A$2:$I$300,6,FALSE)</f>
        <v>#N/A</v>
      </c>
      <c r="AP665" s="7" t="e">
        <f>VLOOKUP(AL665,Personal!$A$2:$I$300,7,FALSE)</f>
        <v>#N/A</v>
      </c>
      <c r="AQ665" s="7" t="e">
        <f>VLOOKUP(AL665,Personal!$A$2:$I$300,8,FALSE)</f>
        <v>#N/A</v>
      </c>
      <c r="AR665" s="7"/>
    </row>
    <row r="666" spans="2:44" x14ac:dyDescent="0.3">
      <c r="B666" s="6">
        <v>661</v>
      </c>
      <c r="C666" s="6"/>
      <c r="D666" s="6"/>
      <c r="E666" s="6"/>
      <c r="F666" s="6"/>
      <c r="G666" s="7"/>
      <c r="H666" s="7"/>
      <c r="I666" s="7"/>
      <c r="J666" s="7"/>
      <c r="K666" s="10"/>
      <c r="L666" s="7"/>
      <c r="M666" s="7"/>
      <c r="N666" s="7"/>
      <c r="O666" s="13"/>
      <c r="P666" s="13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8"/>
      <c r="AI666" s="7"/>
      <c r="AJ666" s="7"/>
      <c r="AK666" s="7"/>
      <c r="AL666" s="10"/>
      <c r="AM666" s="7" t="e">
        <f>VLOOKUP(AL666,Personal!$A$2:$I$300,2,FALSE)</f>
        <v>#N/A</v>
      </c>
      <c r="AN666" s="7" t="e">
        <f>VLOOKUP(AL666,Personal!$A$2:$I$300,3,FALSE)</f>
        <v>#N/A</v>
      </c>
      <c r="AO666" s="7" t="e">
        <f>VLOOKUP(AL666,Personal!$A$2:$I$300,6,FALSE)</f>
        <v>#N/A</v>
      </c>
      <c r="AP666" s="7" t="e">
        <f>VLOOKUP(AL666,Personal!$A$2:$I$300,7,FALSE)</f>
        <v>#N/A</v>
      </c>
      <c r="AQ666" s="7" t="e">
        <f>VLOOKUP(AL666,Personal!$A$2:$I$300,8,FALSE)</f>
        <v>#N/A</v>
      </c>
      <c r="AR666" s="7"/>
    </row>
    <row r="667" spans="2:44" x14ac:dyDescent="0.3">
      <c r="B667" s="6">
        <v>662</v>
      </c>
      <c r="C667" s="6"/>
      <c r="D667" s="6"/>
      <c r="E667" s="6"/>
      <c r="F667" s="6"/>
      <c r="G667" s="7"/>
      <c r="H667" s="7"/>
      <c r="I667" s="7"/>
      <c r="J667" s="7"/>
      <c r="K667" s="10"/>
      <c r="L667" s="7"/>
      <c r="M667" s="7"/>
      <c r="N667" s="7"/>
      <c r="O667" s="13"/>
      <c r="P667" s="13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8"/>
      <c r="AI667" s="7"/>
      <c r="AJ667" s="7"/>
      <c r="AK667" s="7"/>
      <c r="AL667" s="10"/>
      <c r="AM667" s="7" t="e">
        <f>VLOOKUP(AL667,Personal!$A$2:$I$300,2,FALSE)</f>
        <v>#N/A</v>
      </c>
      <c r="AN667" s="7" t="e">
        <f>VLOOKUP(AL667,Personal!$A$2:$I$300,3,FALSE)</f>
        <v>#N/A</v>
      </c>
      <c r="AO667" s="7" t="e">
        <f>VLOOKUP(AL667,Personal!$A$2:$I$300,6,FALSE)</f>
        <v>#N/A</v>
      </c>
      <c r="AP667" s="7" t="e">
        <f>VLOOKUP(AL667,Personal!$A$2:$I$300,7,FALSE)</f>
        <v>#N/A</v>
      </c>
      <c r="AQ667" s="7" t="e">
        <f>VLOOKUP(AL667,Personal!$A$2:$I$300,8,FALSE)</f>
        <v>#N/A</v>
      </c>
      <c r="AR667" s="7"/>
    </row>
    <row r="668" spans="2:44" x14ac:dyDescent="0.3">
      <c r="B668" s="6">
        <v>663</v>
      </c>
      <c r="C668" s="6"/>
      <c r="D668" s="6"/>
      <c r="E668" s="6"/>
      <c r="F668" s="6"/>
      <c r="G668" s="7"/>
      <c r="H668" s="7"/>
      <c r="I668" s="7"/>
      <c r="J668" s="7"/>
      <c r="K668" s="10"/>
      <c r="L668" s="7"/>
      <c r="M668" s="7"/>
      <c r="N668" s="7"/>
      <c r="O668" s="13"/>
      <c r="P668" s="13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8"/>
      <c r="AI668" s="7"/>
      <c r="AJ668" s="7"/>
      <c r="AK668" s="7"/>
      <c r="AL668" s="10"/>
      <c r="AM668" s="7" t="e">
        <f>VLOOKUP(AL668,Personal!$A$2:$I$300,2,FALSE)</f>
        <v>#N/A</v>
      </c>
      <c r="AN668" s="7" t="e">
        <f>VLOOKUP(AL668,Personal!$A$2:$I$300,3,FALSE)</f>
        <v>#N/A</v>
      </c>
      <c r="AO668" s="7" t="e">
        <f>VLOOKUP(AL668,Personal!$A$2:$I$300,6,FALSE)</f>
        <v>#N/A</v>
      </c>
      <c r="AP668" s="7" t="e">
        <f>VLOOKUP(AL668,Personal!$A$2:$I$300,7,FALSE)</f>
        <v>#N/A</v>
      </c>
      <c r="AQ668" s="7" t="e">
        <f>VLOOKUP(AL668,Personal!$A$2:$I$300,8,FALSE)</f>
        <v>#N/A</v>
      </c>
      <c r="AR668" s="7"/>
    </row>
    <row r="669" spans="2:44" x14ac:dyDescent="0.3">
      <c r="B669" s="6">
        <v>664</v>
      </c>
      <c r="C669" s="6"/>
      <c r="D669" s="6"/>
      <c r="E669" s="6"/>
      <c r="F669" s="6"/>
      <c r="G669" s="7"/>
      <c r="H669" s="7"/>
      <c r="I669" s="7"/>
      <c r="J669" s="7"/>
      <c r="K669" s="10"/>
      <c r="L669" s="7"/>
      <c r="M669" s="7"/>
      <c r="N669" s="7"/>
      <c r="O669" s="13"/>
      <c r="P669" s="13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8"/>
      <c r="AI669" s="7"/>
      <c r="AJ669" s="7"/>
      <c r="AK669" s="7"/>
      <c r="AL669" s="10"/>
      <c r="AM669" s="7" t="e">
        <f>VLOOKUP(AL669,Personal!$A$2:$I$300,2,FALSE)</f>
        <v>#N/A</v>
      </c>
      <c r="AN669" s="7" t="e">
        <f>VLOOKUP(AL669,Personal!$A$2:$I$300,3,FALSE)</f>
        <v>#N/A</v>
      </c>
      <c r="AO669" s="7" t="e">
        <f>VLOOKUP(AL669,Personal!$A$2:$I$300,6,FALSE)</f>
        <v>#N/A</v>
      </c>
      <c r="AP669" s="7" t="e">
        <f>VLOOKUP(AL669,Personal!$A$2:$I$300,7,FALSE)</f>
        <v>#N/A</v>
      </c>
      <c r="AQ669" s="7" t="e">
        <f>VLOOKUP(AL669,Personal!$A$2:$I$300,8,FALSE)</f>
        <v>#N/A</v>
      </c>
      <c r="AR669" s="7"/>
    </row>
    <row r="670" spans="2:44" x14ac:dyDescent="0.3">
      <c r="B670" s="6">
        <v>665</v>
      </c>
      <c r="C670" s="6"/>
      <c r="D670" s="6"/>
      <c r="E670" s="6"/>
      <c r="F670" s="6"/>
      <c r="G670" s="7"/>
      <c r="H670" s="7"/>
      <c r="I670" s="7"/>
      <c r="J670" s="7"/>
      <c r="K670" s="10"/>
      <c r="L670" s="7"/>
      <c r="M670" s="7"/>
      <c r="N670" s="7"/>
      <c r="O670" s="13"/>
      <c r="P670" s="13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8"/>
      <c r="AI670" s="7"/>
      <c r="AJ670" s="7"/>
      <c r="AK670" s="7"/>
      <c r="AL670" s="10"/>
      <c r="AM670" s="7" t="e">
        <f>VLOOKUP(AL670,Personal!$A$2:$I$300,2,FALSE)</f>
        <v>#N/A</v>
      </c>
      <c r="AN670" s="7" t="e">
        <f>VLOOKUP(AL670,Personal!$A$2:$I$300,3,FALSE)</f>
        <v>#N/A</v>
      </c>
      <c r="AO670" s="7" t="e">
        <f>VLOOKUP(AL670,Personal!$A$2:$I$300,6,FALSE)</f>
        <v>#N/A</v>
      </c>
      <c r="AP670" s="7" t="e">
        <f>VLOOKUP(AL670,Personal!$A$2:$I$300,7,FALSE)</f>
        <v>#N/A</v>
      </c>
      <c r="AQ670" s="7" t="e">
        <f>VLOOKUP(AL670,Personal!$A$2:$I$300,8,FALSE)</f>
        <v>#N/A</v>
      </c>
      <c r="AR670" s="7"/>
    </row>
    <row r="671" spans="2:44" x14ac:dyDescent="0.3">
      <c r="B671" s="6">
        <v>666</v>
      </c>
      <c r="C671" s="6"/>
      <c r="D671" s="6"/>
      <c r="E671" s="6"/>
      <c r="F671" s="6"/>
      <c r="G671" s="7"/>
      <c r="H671" s="7"/>
      <c r="I671" s="7"/>
      <c r="J671" s="7"/>
      <c r="K671" s="10"/>
      <c r="L671" s="7"/>
      <c r="M671" s="7"/>
      <c r="N671" s="7"/>
      <c r="O671" s="13"/>
      <c r="P671" s="13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8"/>
      <c r="AI671" s="7"/>
      <c r="AJ671" s="7"/>
      <c r="AK671" s="7"/>
      <c r="AL671" s="10"/>
      <c r="AM671" s="7" t="e">
        <f>VLOOKUP(AL671,Personal!$A$2:$I$300,2,FALSE)</f>
        <v>#N/A</v>
      </c>
      <c r="AN671" s="7" t="e">
        <f>VLOOKUP(AL671,Personal!$A$2:$I$300,3,FALSE)</f>
        <v>#N/A</v>
      </c>
      <c r="AO671" s="7" t="e">
        <f>VLOOKUP(AL671,Personal!$A$2:$I$300,6,FALSE)</f>
        <v>#N/A</v>
      </c>
      <c r="AP671" s="7" t="e">
        <f>VLOOKUP(AL671,Personal!$A$2:$I$300,7,FALSE)</f>
        <v>#N/A</v>
      </c>
      <c r="AQ671" s="7" t="e">
        <f>VLOOKUP(AL671,Personal!$A$2:$I$300,8,FALSE)</f>
        <v>#N/A</v>
      </c>
      <c r="AR671" s="7"/>
    </row>
    <row r="672" spans="2:44" x14ac:dyDescent="0.3">
      <c r="B672" s="6">
        <v>667</v>
      </c>
      <c r="C672" s="6"/>
      <c r="D672" s="6"/>
      <c r="E672" s="6"/>
      <c r="F672" s="6"/>
      <c r="G672" s="7"/>
      <c r="H672" s="7"/>
      <c r="I672" s="7"/>
      <c r="J672" s="7"/>
      <c r="K672" s="10"/>
      <c r="L672" s="7"/>
      <c r="M672" s="7"/>
      <c r="N672" s="7"/>
      <c r="O672" s="13"/>
      <c r="P672" s="13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8"/>
      <c r="AI672" s="7"/>
      <c r="AJ672" s="7"/>
      <c r="AK672" s="7"/>
      <c r="AL672" s="10"/>
      <c r="AM672" s="7" t="e">
        <f>VLOOKUP(AL672,Personal!$A$2:$I$300,2,FALSE)</f>
        <v>#N/A</v>
      </c>
      <c r="AN672" s="7" t="e">
        <f>VLOOKUP(AL672,Personal!$A$2:$I$300,3,FALSE)</f>
        <v>#N/A</v>
      </c>
      <c r="AO672" s="7" t="e">
        <f>VLOOKUP(AL672,Personal!$A$2:$I$300,6,FALSE)</f>
        <v>#N/A</v>
      </c>
      <c r="AP672" s="7" t="e">
        <f>VLOOKUP(AL672,Personal!$A$2:$I$300,7,FALSE)</f>
        <v>#N/A</v>
      </c>
      <c r="AQ672" s="7" t="e">
        <f>VLOOKUP(AL672,Personal!$A$2:$I$300,8,FALSE)</f>
        <v>#N/A</v>
      </c>
      <c r="AR672" s="7"/>
    </row>
    <row r="673" spans="2:44" x14ac:dyDescent="0.3">
      <c r="B673" s="6">
        <v>668</v>
      </c>
      <c r="C673" s="6"/>
      <c r="D673" s="6"/>
      <c r="E673" s="6"/>
      <c r="F673" s="6"/>
      <c r="G673" s="7"/>
      <c r="H673" s="7"/>
      <c r="I673" s="7"/>
      <c r="J673" s="7"/>
      <c r="K673" s="10"/>
      <c r="L673" s="7"/>
      <c r="M673" s="7"/>
      <c r="N673" s="7"/>
      <c r="O673" s="13"/>
      <c r="P673" s="13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8"/>
      <c r="AI673" s="7"/>
      <c r="AJ673" s="7"/>
      <c r="AK673" s="7"/>
      <c r="AL673" s="10"/>
      <c r="AM673" s="7" t="e">
        <f>VLOOKUP(AL673,Personal!$A$2:$I$300,2,FALSE)</f>
        <v>#N/A</v>
      </c>
      <c r="AN673" s="7" t="e">
        <f>VLOOKUP(AL673,Personal!$A$2:$I$300,3,FALSE)</f>
        <v>#N/A</v>
      </c>
      <c r="AO673" s="7" t="e">
        <f>VLOOKUP(AL673,Personal!$A$2:$I$300,6,FALSE)</f>
        <v>#N/A</v>
      </c>
      <c r="AP673" s="7" t="e">
        <f>VLOOKUP(AL673,Personal!$A$2:$I$300,7,FALSE)</f>
        <v>#N/A</v>
      </c>
      <c r="AQ673" s="7" t="e">
        <f>VLOOKUP(AL673,Personal!$A$2:$I$300,8,FALSE)</f>
        <v>#N/A</v>
      </c>
      <c r="AR673" s="7"/>
    </row>
    <row r="674" spans="2:44" x14ac:dyDescent="0.3">
      <c r="B674" s="6">
        <v>669</v>
      </c>
      <c r="C674" s="6"/>
      <c r="D674" s="6"/>
      <c r="E674" s="6"/>
      <c r="F674" s="6"/>
      <c r="G674" s="7"/>
      <c r="H674" s="7"/>
      <c r="I674" s="7"/>
      <c r="J674" s="7"/>
      <c r="K674" s="10"/>
      <c r="L674" s="7"/>
      <c r="M674" s="7"/>
      <c r="N674" s="7"/>
      <c r="O674" s="13"/>
      <c r="P674" s="13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8"/>
      <c r="AI674" s="7"/>
      <c r="AJ674" s="7"/>
      <c r="AK674" s="7"/>
      <c r="AL674" s="10"/>
      <c r="AM674" s="7" t="e">
        <f>VLOOKUP(AL674,Personal!$A$2:$I$300,2,FALSE)</f>
        <v>#N/A</v>
      </c>
      <c r="AN674" s="7" t="e">
        <f>VLOOKUP(AL674,Personal!$A$2:$I$300,3,FALSE)</f>
        <v>#N/A</v>
      </c>
      <c r="AO674" s="7" t="e">
        <f>VLOOKUP(AL674,Personal!$A$2:$I$300,6,FALSE)</f>
        <v>#N/A</v>
      </c>
      <c r="AP674" s="7" t="e">
        <f>VLOOKUP(AL674,Personal!$A$2:$I$300,7,FALSE)</f>
        <v>#N/A</v>
      </c>
      <c r="AQ674" s="7" t="e">
        <f>VLOOKUP(AL674,Personal!$A$2:$I$300,8,FALSE)</f>
        <v>#N/A</v>
      </c>
      <c r="AR674" s="7"/>
    </row>
    <row r="675" spans="2:44" x14ac:dyDescent="0.3">
      <c r="B675" s="6">
        <v>670</v>
      </c>
      <c r="C675" s="6"/>
      <c r="D675" s="6"/>
      <c r="E675" s="6"/>
      <c r="F675" s="6"/>
      <c r="G675" s="7"/>
      <c r="H675" s="7"/>
      <c r="I675" s="7"/>
      <c r="J675" s="7"/>
      <c r="K675" s="10"/>
      <c r="L675" s="7"/>
      <c r="M675" s="7"/>
      <c r="N675" s="7"/>
      <c r="O675" s="13"/>
      <c r="P675" s="13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8"/>
      <c r="AI675" s="7"/>
      <c r="AJ675" s="7"/>
      <c r="AK675" s="7"/>
      <c r="AL675" s="10"/>
      <c r="AM675" s="7" t="e">
        <f>VLOOKUP(AL675,Personal!$A$2:$I$300,2,FALSE)</f>
        <v>#N/A</v>
      </c>
      <c r="AN675" s="7" t="e">
        <f>VLOOKUP(AL675,Personal!$A$2:$I$300,3,FALSE)</f>
        <v>#N/A</v>
      </c>
      <c r="AO675" s="7" t="e">
        <f>VLOOKUP(AL675,Personal!$A$2:$I$300,6,FALSE)</f>
        <v>#N/A</v>
      </c>
      <c r="AP675" s="7" t="e">
        <f>VLOOKUP(AL675,Personal!$A$2:$I$300,7,FALSE)</f>
        <v>#N/A</v>
      </c>
      <c r="AQ675" s="7" t="e">
        <f>VLOOKUP(AL675,Personal!$A$2:$I$300,8,FALSE)</f>
        <v>#N/A</v>
      </c>
      <c r="AR675" s="7"/>
    </row>
    <row r="676" spans="2:44" x14ac:dyDescent="0.3">
      <c r="B676" s="6">
        <v>671</v>
      </c>
      <c r="C676" s="6"/>
      <c r="D676" s="6"/>
      <c r="E676" s="6"/>
      <c r="F676" s="6"/>
      <c r="G676" s="7"/>
      <c r="H676" s="7"/>
      <c r="I676" s="7"/>
      <c r="J676" s="7"/>
      <c r="K676" s="10"/>
      <c r="L676" s="7"/>
      <c r="M676" s="7"/>
      <c r="N676" s="7"/>
      <c r="O676" s="13"/>
      <c r="P676" s="13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8"/>
      <c r="AI676" s="7"/>
      <c r="AJ676" s="7"/>
      <c r="AK676" s="7"/>
      <c r="AL676" s="10"/>
      <c r="AM676" s="7" t="e">
        <f>VLOOKUP(AL676,Personal!$A$2:$I$300,2,FALSE)</f>
        <v>#N/A</v>
      </c>
      <c r="AN676" s="7" t="e">
        <f>VLOOKUP(AL676,Personal!$A$2:$I$300,3,FALSE)</f>
        <v>#N/A</v>
      </c>
      <c r="AO676" s="7" t="e">
        <f>VLOOKUP(AL676,Personal!$A$2:$I$300,6,FALSE)</f>
        <v>#N/A</v>
      </c>
      <c r="AP676" s="7" t="e">
        <f>VLOOKUP(AL676,Personal!$A$2:$I$300,7,FALSE)</f>
        <v>#N/A</v>
      </c>
      <c r="AQ676" s="7" t="e">
        <f>VLOOKUP(AL676,Personal!$A$2:$I$300,8,FALSE)</f>
        <v>#N/A</v>
      </c>
      <c r="AR676" s="7"/>
    </row>
    <row r="677" spans="2:44" x14ac:dyDescent="0.3">
      <c r="B677" s="6">
        <v>672</v>
      </c>
      <c r="C677" s="6"/>
      <c r="D677" s="6"/>
      <c r="E677" s="6"/>
      <c r="F677" s="6"/>
      <c r="G677" s="7"/>
      <c r="H677" s="7"/>
      <c r="I677" s="7"/>
      <c r="J677" s="7"/>
      <c r="K677" s="10"/>
      <c r="L677" s="7"/>
      <c r="M677" s="7"/>
      <c r="N677" s="7"/>
      <c r="O677" s="13"/>
      <c r="P677" s="13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8"/>
      <c r="AI677" s="7"/>
      <c r="AJ677" s="7"/>
      <c r="AK677" s="7"/>
      <c r="AL677" s="10"/>
      <c r="AM677" s="7" t="e">
        <f>VLOOKUP(AL677,Personal!$A$2:$I$300,2,FALSE)</f>
        <v>#N/A</v>
      </c>
      <c r="AN677" s="7" t="e">
        <f>VLOOKUP(AL677,Personal!$A$2:$I$300,3,FALSE)</f>
        <v>#N/A</v>
      </c>
      <c r="AO677" s="7" t="e">
        <f>VLOOKUP(AL677,Personal!$A$2:$I$300,6,FALSE)</f>
        <v>#N/A</v>
      </c>
      <c r="AP677" s="7" t="e">
        <f>VLOOKUP(AL677,Personal!$A$2:$I$300,7,FALSE)</f>
        <v>#N/A</v>
      </c>
      <c r="AQ677" s="7" t="e">
        <f>VLOOKUP(AL677,Personal!$A$2:$I$300,8,FALSE)</f>
        <v>#N/A</v>
      </c>
      <c r="AR677" s="7"/>
    </row>
    <row r="678" spans="2:44" x14ac:dyDescent="0.3">
      <c r="B678" s="6">
        <v>673</v>
      </c>
      <c r="C678" s="6"/>
      <c r="D678" s="6"/>
      <c r="E678" s="6"/>
      <c r="F678" s="6"/>
      <c r="G678" s="7"/>
      <c r="H678" s="7"/>
      <c r="I678" s="7"/>
      <c r="J678" s="7"/>
      <c r="K678" s="10"/>
      <c r="L678" s="7"/>
      <c r="M678" s="7"/>
      <c r="N678" s="7"/>
      <c r="O678" s="13"/>
      <c r="P678" s="13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8"/>
      <c r="AI678" s="7"/>
      <c r="AJ678" s="7"/>
      <c r="AK678" s="7"/>
      <c r="AL678" s="10"/>
      <c r="AM678" s="7" t="e">
        <f>VLOOKUP(AL678,Personal!$A$2:$I$300,2,FALSE)</f>
        <v>#N/A</v>
      </c>
      <c r="AN678" s="7" t="e">
        <f>VLOOKUP(AL678,Personal!$A$2:$I$300,3,FALSE)</f>
        <v>#N/A</v>
      </c>
      <c r="AO678" s="7" t="e">
        <f>VLOOKUP(AL678,Personal!$A$2:$I$300,6,FALSE)</f>
        <v>#N/A</v>
      </c>
      <c r="AP678" s="7" t="e">
        <f>VLOOKUP(AL678,Personal!$A$2:$I$300,7,FALSE)</f>
        <v>#N/A</v>
      </c>
      <c r="AQ678" s="7" t="e">
        <f>VLOOKUP(AL678,Personal!$A$2:$I$300,8,FALSE)</f>
        <v>#N/A</v>
      </c>
      <c r="AR678" s="7"/>
    </row>
    <row r="679" spans="2:44" x14ac:dyDescent="0.3">
      <c r="B679" s="6">
        <v>674</v>
      </c>
      <c r="C679" s="6"/>
      <c r="D679" s="6"/>
      <c r="E679" s="6"/>
      <c r="F679" s="6"/>
      <c r="G679" s="7"/>
      <c r="H679" s="7"/>
      <c r="I679" s="7"/>
      <c r="J679" s="7"/>
      <c r="K679" s="10"/>
      <c r="L679" s="7"/>
      <c r="M679" s="7"/>
      <c r="N679" s="7"/>
      <c r="O679" s="13"/>
      <c r="P679" s="13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8"/>
      <c r="AI679" s="7"/>
      <c r="AJ679" s="7"/>
      <c r="AK679" s="7"/>
      <c r="AL679" s="10"/>
      <c r="AM679" s="7" t="e">
        <f>VLOOKUP(AL679,Personal!$A$2:$I$300,2,FALSE)</f>
        <v>#N/A</v>
      </c>
      <c r="AN679" s="7" t="e">
        <f>VLOOKUP(AL679,Personal!$A$2:$I$300,3,FALSE)</f>
        <v>#N/A</v>
      </c>
      <c r="AO679" s="7" t="e">
        <f>VLOOKUP(AL679,Personal!$A$2:$I$300,6,FALSE)</f>
        <v>#N/A</v>
      </c>
      <c r="AP679" s="7" t="e">
        <f>VLOOKUP(AL679,Personal!$A$2:$I$300,7,FALSE)</f>
        <v>#N/A</v>
      </c>
      <c r="AQ679" s="7" t="e">
        <f>VLOOKUP(AL679,Personal!$A$2:$I$300,8,FALSE)</f>
        <v>#N/A</v>
      </c>
      <c r="AR679" s="7"/>
    </row>
    <row r="680" spans="2:44" x14ac:dyDescent="0.3">
      <c r="B680" s="6">
        <v>675</v>
      </c>
      <c r="C680" s="6"/>
      <c r="D680" s="6"/>
      <c r="E680" s="6"/>
      <c r="F680" s="6"/>
      <c r="G680" s="7"/>
      <c r="H680" s="7"/>
      <c r="I680" s="7"/>
      <c r="J680" s="7"/>
      <c r="K680" s="10"/>
      <c r="L680" s="7"/>
      <c r="M680" s="7"/>
      <c r="N680" s="7"/>
      <c r="O680" s="13"/>
      <c r="P680" s="13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8"/>
      <c r="AI680" s="7"/>
      <c r="AJ680" s="7"/>
      <c r="AK680" s="7"/>
      <c r="AL680" s="10"/>
      <c r="AM680" s="7" t="e">
        <f>VLOOKUP(AL680,Personal!$A$2:$I$300,2,FALSE)</f>
        <v>#N/A</v>
      </c>
      <c r="AN680" s="7" t="e">
        <f>VLOOKUP(AL680,Personal!$A$2:$I$300,3,FALSE)</f>
        <v>#N/A</v>
      </c>
      <c r="AO680" s="7" t="e">
        <f>VLOOKUP(AL680,Personal!$A$2:$I$300,6,FALSE)</f>
        <v>#N/A</v>
      </c>
      <c r="AP680" s="7" t="e">
        <f>VLOOKUP(AL680,Personal!$A$2:$I$300,7,FALSE)</f>
        <v>#N/A</v>
      </c>
      <c r="AQ680" s="7" t="e">
        <f>VLOOKUP(AL680,Personal!$A$2:$I$300,8,FALSE)</f>
        <v>#N/A</v>
      </c>
      <c r="AR680" s="7"/>
    </row>
    <row r="681" spans="2:44" x14ac:dyDescent="0.3">
      <c r="B681" s="6">
        <v>676</v>
      </c>
      <c r="C681" s="6"/>
      <c r="D681" s="6"/>
      <c r="E681" s="6"/>
      <c r="F681" s="6"/>
      <c r="G681" s="7"/>
      <c r="H681" s="7"/>
      <c r="I681" s="7"/>
      <c r="J681" s="7"/>
      <c r="K681" s="10"/>
      <c r="L681" s="7"/>
      <c r="M681" s="7"/>
      <c r="N681" s="7"/>
      <c r="O681" s="13"/>
      <c r="P681" s="13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8"/>
      <c r="AI681" s="7"/>
      <c r="AJ681" s="7"/>
      <c r="AK681" s="7"/>
      <c r="AL681" s="10"/>
      <c r="AM681" s="7" t="e">
        <f>VLOOKUP(AL681,Personal!$A$2:$I$300,2,FALSE)</f>
        <v>#N/A</v>
      </c>
      <c r="AN681" s="7" t="e">
        <f>VLOOKUP(AL681,Personal!$A$2:$I$300,3,FALSE)</f>
        <v>#N/A</v>
      </c>
      <c r="AO681" s="7" t="e">
        <f>VLOOKUP(AL681,Personal!$A$2:$I$300,6,FALSE)</f>
        <v>#N/A</v>
      </c>
      <c r="AP681" s="7" t="e">
        <f>VLOOKUP(AL681,Personal!$A$2:$I$300,7,FALSE)</f>
        <v>#N/A</v>
      </c>
      <c r="AQ681" s="7" t="e">
        <f>VLOOKUP(AL681,Personal!$A$2:$I$300,8,FALSE)</f>
        <v>#N/A</v>
      </c>
      <c r="AR681" s="7"/>
    </row>
    <row r="682" spans="2:44" x14ac:dyDescent="0.3">
      <c r="B682" s="6">
        <v>677</v>
      </c>
      <c r="C682" s="6"/>
      <c r="D682" s="6"/>
      <c r="E682" s="6"/>
      <c r="F682" s="6"/>
      <c r="G682" s="7"/>
      <c r="H682" s="7"/>
      <c r="I682" s="7"/>
      <c r="J682" s="7"/>
      <c r="K682" s="10"/>
      <c r="L682" s="7"/>
      <c r="M682" s="7"/>
      <c r="N682" s="7"/>
      <c r="O682" s="13"/>
      <c r="P682" s="13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8"/>
      <c r="AI682" s="7"/>
      <c r="AJ682" s="7"/>
      <c r="AK682" s="7"/>
      <c r="AL682" s="10"/>
      <c r="AM682" s="7" t="e">
        <f>VLOOKUP(AL682,Personal!$A$2:$I$300,2,FALSE)</f>
        <v>#N/A</v>
      </c>
      <c r="AN682" s="7" t="e">
        <f>VLOOKUP(AL682,Personal!$A$2:$I$300,3,FALSE)</f>
        <v>#N/A</v>
      </c>
      <c r="AO682" s="7" t="e">
        <f>VLOOKUP(AL682,Personal!$A$2:$I$300,6,FALSE)</f>
        <v>#N/A</v>
      </c>
      <c r="AP682" s="7" t="e">
        <f>VLOOKUP(AL682,Personal!$A$2:$I$300,7,FALSE)</f>
        <v>#N/A</v>
      </c>
      <c r="AQ682" s="7" t="e">
        <f>VLOOKUP(AL682,Personal!$A$2:$I$300,8,FALSE)</f>
        <v>#N/A</v>
      </c>
      <c r="AR682" s="7"/>
    </row>
    <row r="683" spans="2:44" x14ac:dyDescent="0.3">
      <c r="B683" s="6">
        <v>678</v>
      </c>
      <c r="C683" s="6"/>
      <c r="D683" s="6"/>
      <c r="E683" s="6"/>
      <c r="F683" s="6"/>
      <c r="G683" s="7"/>
      <c r="H683" s="7"/>
      <c r="I683" s="7"/>
      <c r="J683" s="7"/>
      <c r="K683" s="10"/>
      <c r="L683" s="7"/>
      <c r="M683" s="7"/>
      <c r="N683" s="7"/>
      <c r="O683" s="13"/>
      <c r="P683" s="13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8"/>
      <c r="AI683" s="7"/>
      <c r="AJ683" s="7"/>
      <c r="AK683" s="7"/>
      <c r="AL683" s="10"/>
      <c r="AM683" s="7" t="e">
        <f>VLOOKUP(AL683,Personal!$A$2:$I$300,2,FALSE)</f>
        <v>#N/A</v>
      </c>
      <c r="AN683" s="7" t="e">
        <f>VLOOKUP(AL683,Personal!$A$2:$I$300,3,FALSE)</f>
        <v>#N/A</v>
      </c>
      <c r="AO683" s="7" t="e">
        <f>VLOOKUP(AL683,Personal!$A$2:$I$300,6,FALSE)</f>
        <v>#N/A</v>
      </c>
      <c r="AP683" s="7" t="e">
        <f>VLOOKUP(AL683,Personal!$A$2:$I$300,7,FALSE)</f>
        <v>#N/A</v>
      </c>
      <c r="AQ683" s="7" t="e">
        <f>VLOOKUP(AL683,Personal!$A$2:$I$300,8,FALSE)</f>
        <v>#N/A</v>
      </c>
      <c r="AR683" s="7"/>
    </row>
    <row r="684" spans="2:44" x14ac:dyDescent="0.3">
      <c r="B684" s="6">
        <v>679</v>
      </c>
      <c r="C684" s="6"/>
      <c r="D684" s="6"/>
      <c r="E684" s="6"/>
      <c r="F684" s="6"/>
      <c r="G684" s="7"/>
      <c r="H684" s="7"/>
      <c r="I684" s="7"/>
      <c r="J684" s="7"/>
      <c r="K684" s="10"/>
      <c r="L684" s="7"/>
      <c r="M684" s="7"/>
      <c r="N684" s="7"/>
      <c r="O684" s="13"/>
      <c r="P684" s="13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8"/>
      <c r="AI684" s="7"/>
      <c r="AJ684" s="7"/>
      <c r="AK684" s="7"/>
      <c r="AL684" s="10"/>
      <c r="AM684" s="7" t="e">
        <f>VLOOKUP(AL684,Personal!$A$2:$I$300,2,FALSE)</f>
        <v>#N/A</v>
      </c>
      <c r="AN684" s="7" t="e">
        <f>VLOOKUP(AL684,Personal!$A$2:$I$300,3,FALSE)</f>
        <v>#N/A</v>
      </c>
      <c r="AO684" s="7" t="e">
        <f>VLOOKUP(AL684,Personal!$A$2:$I$300,6,FALSE)</f>
        <v>#N/A</v>
      </c>
      <c r="AP684" s="7" t="e">
        <f>VLOOKUP(AL684,Personal!$A$2:$I$300,7,FALSE)</f>
        <v>#N/A</v>
      </c>
      <c r="AQ684" s="7" t="e">
        <f>VLOOKUP(AL684,Personal!$A$2:$I$300,8,FALSE)</f>
        <v>#N/A</v>
      </c>
      <c r="AR684" s="7"/>
    </row>
    <row r="685" spans="2:44" x14ac:dyDescent="0.3">
      <c r="B685" s="6">
        <v>680</v>
      </c>
      <c r="C685" s="6"/>
      <c r="D685" s="6"/>
      <c r="E685" s="6"/>
      <c r="F685" s="6"/>
      <c r="G685" s="7"/>
      <c r="H685" s="7"/>
      <c r="I685" s="7"/>
      <c r="J685" s="7"/>
      <c r="K685" s="10"/>
      <c r="L685" s="7"/>
      <c r="M685" s="7"/>
      <c r="N685" s="7"/>
      <c r="O685" s="13"/>
      <c r="P685" s="13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8"/>
      <c r="AI685" s="7"/>
      <c r="AJ685" s="7"/>
      <c r="AK685" s="7"/>
      <c r="AL685" s="10"/>
      <c r="AM685" s="7" t="e">
        <f>VLOOKUP(AL685,Personal!$A$2:$I$300,2,FALSE)</f>
        <v>#N/A</v>
      </c>
      <c r="AN685" s="7" t="e">
        <f>VLOOKUP(AL685,Personal!$A$2:$I$300,3,FALSE)</f>
        <v>#N/A</v>
      </c>
      <c r="AO685" s="7" t="e">
        <f>VLOOKUP(AL685,Personal!$A$2:$I$300,6,FALSE)</f>
        <v>#N/A</v>
      </c>
      <c r="AP685" s="7" t="e">
        <f>VLOOKUP(AL685,Personal!$A$2:$I$300,7,FALSE)</f>
        <v>#N/A</v>
      </c>
      <c r="AQ685" s="7" t="e">
        <f>VLOOKUP(AL685,Personal!$A$2:$I$300,8,FALSE)</f>
        <v>#N/A</v>
      </c>
      <c r="AR685" s="7"/>
    </row>
    <row r="686" spans="2:44" x14ac:dyDescent="0.3">
      <c r="B686" s="6">
        <v>681</v>
      </c>
      <c r="C686" s="6"/>
      <c r="D686" s="6"/>
      <c r="E686" s="6"/>
      <c r="F686" s="6"/>
      <c r="G686" s="7"/>
      <c r="H686" s="7"/>
      <c r="I686" s="7"/>
      <c r="J686" s="7"/>
      <c r="K686" s="10"/>
      <c r="L686" s="7"/>
      <c r="M686" s="7"/>
      <c r="N686" s="7"/>
      <c r="O686" s="13"/>
      <c r="P686" s="13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8"/>
      <c r="AI686" s="7"/>
      <c r="AJ686" s="7"/>
      <c r="AK686" s="7"/>
      <c r="AL686" s="10"/>
      <c r="AM686" s="7" t="e">
        <f>VLOOKUP(AL686,Personal!$A$2:$I$300,2,FALSE)</f>
        <v>#N/A</v>
      </c>
      <c r="AN686" s="7" t="e">
        <f>VLOOKUP(AL686,Personal!$A$2:$I$300,3,FALSE)</f>
        <v>#N/A</v>
      </c>
      <c r="AO686" s="7" t="e">
        <f>VLOOKUP(AL686,Personal!$A$2:$I$300,6,FALSE)</f>
        <v>#N/A</v>
      </c>
      <c r="AP686" s="7" t="e">
        <f>VLOOKUP(AL686,Personal!$A$2:$I$300,7,FALSE)</f>
        <v>#N/A</v>
      </c>
      <c r="AQ686" s="7" t="e">
        <f>VLOOKUP(AL686,Personal!$A$2:$I$300,8,FALSE)</f>
        <v>#N/A</v>
      </c>
      <c r="AR686" s="7"/>
    </row>
    <row r="687" spans="2:44" x14ac:dyDescent="0.3">
      <c r="B687" s="6">
        <v>682</v>
      </c>
      <c r="C687" s="6"/>
      <c r="D687" s="6"/>
      <c r="E687" s="6"/>
      <c r="F687" s="6"/>
      <c r="G687" s="7"/>
      <c r="H687" s="7"/>
      <c r="I687" s="7"/>
      <c r="J687" s="7"/>
      <c r="K687" s="10"/>
      <c r="L687" s="7"/>
      <c r="M687" s="7"/>
      <c r="N687" s="7"/>
      <c r="O687" s="13"/>
      <c r="P687" s="13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8"/>
      <c r="AI687" s="7"/>
      <c r="AJ687" s="7"/>
      <c r="AK687" s="7"/>
      <c r="AL687" s="10"/>
      <c r="AM687" s="7" t="e">
        <f>VLOOKUP(AL687,Personal!$A$2:$I$300,2,FALSE)</f>
        <v>#N/A</v>
      </c>
      <c r="AN687" s="7" t="e">
        <f>VLOOKUP(AL687,Personal!$A$2:$I$300,3,FALSE)</f>
        <v>#N/A</v>
      </c>
      <c r="AO687" s="7" t="e">
        <f>VLOOKUP(AL687,Personal!$A$2:$I$300,6,FALSE)</f>
        <v>#N/A</v>
      </c>
      <c r="AP687" s="7" t="e">
        <f>VLOOKUP(AL687,Personal!$A$2:$I$300,7,FALSE)</f>
        <v>#N/A</v>
      </c>
      <c r="AQ687" s="7" t="e">
        <f>VLOOKUP(AL687,Personal!$A$2:$I$300,8,FALSE)</f>
        <v>#N/A</v>
      </c>
      <c r="AR687" s="7"/>
    </row>
    <row r="688" spans="2:44" x14ac:dyDescent="0.3">
      <c r="B688" s="6">
        <v>683</v>
      </c>
      <c r="C688" s="6"/>
      <c r="D688" s="6"/>
      <c r="E688" s="6"/>
      <c r="F688" s="6"/>
      <c r="G688" s="7"/>
      <c r="H688" s="7"/>
      <c r="I688" s="7"/>
      <c r="J688" s="7"/>
      <c r="K688" s="10"/>
      <c r="L688" s="7"/>
      <c r="M688" s="7"/>
      <c r="N688" s="7"/>
      <c r="O688" s="13"/>
      <c r="P688" s="13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8"/>
      <c r="AI688" s="7"/>
      <c r="AJ688" s="7"/>
      <c r="AK688" s="7"/>
      <c r="AL688" s="10"/>
      <c r="AM688" s="7" t="e">
        <f>VLOOKUP(AL688,Personal!$A$2:$I$300,2,FALSE)</f>
        <v>#N/A</v>
      </c>
      <c r="AN688" s="7" t="e">
        <f>VLOOKUP(AL688,Personal!$A$2:$I$300,3,FALSE)</f>
        <v>#N/A</v>
      </c>
      <c r="AO688" s="7" t="e">
        <f>VLOOKUP(AL688,Personal!$A$2:$I$300,6,FALSE)</f>
        <v>#N/A</v>
      </c>
      <c r="AP688" s="7" t="e">
        <f>VLOOKUP(AL688,Personal!$A$2:$I$300,7,FALSE)</f>
        <v>#N/A</v>
      </c>
      <c r="AQ688" s="7" t="e">
        <f>VLOOKUP(AL688,Personal!$A$2:$I$300,8,FALSE)</f>
        <v>#N/A</v>
      </c>
      <c r="AR688" s="7"/>
    </row>
    <row r="689" spans="2:44" x14ac:dyDescent="0.3">
      <c r="B689" s="6">
        <v>684</v>
      </c>
      <c r="C689" s="6"/>
      <c r="D689" s="6"/>
      <c r="E689" s="6"/>
      <c r="F689" s="6"/>
      <c r="G689" s="7"/>
      <c r="H689" s="7"/>
      <c r="I689" s="7"/>
      <c r="J689" s="7"/>
      <c r="K689" s="10"/>
      <c r="L689" s="7"/>
      <c r="M689" s="7"/>
      <c r="N689" s="7"/>
      <c r="O689" s="13"/>
      <c r="P689" s="13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8"/>
      <c r="AI689" s="7"/>
      <c r="AJ689" s="7"/>
      <c r="AK689" s="7"/>
      <c r="AL689" s="10"/>
      <c r="AM689" s="7" t="e">
        <f>VLOOKUP(AL689,Personal!$A$2:$I$300,2,FALSE)</f>
        <v>#N/A</v>
      </c>
      <c r="AN689" s="7" t="e">
        <f>VLOOKUP(AL689,Personal!$A$2:$I$300,3,FALSE)</f>
        <v>#N/A</v>
      </c>
      <c r="AO689" s="7" t="e">
        <f>VLOOKUP(AL689,Personal!$A$2:$I$300,6,FALSE)</f>
        <v>#N/A</v>
      </c>
      <c r="AP689" s="7" t="e">
        <f>VLOOKUP(AL689,Personal!$A$2:$I$300,7,FALSE)</f>
        <v>#N/A</v>
      </c>
      <c r="AQ689" s="7" t="e">
        <f>VLOOKUP(AL689,Personal!$A$2:$I$300,8,FALSE)</f>
        <v>#N/A</v>
      </c>
      <c r="AR689" s="7"/>
    </row>
    <row r="690" spans="2:44" x14ac:dyDescent="0.3">
      <c r="B690" s="6">
        <v>685</v>
      </c>
      <c r="C690" s="6"/>
      <c r="D690" s="6"/>
      <c r="E690" s="6"/>
      <c r="F690" s="6"/>
      <c r="G690" s="7"/>
      <c r="H690" s="7"/>
      <c r="I690" s="7"/>
      <c r="J690" s="7"/>
      <c r="K690" s="10"/>
      <c r="L690" s="7"/>
      <c r="M690" s="7"/>
      <c r="N690" s="7"/>
      <c r="O690" s="13"/>
      <c r="P690" s="13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8"/>
      <c r="AI690" s="7"/>
      <c r="AJ690" s="7"/>
      <c r="AK690" s="7"/>
      <c r="AL690" s="10"/>
      <c r="AM690" s="7" t="e">
        <f>VLOOKUP(AL690,Personal!$A$2:$I$300,2,FALSE)</f>
        <v>#N/A</v>
      </c>
      <c r="AN690" s="7" t="e">
        <f>VLOOKUP(AL690,Personal!$A$2:$I$300,3,FALSE)</f>
        <v>#N/A</v>
      </c>
      <c r="AO690" s="7" t="e">
        <f>VLOOKUP(AL690,Personal!$A$2:$I$300,6,FALSE)</f>
        <v>#N/A</v>
      </c>
      <c r="AP690" s="7" t="e">
        <f>VLOOKUP(AL690,Personal!$A$2:$I$300,7,FALSE)</f>
        <v>#N/A</v>
      </c>
      <c r="AQ690" s="7" t="e">
        <f>VLOOKUP(AL690,Personal!$A$2:$I$300,8,FALSE)</f>
        <v>#N/A</v>
      </c>
      <c r="AR690" s="7"/>
    </row>
    <row r="691" spans="2:44" x14ac:dyDescent="0.3">
      <c r="B691" s="6">
        <v>686</v>
      </c>
      <c r="C691" s="6"/>
      <c r="D691" s="6"/>
      <c r="E691" s="6"/>
      <c r="F691" s="6"/>
      <c r="G691" s="7"/>
      <c r="H691" s="7"/>
      <c r="I691" s="7"/>
      <c r="J691" s="7"/>
      <c r="K691" s="10"/>
      <c r="L691" s="7"/>
      <c r="M691" s="7"/>
      <c r="N691" s="7"/>
      <c r="O691" s="13"/>
      <c r="P691" s="13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8"/>
      <c r="AI691" s="7"/>
      <c r="AJ691" s="7"/>
      <c r="AK691" s="7"/>
      <c r="AL691" s="10"/>
      <c r="AM691" s="7" t="e">
        <f>VLOOKUP(AL691,Personal!$A$2:$I$300,2,FALSE)</f>
        <v>#N/A</v>
      </c>
      <c r="AN691" s="7" t="e">
        <f>VLOOKUP(AL691,Personal!$A$2:$I$300,3,FALSE)</f>
        <v>#N/A</v>
      </c>
      <c r="AO691" s="7" t="e">
        <f>VLOOKUP(AL691,Personal!$A$2:$I$300,6,FALSE)</f>
        <v>#N/A</v>
      </c>
      <c r="AP691" s="7" t="e">
        <f>VLOOKUP(AL691,Personal!$A$2:$I$300,7,FALSE)</f>
        <v>#N/A</v>
      </c>
      <c r="AQ691" s="7" t="e">
        <f>VLOOKUP(AL691,Personal!$A$2:$I$300,8,FALSE)</f>
        <v>#N/A</v>
      </c>
      <c r="AR691" s="7"/>
    </row>
    <row r="692" spans="2:44" x14ac:dyDescent="0.3">
      <c r="B692" s="6">
        <v>687</v>
      </c>
      <c r="C692" s="6"/>
      <c r="D692" s="6"/>
      <c r="E692" s="6"/>
      <c r="F692" s="6"/>
      <c r="G692" s="7"/>
      <c r="H692" s="7"/>
      <c r="I692" s="7"/>
      <c r="J692" s="7"/>
      <c r="K692" s="10"/>
      <c r="L692" s="7"/>
      <c r="M692" s="7"/>
      <c r="N692" s="7"/>
      <c r="O692" s="13"/>
      <c r="P692" s="13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8"/>
      <c r="AI692" s="7"/>
      <c r="AJ692" s="7"/>
      <c r="AK692" s="7"/>
      <c r="AL692" s="10"/>
      <c r="AM692" s="7" t="e">
        <f>VLOOKUP(AL692,Personal!$A$2:$I$300,2,FALSE)</f>
        <v>#N/A</v>
      </c>
      <c r="AN692" s="7" t="e">
        <f>VLOOKUP(AL692,Personal!$A$2:$I$300,3,FALSE)</f>
        <v>#N/A</v>
      </c>
      <c r="AO692" s="7" t="e">
        <f>VLOOKUP(AL692,Personal!$A$2:$I$300,6,FALSE)</f>
        <v>#N/A</v>
      </c>
      <c r="AP692" s="7" t="e">
        <f>VLOOKUP(AL692,Personal!$A$2:$I$300,7,FALSE)</f>
        <v>#N/A</v>
      </c>
      <c r="AQ692" s="7" t="e">
        <f>VLOOKUP(AL692,Personal!$A$2:$I$300,8,FALSE)</f>
        <v>#N/A</v>
      </c>
      <c r="AR692" s="7"/>
    </row>
    <row r="693" spans="2:44" x14ac:dyDescent="0.3">
      <c r="B693" s="6">
        <v>688</v>
      </c>
      <c r="C693" s="6"/>
      <c r="D693" s="6"/>
      <c r="E693" s="6"/>
      <c r="F693" s="6"/>
      <c r="G693" s="7"/>
      <c r="H693" s="7"/>
      <c r="I693" s="7"/>
      <c r="J693" s="7"/>
      <c r="K693" s="10"/>
      <c r="L693" s="7"/>
      <c r="M693" s="7"/>
      <c r="N693" s="7"/>
      <c r="O693" s="13"/>
      <c r="P693" s="13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8"/>
      <c r="AI693" s="7"/>
      <c r="AJ693" s="7"/>
      <c r="AK693" s="7"/>
      <c r="AL693" s="10"/>
      <c r="AM693" s="7" t="e">
        <f>VLOOKUP(AL693,Personal!$A$2:$I$300,2,FALSE)</f>
        <v>#N/A</v>
      </c>
      <c r="AN693" s="7" t="e">
        <f>VLOOKUP(AL693,Personal!$A$2:$I$300,3,FALSE)</f>
        <v>#N/A</v>
      </c>
      <c r="AO693" s="7" t="e">
        <f>VLOOKUP(AL693,Personal!$A$2:$I$300,6,FALSE)</f>
        <v>#N/A</v>
      </c>
      <c r="AP693" s="7" t="e">
        <f>VLOOKUP(AL693,Personal!$A$2:$I$300,7,FALSE)</f>
        <v>#N/A</v>
      </c>
      <c r="AQ693" s="7" t="e">
        <f>VLOOKUP(AL693,Personal!$A$2:$I$300,8,FALSE)</f>
        <v>#N/A</v>
      </c>
      <c r="AR693" s="7"/>
    </row>
    <row r="694" spans="2:44" x14ac:dyDescent="0.3">
      <c r="B694" s="6">
        <v>689</v>
      </c>
      <c r="C694" s="6"/>
      <c r="D694" s="6"/>
      <c r="E694" s="6"/>
      <c r="F694" s="6"/>
      <c r="G694" s="7"/>
      <c r="H694" s="7"/>
      <c r="I694" s="7"/>
      <c r="J694" s="7"/>
      <c r="K694" s="10"/>
      <c r="L694" s="7"/>
      <c r="M694" s="7"/>
      <c r="N694" s="7"/>
      <c r="O694" s="13"/>
      <c r="P694" s="13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8"/>
      <c r="AI694" s="7"/>
      <c r="AJ694" s="7"/>
      <c r="AK694" s="7"/>
      <c r="AL694" s="10"/>
      <c r="AM694" s="7" t="e">
        <f>VLOOKUP(AL694,Personal!$A$2:$I$300,2,FALSE)</f>
        <v>#N/A</v>
      </c>
      <c r="AN694" s="7" t="e">
        <f>VLOOKUP(AL694,Personal!$A$2:$I$300,3,FALSE)</f>
        <v>#N/A</v>
      </c>
      <c r="AO694" s="7" t="e">
        <f>VLOOKUP(AL694,Personal!$A$2:$I$300,6,FALSE)</f>
        <v>#N/A</v>
      </c>
      <c r="AP694" s="7" t="e">
        <f>VLOOKUP(AL694,Personal!$A$2:$I$300,7,FALSE)</f>
        <v>#N/A</v>
      </c>
      <c r="AQ694" s="7" t="e">
        <f>VLOOKUP(AL694,Personal!$A$2:$I$300,8,FALSE)</f>
        <v>#N/A</v>
      </c>
      <c r="AR694" s="7"/>
    </row>
    <row r="695" spans="2:44" x14ac:dyDescent="0.3">
      <c r="B695" s="6">
        <v>690</v>
      </c>
      <c r="C695" s="6"/>
      <c r="D695" s="6"/>
      <c r="E695" s="6"/>
      <c r="F695" s="6"/>
      <c r="G695" s="7"/>
      <c r="H695" s="7"/>
      <c r="I695" s="7"/>
      <c r="J695" s="7"/>
      <c r="K695" s="10"/>
      <c r="L695" s="7"/>
      <c r="M695" s="7"/>
      <c r="N695" s="7"/>
      <c r="O695" s="13"/>
      <c r="P695" s="13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8"/>
      <c r="AI695" s="7"/>
      <c r="AJ695" s="7"/>
      <c r="AK695" s="7"/>
      <c r="AL695" s="10"/>
      <c r="AM695" s="7" t="e">
        <f>VLOOKUP(AL695,Personal!$A$2:$I$300,2,FALSE)</f>
        <v>#N/A</v>
      </c>
      <c r="AN695" s="7" t="e">
        <f>VLOOKUP(AL695,Personal!$A$2:$I$300,3,FALSE)</f>
        <v>#N/A</v>
      </c>
      <c r="AO695" s="7" t="e">
        <f>VLOOKUP(AL695,Personal!$A$2:$I$300,6,FALSE)</f>
        <v>#N/A</v>
      </c>
      <c r="AP695" s="7" t="e">
        <f>VLOOKUP(AL695,Personal!$A$2:$I$300,7,FALSE)</f>
        <v>#N/A</v>
      </c>
      <c r="AQ695" s="7" t="e">
        <f>VLOOKUP(AL695,Personal!$A$2:$I$300,8,FALSE)</f>
        <v>#N/A</v>
      </c>
      <c r="AR695" s="7"/>
    </row>
    <row r="696" spans="2:44" x14ac:dyDescent="0.3">
      <c r="B696" s="6">
        <v>691</v>
      </c>
      <c r="C696" s="6"/>
      <c r="D696" s="6"/>
      <c r="E696" s="6"/>
      <c r="F696" s="6"/>
      <c r="G696" s="7"/>
      <c r="H696" s="7"/>
      <c r="I696" s="7"/>
      <c r="J696" s="7"/>
      <c r="K696" s="10"/>
      <c r="L696" s="7"/>
      <c r="M696" s="7"/>
      <c r="N696" s="7"/>
      <c r="O696" s="13"/>
      <c r="P696" s="13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8"/>
      <c r="AI696" s="7"/>
      <c r="AJ696" s="7"/>
      <c r="AK696" s="7"/>
      <c r="AL696" s="10"/>
      <c r="AM696" s="7" t="e">
        <f>VLOOKUP(AL696,Personal!$A$2:$I$300,2,FALSE)</f>
        <v>#N/A</v>
      </c>
      <c r="AN696" s="7" t="e">
        <f>VLOOKUP(AL696,Personal!$A$2:$I$300,3,FALSE)</f>
        <v>#N/A</v>
      </c>
      <c r="AO696" s="7" t="e">
        <f>VLOOKUP(AL696,Personal!$A$2:$I$300,6,FALSE)</f>
        <v>#N/A</v>
      </c>
      <c r="AP696" s="7" t="e">
        <f>VLOOKUP(AL696,Personal!$A$2:$I$300,7,FALSE)</f>
        <v>#N/A</v>
      </c>
      <c r="AQ696" s="7" t="e">
        <f>VLOOKUP(AL696,Personal!$A$2:$I$300,8,FALSE)</f>
        <v>#N/A</v>
      </c>
      <c r="AR696" s="7"/>
    </row>
    <row r="697" spans="2:44" x14ac:dyDescent="0.3">
      <c r="B697" s="6">
        <v>692</v>
      </c>
      <c r="C697" s="6"/>
      <c r="D697" s="6"/>
      <c r="E697" s="6"/>
      <c r="F697" s="6"/>
      <c r="G697" s="7"/>
      <c r="H697" s="7"/>
      <c r="I697" s="7"/>
      <c r="J697" s="7"/>
      <c r="K697" s="10"/>
      <c r="L697" s="7"/>
      <c r="M697" s="7"/>
      <c r="N697" s="7"/>
      <c r="O697" s="13"/>
      <c r="P697" s="13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8"/>
      <c r="AI697" s="7"/>
      <c r="AJ697" s="7"/>
      <c r="AK697" s="7"/>
      <c r="AL697" s="10"/>
      <c r="AM697" s="7" t="e">
        <f>VLOOKUP(AL697,Personal!$A$2:$I$300,2,FALSE)</f>
        <v>#N/A</v>
      </c>
      <c r="AN697" s="7" t="e">
        <f>VLOOKUP(AL697,Personal!$A$2:$I$300,3,FALSE)</f>
        <v>#N/A</v>
      </c>
      <c r="AO697" s="7" t="e">
        <f>VLOOKUP(AL697,Personal!$A$2:$I$300,6,FALSE)</f>
        <v>#N/A</v>
      </c>
      <c r="AP697" s="7" t="e">
        <f>VLOOKUP(AL697,Personal!$A$2:$I$300,7,FALSE)</f>
        <v>#N/A</v>
      </c>
      <c r="AQ697" s="7" t="e">
        <f>VLOOKUP(AL697,Personal!$A$2:$I$300,8,FALSE)</f>
        <v>#N/A</v>
      </c>
      <c r="AR697" s="7"/>
    </row>
    <row r="698" spans="2:44" x14ac:dyDescent="0.3">
      <c r="B698" s="6">
        <v>693</v>
      </c>
      <c r="C698" s="6"/>
      <c r="D698" s="6"/>
      <c r="E698" s="6"/>
      <c r="F698" s="6"/>
      <c r="G698" s="7"/>
      <c r="H698" s="7"/>
      <c r="I698" s="7"/>
      <c r="J698" s="7"/>
      <c r="K698" s="10"/>
      <c r="L698" s="7"/>
      <c r="M698" s="7"/>
      <c r="N698" s="7"/>
      <c r="O698" s="13"/>
      <c r="P698" s="13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8"/>
      <c r="AI698" s="7"/>
      <c r="AJ698" s="7"/>
      <c r="AK698" s="7"/>
      <c r="AL698" s="10"/>
      <c r="AM698" s="7" t="e">
        <f>VLOOKUP(AL698,Personal!$A$2:$I$300,2,FALSE)</f>
        <v>#N/A</v>
      </c>
      <c r="AN698" s="7" t="e">
        <f>VLOOKUP(AL698,Personal!$A$2:$I$300,3,FALSE)</f>
        <v>#N/A</v>
      </c>
      <c r="AO698" s="7" t="e">
        <f>VLOOKUP(AL698,Personal!$A$2:$I$300,6,FALSE)</f>
        <v>#N/A</v>
      </c>
      <c r="AP698" s="7" t="e">
        <f>VLOOKUP(AL698,Personal!$A$2:$I$300,7,FALSE)</f>
        <v>#N/A</v>
      </c>
      <c r="AQ698" s="7" t="e">
        <f>VLOOKUP(AL698,Personal!$A$2:$I$300,8,FALSE)</f>
        <v>#N/A</v>
      </c>
      <c r="AR698" s="7"/>
    </row>
    <row r="699" spans="2:44" x14ac:dyDescent="0.3">
      <c r="B699" s="6">
        <v>694</v>
      </c>
      <c r="C699" s="6"/>
      <c r="D699" s="6"/>
      <c r="E699" s="6"/>
      <c r="F699" s="6"/>
      <c r="G699" s="7"/>
      <c r="H699" s="7"/>
      <c r="I699" s="7"/>
      <c r="J699" s="7"/>
      <c r="K699" s="10"/>
      <c r="L699" s="7"/>
      <c r="M699" s="7"/>
      <c r="N699" s="7"/>
      <c r="O699" s="13"/>
      <c r="P699" s="13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8"/>
      <c r="AI699" s="7"/>
      <c r="AJ699" s="7"/>
      <c r="AK699" s="7"/>
      <c r="AL699" s="10"/>
      <c r="AM699" s="7" t="e">
        <f>VLOOKUP(AL699,Personal!$A$2:$I$300,2,FALSE)</f>
        <v>#N/A</v>
      </c>
      <c r="AN699" s="7" t="e">
        <f>VLOOKUP(AL699,Personal!$A$2:$I$300,3,FALSE)</f>
        <v>#N/A</v>
      </c>
      <c r="AO699" s="7" t="e">
        <f>VLOOKUP(AL699,Personal!$A$2:$I$300,6,FALSE)</f>
        <v>#N/A</v>
      </c>
      <c r="AP699" s="7" t="e">
        <f>VLOOKUP(AL699,Personal!$A$2:$I$300,7,FALSE)</f>
        <v>#N/A</v>
      </c>
      <c r="AQ699" s="7" t="e">
        <f>VLOOKUP(AL699,Personal!$A$2:$I$300,8,FALSE)</f>
        <v>#N/A</v>
      </c>
      <c r="AR699" s="7"/>
    </row>
    <row r="700" spans="2:44" x14ac:dyDescent="0.3">
      <c r="B700" s="6">
        <v>695</v>
      </c>
      <c r="C700" s="6"/>
      <c r="D700" s="6"/>
      <c r="E700" s="6"/>
      <c r="F700" s="6"/>
      <c r="G700" s="7"/>
      <c r="H700" s="7"/>
      <c r="I700" s="7"/>
      <c r="J700" s="7"/>
      <c r="K700" s="10"/>
      <c r="L700" s="7"/>
      <c r="M700" s="7"/>
      <c r="N700" s="7"/>
      <c r="O700" s="13"/>
      <c r="P700" s="13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8"/>
      <c r="AI700" s="7"/>
      <c r="AJ700" s="7"/>
      <c r="AK700" s="7"/>
      <c r="AL700" s="10"/>
      <c r="AM700" s="7" t="e">
        <f>VLOOKUP(AL700,Personal!$A$2:$I$300,2,FALSE)</f>
        <v>#N/A</v>
      </c>
      <c r="AN700" s="7" t="e">
        <f>VLOOKUP(AL700,Personal!$A$2:$I$300,3,FALSE)</f>
        <v>#N/A</v>
      </c>
      <c r="AO700" s="7" t="e">
        <f>VLOOKUP(AL700,Personal!$A$2:$I$300,6,FALSE)</f>
        <v>#N/A</v>
      </c>
      <c r="AP700" s="7" t="e">
        <f>VLOOKUP(AL700,Personal!$A$2:$I$300,7,FALSE)</f>
        <v>#N/A</v>
      </c>
      <c r="AQ700" s="7" t="e">
        <f>VLOOKUP(AL700,Personal!$A$2:$I$300,8,FALSE)</f>
        <v>#N/A</v>
      </c>
      <c r="AR700" s="7"/>
    </row>
    <row r="701" spans="2:44" x14ac:dyDescent="0.3">
      <c r="B701" s="6">
        <v>696</v>
      </c>
      <c r="C701" s="6"/>
      <c r="D701" s="6"/>
      <c r="E701" s="6"/>
      <c r="F701" s="6"/>
      <c r="G701" s="7"/>
      <c r="H701" s="7"/>
      <c r="I701" s="7"/>
      <c r="J701" s="7"/>
      <c r="K701" s="10"/>
      <c r="L701" s="7"/>
      <c r="M701" s="7"/>
      <c r="N701" s="7"/>
      <c r="O701" s="13"/>
      <c r="P701" s="13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8"/>
      <c r="AI701" s="7"/>
      <c r="AJ701" s="7"/>
      <c r="AK701" s="7"/>
      <c r="AL701" s="10"/>
      <c r="AM701" s="7" t="e">
        <f>VLOOKUP(AL701,Personal!$A$2:$I$300,2,FALSE)</f>
        <v>#N/A</v>
      </c>
      <c r="AN701" s="7" t="e">
        <f>VLOOKUP(AL701,Personal!$A$2:$I$300,3,FALSE)</f>
        <v>#N/A</v>
      </c>
      <c r="AO701" s="7" t="e">
        <f>VLOOKUP(AL701,Personal!$A$2:$I$300,6,FALSE)</f>
        <v>#N/A</v>
      </c>
      <c r="AP701" s="7" t="e">
        <f>VLOOKUP(AL701,Personal!$A$2:$I$300,7,FALSE)</f>
        <v>#N/A</v>
      </c>
      <c r="AQ701" s="7" t="e">
        <f>VLOOKUP(AL701,Personal!$A$2:$I$300,8,FALSE)</f>
        <v>#N/A</v>
      </c>
      <c r="AR701" s="7"/>
    </row>
    <row r="702" spans="2:44" x14ac:dyDescent="0.3">
      <c r="B702" s="6">
        <v>697</v>
      </c>
      <c r="C702" s="6"/>
      <c r="D702" s="6"/>
      <c r="E702" s="6"/>
      <c r="F702" s="6"/>
      <c r="G702" s="7"/>
      <c r="H702" s="7"/>
      <c r="I702" s="7"/>
      <c r="J702" s="7"/>
      <c r="K702" s="10"/>
      <c r="L702" s="7"/>
      <c r="M702" s="7"/>
      <c r="N702" s="7"/>
      <c r="O702" s="13"/>
      <c r="P702" s="13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8"/>
      <c r="AI702" s="7"/>
      <c r="AJ702" s="7"/>
      <c r="AK702" s="7"/>
      <c r="AL702" s="10"/>
      <c r="AM702" s="7" t="e">
        <f>VLOOKUP(AL702,Personal!$A$2:$I$300,2,FALSE)</f>
        <v>#N/A</v>
      </c>
      <c r="AN702" s="7" t="e">
        <f>VLOOKUP(AL702,Personal!$A$2:$I$300,3,FALSE)</f>
        <v>#N/A</v>
      </c>
      <c r="AO702" s="7" t="e">
        <f>VLOOKUP(AL702,Personal!$A$2:$I$300,6,FALSE)</f>
        <v>#N/A</v>
      </c>
      <c r="AP702" s="7" t="e">
        <f>VLOOKUP(AL702,Personal!$A$2:$I$300,7,FALSE)</f>
        <v>#N/A</v>
      </c>
      <c r="AQ702" s="7" t="e">
        <f>VLOOKUP(AL702,Personal!$A$2:$I$300,8,FALSE)</f>
        <v>#N/A</v>
      </c>
      <c r="AR702" s="7"/>
    </row>
    <row r="703" spans="2:44" x14ac:dyDescent="0.3">
      <c r="B703" s="6">
        <v>698</v>
      </c>
      <c r="C703" s="6"/>
      <c r="D703" s="6"/>
      <c r="E703" s="6"/>
      <c r="F703" s="6"/>
      <c r="G703" s="7"/>
      <c r="H703" s="7"/>
      <c r="I703" s="7"/>
      <c r="J703" s="7"/>
      <c r="K703" s="10"/>
      <c r="L703" s="7"/>
      <c r="M703" s="7"/>
      <c r="N703" s="7"/>
      <c r="O703" s="13"/>
      <c r="P703" s="13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8"/>
      <c r="AI703" s="7"/>
      <c r="AJ703" s="7"/>
      <c r="AK703" s="7"/>
      <c r="AL703" s="10"/>
      <c r="AM703" s="7" t="e">
        <f>VLOOKUP(AL703,Personal!$A$2:$I$300,2,FALSE)</f>
        <v>#N/A</v>
      </c>
      <c r="AN703" s="7" t="e">
        <f>VLOOKUP(AL703,Personal!$A$2:$I$300,3,FALSE)</f>
        <v>#N/A</v>
      </c>
      <c r="AO703" s="7" t="e">
        <f>VLOOKUP(AL703,Personal!$A$2:$I$300,6,FALSE)</f>
        <v>#N/A</v>
      </c>
      <c r="AP703" s="7" t="e">
        <f>VLOOKUP(AL703,Personal!$A$2:$I$300,7,FALSE)</f>
        <v>#N/A</v>
      </c>
      <c r="AQ703" s="7" t="e">
        <f>VLOOKUP(AL703,Personal!$A$2:$I$300,8,FALSE)</f>
        <v>#N/A</v>
      </c>
      <c r="AR703" s="7"/>
    </row>
    <row r="704" spans="2:44" x14ac:dyDescent="0.3">
      <c r="B704" s="6">
        <v>699</v>
      </c>
      <c r="C704" s="6"/>
      <c r="D704" s="6"/>
      <c r="E704" s="6"/>
      <c r="F704" s="6"/>
      <c r="G704" s="7"/>
      <c r="H704" s="7"/>
      <c r="I704" s="7"/>
      <c r="J704" s="7"/>
      <c r="K704" s="10"/>
      <c r="L704" s="7"/>
      <c r="M704" s="7"/>
      <c r="N704" s="7"/>
      <c r="O704" s="13"/>
      <c r="P704" s="13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8"/>
      <c r="AI704" s="7"/>
      <c r="AJ704" s="7"/>
      <c r="AK704" s="7"/>
      <c r="AL704" s="10"/>
      <c r="AM704" s="7" t="e">
        <f>VLOOKUP(AL704,Personal!$A$2:$I$300,2,FALSE)</f>
        <v>#N/A</v>
      </c>
      <c r="AN704" s="7" t="e">
        <f>VLOOKUP(AL704,Personal!$A$2:$I$300,3,FALSE)</f>
        <v>#N/A</v>
      </c>
      <c r="AO704" s="7" t="e">
        <f>VLOOKUP(AL704,Personal!$A$2:$I$300,6,FALSE)</f>
        <v>#N/A</v>
      </c>
      <c r="AP704" s="7" t="e">
        <f>VLOOKUP(AL704,Personal!$A$2:$I$300,7,FALSE)</f>
        <v>#N/A</v>
      </c>
      <c r="AQ704" s="7" t="e">
        <f>VLOOKUP(AL704,Personal!$A$2:$I$300,8,FALSE)</f>
        <v>#N/A</v>
      </c>
      <c r="AR704" s="7"/>
    </row>
    <row r="705" spans="2:44" x14ac:dyDescent="0.3">
      <c r="B705" s="6">
        <v>700</v>
      </c>
      <c r="C705" s="6"/>
      <c r="D705" s="6"/>
      <c r="E705" s="6"/>
      <c r="F705" s="6"/>
      <c r="G705" s="7"/>
      <c r="H705" s="7"/>
      <c r="I705" s="7"/>
      <c r="J705" s="7"/>
      <c r="K705" s="10"/>
      <c r="L705" s="7"/>
      <c r="M705" s="7"/>
      <c r="N705" s="7"/>
      <c r="O705" s="13"/>
      <c r="P705" s="13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8"/>
      <c r="AI705" s="7"/>
      <c r="AJ705" s="7"/>
      <c r="AK705" s="7"/>
      <c r="AL705" s="10"/>
      <c r="AM705" s="7" t="e">
        <f>VLOOKUP(AL705,Personal!$A$2:$I$300,2,FALSE)</f>
        <v>#N/A</v>
      </c>
      <c r="AN705" s="7" t="e">
        <f>VLOOKUP(AL705,Personal!$A$2:$I$300,3,FALSE)</f>
        <v>#N/A</v>
      </c>
      <c r="AO705" s="7" t="e">
        <f>VLOOKUP(AL705,Personal!$A$2:$I$300,6,FALSE)</f>
        <v>#N/A</v>
      </c>
      <c r="AP705" s="7" t="e">
        <f>VLOOKUP(AL705,Personal!$A$2:$I$300,7,FALSE)</f>
        <v>#N/A</v>
      </c>
      <c r="AQ705" s="7" t="e">
        <f>VLOOKUP(AL705,Personal!$A$2:$I$300,8,FALSE)</f>
        <v>#N/A</v>
      </c>
      <c r="AR705" s="7"/>
    </row>
  </sheetData>
  <autoFilter ref="B5:AR705" xr:uid="{00000000-0001-0000-0000-000000000000}"/>
  <mergeCells count="1">
    <mergeCell ref="G2:M2"/>
  </mergeCells>
  <phoneticPr fontId="5" type="noConversion"/>
  <pageMargins left="0.39370078740157483" right="0.11811023622047245" top="0.74803149606299213" bottom="0.74803149606299213" header="0.31496062992125984" footer="0.31496062992125984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InputMessage="1" showErrorMessage="1" xr:uid="{5E0601AC-D2C0-47C1-9191-EF49DF4C3346}">
          <x14:formula1>
            <xm:f>Datos!$B$5:$B$19</xm:f>
          </x14:formula1>
          <xm:sqref>G6:G705</xm:sqref>
        </x14:dataValidation>
        <x14:dataValidation type="list" allowBlank="1" showInputMessage="1" showErrorMessage="1" xr:uid="{42A438FC-215D-4232-882C-C8F8FD8C4BB4}">
          <x14:formula1>
            <xm:f>Datos!$C$5:$C$6</xm:f>
          </x14:formula1>
          <xm:sqref>H6:H705</xm:sqref>
        </x14:dataValidation>
        <x14:dataValidation type="list" allowBlank="1" showInputMessage="1" showErrorMessage="1" xr:uid="{2F8A97E2-BA52-4138-BAE8-D98EFB8E804C}">
          <x14:formula1>
            <xm:f>Datos!$D$5:$D$21</xm:f>
          </x14:formula1>
          <xm:sqref>I6:I243</xm:sqref>
        </x14:dataValidation>
        <x14:dataValidation type="list" allowBlank="1" showInputMessage="1" showErrorMessage="1" xr:uid="{BA76EFA2-F40D-40BE-82F6-FC53F7DC9958}">
          <x14:formula1>
            <xm:f>Datos!$H$5:$H$7</xm:f>
          </x14:formula1>
          <xm:sqref>M6:M705</xm:sqref>
        </x14:dataValidation>
        <x14:dataValidation type="list" allowBlank="1" showInputMessage="1" showErrorMessage="1" xr:uid="{C57D4FA3-4789-4B4E-B600-1294454BE4AE}">
          <x14:formula1>
            <xm:f>Datos!$O$5:$O$13</xm:f>
          </x14:formula1>
          <xm:sqref>X6:X227</xm:sqref>
        </x14:dataValidation>
        <x14:dataValidation type="list" allowBlank="1" showInputMessage="1" showErrorMessage="1" xr:uid="{C43FD1F6-50BA-4DFB-AB67-F32543783E1A}">
          <x14:formula1>
            <xm:f>Datos!$P$5:$P$19</xm:f>
          </x14:formula1>
          <xm:sqref>Y6:Y705</xm:sqref>
        </x14:dataValidation>
        <x14:dataValidation type="list" allowBlank="1" showInputMessage="1" showErrorMessage="1" xr:uid="{82FDA5BA-9918-4082-8B2D-EAF35125A877}">
          <x14:formula1>
            <xm:f>Datos!$Q$5:$Q$7</xm:f>
          </x14:formula1>
          <xm:sqref>Z6:Z705</xm:sqref>
        </x14:dataValidation>
        <x14:dataValidation type="list" allowBlank="1" showInputMessage="1" showErrorMessage="1" xr:uid="{A9B9A0D7-1072-4865-9C36-98CFF9020EB7}">
          <x14:formula1>
            <xm:f>Datos!$R$5:$R$30</xm:f>
          </x14:formula1>
          <xm:sqref>AA6:AA705</xm:sqref>
        </x14:dataValidation>
        <x14:dataValidation type="list" allowBlank="1" showInputMessage="1" showErrorMessage="1" xr:uid="{68A19770-7AAA-4A80-B30D-4C5F3FA990B4}">
          <x14:formula1>
            <xm:f>Datos!$T$5:$T$19</xm:f>
          </x14:formula1>
          <xm:sqref>AC6:AC243</xm:sqref>
        </x14:dataValidation>
        <x14:dataValidation type="list" allowBlank="1" showInputMessage="1" showErrorMessage="1" xr:uid="{9C33AFBF-643D-4C18-B444-16A5EE05EF89}">
          <x14:formula1>
            <xm:f>Datos!$U$5:$U$26</xm:f>
          </x14:formula1>
          <xm:sqref>AD6:AD705</xm:sqref>
        </x14:dataValidation>
        <x14:dataValidation type="list" allowBlank="1" showInputMessage="1" showErrorMessage="1" xr:uid="{EF283381-D19E-485E-BEC2-DE7EB5E26033}">
          <x14:formula1>
            <xm:f>Datos!$X$5:$X$8</xm:f>
          </x14:formula1>
          <xm:sqref>AF6:AF705</xm:sqref>
        </x14:dataValidation>
        <x14:dataValidation type="list" allowBlank="1" showInputMessage="1" showErrorMessage="1" xr:uid="{205D32EB-30FF-43F1-854E-A13E633DC8E0}">
          <x14:formula1>
            <xm:f>Datos!$Y$5:$Y$6</xm:f>
          </x14:formula1>
          <xm:sqref>AG6:AG705</xm:sqref>
        </x14:dataValidation>
        <x14:dataValidation type="list" allowBlank="1" showInputMessage="1" showErrorMessage="1" xr:uid="{63CE6F0B-88ED-4BD4-A677-5344F6969A90}">
          <x14:formula1>
            <xm:f>Datos!$AD$5:$AD$6</xm:f>
          </x14:formula1>
          <xm:sqref>AJ6:AJ705</xm:sqref>
        </x14:dataValidation>
        <x14:dataValidation type="list" allowBlank="1" showInputMessage="1" showErrorMessage="1" xr:uid="{E9496912-216F-4A58-A4E7-C60AFF5A3226}">
          <x14:formula1>
            <xm:f>Datos!$AE$5:$AE$16</xm:f>
          </x14:formula1>
          <xm:sqref>AK6:AK705</xm:sqref>
        </x14:dataValidation>
        <x14:dataValidation type="list" allowBlank="1" showInputMessage="1" showErrorMessage="1" xr:uid="{352E1C67-EE3B-40DE-8361-DABEAC525F08}">
          <x14:formula1>
            <xm:f>Datos!$O$5:$O$15</xm:f>
          </x14:formula1>
          <xm:sqref>X228:X705</xm:sqref>
        </x14:dataValidation>
        <x14:dataValidation type="list" allowBlank="1" showInputMessage="1" showErrorMessage="1" xr:uid="{C9175CF3-CA8A-4C64-B45B-F738226E53F8}">
          <x14:formula1>
            <xm:f>Datos!$W$5:$W$16</xm:f>
          </x14:formula1>
          <xm:sqref>AE6:AE252 AE254:AE705</xm:sqref>
        </x14:dataValidation>
        <x14:dataValidation type="list" allowBlank="1" showInputMessage="1" showErrorMessage="1" xr:uid="{916B64CB-7676-4AAD-A784-D850C9622D4E}">
          <x14:formula1>
            <xm:f>Datos!$D$5:$D$22</xm:f>
          </x14:formula1>
          <xm:sqref>I244:I705</xm:sqref>
        </x14:dataValidation>
        <x14:dataValidation type="list" allowBlank="1" showInputMessage="1" showErrorMessage="1" xr:uid="{E7798789-E458-44E5-B557-59C35E0E753E}">
          <x14:formula1>
            <xm:f>Datos!$T$5:$T$20</xm:f>
          </x14:formula1>
          <xm:sqref>AC244:AC247</xm:sqref>
        </x14:dataValidation>
        <x14:dataValidation type="list" allowBlank="1" showInputMessage="1" showErrorMessage="1" xr:uid="{5A9C6729-53EB-451B-BEC9-7D252C4D8C08}">
          <x14:formula1>
            <xm:f>Datos!$T$5:$T$23</xm:f>
          </x14:formula1>
          <xm:sqref>AC248:AC709</xm:sqref>
        </x14:dataValidation>
        <x14:dataValidation type="list" allowBlank="1" showInputMessage="1" showErrorMessage="1" xr:uid="{A523299A-0F2E-4630-A7C8-207D53706292}">
          <x14:formula1>
            <xm:f>Datos!$W$5:$W$18</xm:f>
          </x14:formula1>
          <xm:sqref>AE253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C9C9D-F73D-41D8-AFA1-112D0A996CF3}">
  <sheetPr codeName="Hoja3">
    <tabColor rgb="FF00B0F0"/>
    <pageSetUpPr fitToPage="1"/>
  </sheetPr>
  <dimension ref="A3:R122"/>
  <sheetViews>
    <sheetView zoomScale="85" zoomScaleNormal="85" workbookViewId="0">
      <pane xSplit="4" ySplit="3" topLeftCell="E112" activePane="bottomRight" state="frozen"/>
      <selection activeCell="F35" sqref="F35"/>
      <selection pane="topRight" activeCell="F35" sqref="F35"/>
      <selection pane="bottomLeft" activeCell="F35" sqref="F35"/>
      <selection pane="bottomRight" activeCell="G12" sqref="G12"/>
    </sheetView>
  </sheetViews>
  <sheetFormatPr baseColWidth="10" defaultColWidth="11.42578125" defaultRowHeight="15" x14ac:dyDescent="0.25"/>
  <cols>
    <col min="1" max="1" width="30.85546875" bestFit="1" customWidth="1"/>
    <col min="2" max="2" width="41.28515625" bestFit="1" customWidth="1"/>
    <col min="3" max="3" width="32.28515625" bestFit="1" customWidth="1"/>
    <col min="4" max="4" width="47.140625" bestFit="1" customWidth="1"/>
    <col min="5" max="5" width="43.7109375" bestFit="1" customWidth="1"/>
    <col min="6" max="6" width="10.28515625" bestFit="1" customWidth="1"/>
    <col min="7" max="7" width="17.42578125" bestFit="1" customWidth="1"/>
    <col min="8" max="8" width="19.140625" bestFit="1" customWidth="1"/>
    <col min="9" max="9" width="16" customWidth="1"/>
    <col min="10" max="10" width="11" bestFit="1" customWidth="1"/>
    <col min="11" max="11" width="37.85546875" customWidth="1"/>
    <col min="12" max="12" width="23.5703125" bestFit="1" customWidth="1"/>
    <col min="13" max="13" width="13.28515625" bestFit="1" customWidth="1"/>
    <col min="14" max="14" width="25.7109375" bestFit="1" customWidth="1"/>
    <col min="15" max="15" width="20.85546875" bestFit="1" customWidth="1"/>
    <col min="16" max="17" width="17.42578125" bestFit="1" customWidth="1"/>
    <col min="18" max="18" width="15.42578125" bestFit="1" customWidth="1"/>
  </cols>
  <sheetData>
    <row r="3" spans="1:18" s="65" customFormat="1" ht="28.9" customHeight="1" x14ac:dyDescent="0.25">
      <c r="A3" s="63" t="s">
        <v>25</v>
      </c>
      <c r="B3" s="63" t="s">
        <v>32</v>
      </c>
      <c r="C3" s="64" t="s">
        <v>1619</v>
      </c>
      <c r="D3" s="63" t="s">
        <v>29</v>
      </c>
      <c r="E3" s="63" t="s">
        <v>30</v>
      </c>
      <c r="F3" s="63" t="s">
        <v>1</v>
      </c>
      <c r="G3" s="80" t="s">
        <v>1709</v>
      </c>
      <c r="H3" s="85" t="s">
        <v>10</v>
      </c>
      <c r="I3" s="79" t="s">
        <v>19</v>
      </c>
      <c r="J3" s="64" t="s">
        <v>2</v>
      </c>
      <c r="K3" s="63" t="s">
        <v>3</v>
      </c>
      <c r="L3" s="63" t="s">
        <v>5</v>
      </c>
      <c r="M3" s="63" t="s">
        <v>26</v>
      </c>
      <c r="N3" s="64" t="s">
        <v>15</v>
      </c>
      <c r="O3" s="63" t="s">
        <v>17</v>
      </c>
      <c r="P3" s="63" t="s">
        <v>20</v>
      </c>
      <c r="Q3" s="82" t="s">
        <v>173</v>
      </c>
      <c r="R3" s="65" t="s">
        <v>1369</v>
      </c>
    </row>
    <row r="4" spans="1:18" x14ac:dyDescent="0.25">
      <c r="A4" t="s">
        <v>107</v>
      </c>
      <c r="B4" t="s">
        <v>259</v>
      </c>
      <c r="C4" t="s">
        <v>387</v>
      </c>
      <c r="D4" t="s">
        <v>386</v>
      </c>
      <c r="E4" t="s">
        <v>336</v>
      </c>
      <c r="F4" t="s">
        <v>33</v>
      </c>
      <c r="G4" t="s">
        <v>1431</v>
      </c>
      <c r="H4" t="s">
        <v>1257</v>
      </c>
      <c r="I4" t="s">
        <v>1451</v>
      </c>
      <c r="J4" t="s">
        <v>29</v>
      </c>
      <c r="K4" t="s">
        <v>46</v>
      </c>
      <c r="L4" t="s">
        <v>1254</v>
      </c>
      <c r="M4" s="109" t="s">
        <v>109</v>
      </c>
      <c r="N4" t="s">
        <v>60</v>
      </c>
      <c r="O4" t="s">
        <v>234</v>
      </c>
      <c r="P4" s="109" t="s">
        <v>88</v>
      </c>
      <c r="Q4" t="s">
        <v>174</v>
      </c>
      <c r="R4" s="110">
        <v>1</v>
      </c>
    </row>
    <row r="5" spans="1:18" x14ac:dyDescent="0.25">
      <c r="D5" t="s">
        <v>538</v>
      </c>
      <c r="E5" t="s">
        <v>427</v>
      </c>
      <c r="F5" t="s">
        <v>33</v>
      </c>
      <c r="G5" t="s">
        <v>1427</v>
      </c>
      <c r="H5" t="s">
        <v>1308</v>
      </c>
      <c r="I5" t="s">
        <v>1455</v>
      </c>
      <c r="J5" t="s">
        <v>29</v>
      </c>
      <c r="K5" t="s">
        <v>46</v>
      </c>
      <c r="L5" t="s">
        <v>1307</v>
      </c>
      <c r="M5" s="109" t="s">
        <v>109</v>
      </c>
      <c r="N5" t="s">
        <v>60</v>
      </c>
      <c r="O5" t="s">
        <v>234</v>
      </c>
      <c r="P5" s="109" t="s">
        <v>88</v>
      </c>
      <c r="Q5" t="s">
        <v>174</v>
      </c>
      <c r="R5" s="110">
        <v>1</v>
      </c>
    </row>
    <row r="6" spans="1:18" x14ac:dyDescent="0.25">
      <c r="C6" t="s">
        <v>258</v>
      </c>
      <c r="D6" t="s">
        <v>1004</v>
      </c>
      <c r="E6" t="s">
        <v>1203</v>
      </c>
      <c r="F6" t="s">
        <v>33</v>
      </c>
      <c r="G6" t="s">
        <v>1560</v>
      </c>
      <c r="H6" t="s">
        <v>1349</v>
      </c>
      <c r="I6" t="s">
        <v>1666</v>
      </c>
      <c r="J6" t="s">
        <v>29</v>
      </c>
      <c r="K6" t="s">
        <v>46</v>
      </c>
      <c r="L6" t="s">
        <v>1202</v>
      </c>
      <c r="M6" s="109" t="s">
        <v>109</v>
      </c>
      <c r="N6" t="s">
        <v>60</v>
      </c>
      <c r="O6" t="s">
        <v>234</v>
      </c>
      <c r="P6" s="109" t="s">
        <v>88</v>
      </c>
      <c r="Q6" t="s">
        <v>174</v>
      </c>
      <c r="R6" s="110">
        <v>1</v>
      </c>
    </row>
    <row r="7" spans="1:18" x14ac:dyDescent="0.25">
      <c r="D7" t="s">
        <v>256</v>
      </c>
      <c r="E7" t="s">
        <v>257</v>
      </c>
      <c r="F7" t="s">
        <v>33</v>
      </c>
      <c r="G7" t="s">
        <v>1529</v>
      </c>
      <c r="H7" t="s">
        <v>1560</v>
      </c>
      <c r="I7" t="s">
        <v>1446</v>
      </c>
      <c r="J7" t="s">
        <v>29</v>
      </c>
      <c r="K7" t="s">
        <v>46</v>
      </c>
      <c r="L7" t="s">
        <v>203</v>
      </c>
      <c r="M7" s="109" t="s">
        <v>109</v>
      </c>
      <c r="N7" t="s">
        <v>60</v>
      </c>
      <c r="O7" t="s">
        <v>234</v>
      </c>
      <c r="P7" s="109" t="s">
        <v>88</v>
      </c>
      <c r="Q7" t="s">
        <v>175</v>
      </c>
      <c r="R7" s="110">
        <v>1</v>
      </c>
    </row>
    <row r="8" spans="1:18" x14ac:dyDescent="0.25">
      <c r="D8" t="s">
        <v>711</v>
      </c>
      <c r="E8" t="s">
        <v>1844</v>
      </c>
      <c r="F8" t="s">
        <v>33</v>
      </c>
      <c r="G8" t="s">
        <v>1187</v>
      </c>
      <c r="H8" t="s">
        <v>1560</v>
      </c>
      <c r="I8" t="s">
        <v>1447</v>
      </c>
      <c r="J8" t="s">
        <v>29</v>
      </c>
      <c r="K8" t="s">
        <v>46</v>
      </c>
      <c r="L8" t="s">
        <v>1178</v>
      </c>
      <c r="M8" s="109" t="s">
        <v>109</v>
      </c>
      <c r="N8" t="s">
        <v>60</v>
      </c>
      <c r="O8" t="s">
        <v>234</v>
      </c>
      <c r="P8" s="109" t="s">
        <v>88</v>
      </c>
      <c r="Q8" t="s">
        <v>174</v>
      </c>
      <c r="R8" s="110">
        <v>1</v>
      </c>
    </row>
    <row r="9" spans="1:18" x14ac:dyDescent="0.25">
      <c r="D9" s="120" t="s">
        <v>1733</v>
      </c>
      <c r="E9" t="s">
        <v>1734</v>
      </c>
      <c r="F9" t="s">
        <v>33</v>
      </c>
      <c r="G9" t="s">
        <v>1736</v>
      </c>
      <c r="H9" t="s">
        <v>1560</v>
      </c>
      <c r="I9" t="s">
        <v>1449</v>
      </c>
      <c r="J9" t="s">
        <v>29</v>
      </c>
      <c r="K9" t="s">
        <v>46</v>
      </c>
      <c r="L9" t="s">
        <v>1557</v>
      </c>
      <c r="M9" s="109" t="s">
        <v>109</v>
      </c>
      <c r="N9" t="s">
        <v>60</v>
      </c>
      <c r="O9" t="s">
        <v>234</v>
      </c>
      <c r="P9" s="109" t="s">
        <v>88</v>
      </c>
      <c r="Q9" t="s">
        <v>175</v>
      </c>
      <c r="R9" s="110">
        <v>1</v>
      </c>
    </row>
    <row r="10" spans="1:18" x14ac:dyDescent="0.25">
      <c r="C10" t="s">
        <v>636</v>
      </c>
      <c r="D10" t="s">
        <v>634</v>
      </c>
      <c r="E10" t="s">
        <v>635</v>
      </c>
      <c r="F10" t="s">
        <v>33</v>
      </c>
      <c r="G10" t="s">
        <v>1440</v>
      </c>
      <c r="H10" t="s">
        <v>1283</v>
      </c>
      <c r="I10" t="s">
        <v>1453</v>
      </c>
      <c r="J10" t="s">
        <v>29</v>
      </c>
      <c r="K10" t="s">
        <v>46</v>
      </c>
      <c r="L10" t="s">
        <v>1281</v>
      </c>
      <c r="M10" s="109" t="s">
        <v>109</v>
      </c>
      <c r="N10" t="s">
        <v>60</v>
      </c>
      <c r="O10" t="s">
        <v>234</v>
      </c>
      <c r="P10" s="109" t="s">
        <v>88</v>
      </c>
      <c r="Q10" t="s">
        <v>174</v>
      </c>
      <c r="R10" s="110">
        <v>1</v>
      </c>
    </row>
    <row r="11" spans="1:18" x14ac:dyDescent="0.25">
      <c r="C11" t="s">
        <v>479</v>
      </c>
      <c r="D11" t="s">
        <v>695</v>
      </c>
      <c r="E11" t="s">
        <v>452</v>
      </c>
      <c r="F11" t="s">
        <v>33</v>
      </c>
      <c r="G11" t="s">
        <v>1484</v>
      </c>
      <c r="H11" t="s">
        <v>1277</v>
      </c>
      <c r="I11" t="s">
        <v>1489</v>
      </c>
      <c r="J11" t="s">
        <v>29</v>
      </c>
      <c r="K11" t="s">
        <v>46</v>
      </c>
      <c r="L11" t="s">
        <v>1275</v>
      </c>
      <c r="M11" s="109" t="s">
        <v>109</v>
      </c>
      <c r="N11" t="s">
        <v>60</v>
      </c>
      <c r="O11" t="s">
        <v>234</v>
      </c>
      <c r="P11" s="109" t="s">
        <v>88</v>
      </c>
      <c r="Q11" t="s">
        <v>174</v>
      </c>
      <c r="R11" s="110">
        <v>1</v>
      </c>
    </row>
    <row r="12" spans="1:18" x14ac:dyDescent="0.25">
      <c r="D12" t="s">
        <v>794</v>
      </c>
      <c r="E12" t="s">
        <v>452</v>
      </c>
      <c r="F12" t="s">
        <v>33</v>
      </c>
      <c r="G12" t="s">
        <v>1483</v>
      </c>
      <c r="H12" t="s">
        <v>1560</v>
      </c>
      <c r="I12" t="s">
        <v>1462</v>
      </c>
      <c r="J12" t="s">
        <v>29</v>
      </c>
      <c r="K12" t="s">
        <v>46</v>
      </c>
      <c r="L12" t="s">
        <v>1460</v>
      </c>
      <c r="M12" s="109" t="s">
        <v>109</v>
      </c>
      <c r="N12" t="s">
        <v>60</v>
      </c>
      <c r="O12" t="s">
        <v>234</v>
      </c>
      <c r="P12" s="109" t="s">
        <v>88</v>
      </c>
      <c r="Q12" t="s">
        <v>175</v>
      </c>
      <c r="R12" s="110">
        <v>1</v>
      </c>
    </row>
    <row r="13" spans="1:18" x14ac:dyDescent="0.25">
      <c r="C13" t="s">
        <v>287</v>
      </c>
      <c r="D13" t="s">
        <v>335</v>
      </c>
      <c r="E13" t="s">
        <v>336</v>
      </c>
      <c r="F13" t="s">
        <v>33</v>
      </c>
      <c r="G13" t="s">
        <v>1464</v>
      </c>
      <c r="H13" t="s">
        <v>1260</v>
      </c>
      <c r="I13" t="s">
        <v>1463</v>
      </c>
      <c r="J13" t="s">
        <v>29</v>
      </c>
      <c r="K13" t="s">
        <v>46</v>
      </c>
      <c r="L13" t="s">
        <v>1258</v>
      </c>
      <c r="M13" s="109" t="s">
        <v>109</v>
      </c>
      <c r="N13" t="s">
        <v>60</v>
      </c>
      <c r="O13" t="s">
        <v>234</v>
      </c>
      <c r="P13" s="109" t="s">
        <v>88</v>
      </c>
      <c r="Q13" t="s">
        <v>174</v>
      </c>
      <c r="R13" s="110">
        <v>1</v>
      </c>
    </row>
    <row r="14" spans="1:18" x14ac:dyDescent="0.25">
      <c r="C14" t="s">
        <v>453</v>
      </c>
      <c r="D14" t="s">
        <v>555</v>
      </c>
      <c r="E14" t="s">
        <v>534</v>
      </c>
      <c r="F14" t="s">
        <v>33</v>
      </c>
      <c r="G14" t="s">
        <v>1590</v>
      </c>
      <c r="H14" t="s">
        <v>1274</v>
      </c>
      <c r="I14" t="s">
        <v>1591</v>
      </c>
      <c r="J14" t="s">
        <v>29</v>
      </c>
      <c r="K14" t="s">
        <v>46</v>
      </c>
      <c r="L14" t="s">
        <v>1272</v>
      </c>
      <c r="M14" s="109" t="s">
        <v>109</v>
      </c>
      <c r="N14" t="s">
        <v>60</v>
      </c>
      <c r="O14" t="s">
        <v>234</v>
      </c>
      <c r="P14" s="109" t="s">
        <v>88</v>
      </c>
      <c r="Q14" t="s">
        <v>174</v>
      </c>
      <c r="R14" s="110">
        <v>1</v>
      </c>
    </row>
    <row r="15" spans="1:18" x14ac:dyDescent="0.25">
      <c r="C15" t="s">
        <v>292</v>
      </c>
      <c r="D15" t="s">
        <v>290</v>
      </c>
      <c r="E15" t="s">
        <v>291</v>
      </c>
      <c r="F15" t="s">
        <v>33</v>
      </c>
      <c r="G15" t="s">
        <v>1101</v>
      </c>
      <c r="H15" t="s">
        <v>1560</v>
      </c>
      <c r="I15" t="s">
        <v>1595</v>
      </c>
      <c r="J15" t="s">
        <v>29</v>
      </c>
      <c r="K15" t="s">
        <v>46</v>
      </c>
      <c r="L15" t="s">
        <v>1100</v>
      </c>
      <c r="M15" s="109" t="s">
        <v>109</v>
      </c>
      <c r="N15" t="s">
        <v>60</v>
      </c>
      <c r="O15" t="s">
        <v>234</v>
      </c>
      <c r="P15" s="109" t="s">
        <v>88</v>
      </c>
      <c r="Q15" t="s">
        <v>174</v>
      </c>
      <c r="R15" s="110">
        <v>1</v>
      </c>
    </row>
    <row r="16" spans="1:18" x14ac:dyDescent="0.25">
      <c r="C16" t="s">
        <v>640</v>
      </c>
      <c r="D16" t="s">
        <v>639</v>
      </c>
      <c r="E16" t="s">
        <v>452</v>
      </c>
      <c r="F16" t="s">
        <v>33</v>
      </c>
      <c r="G16" t="s">
        <v>1560</v>
      </c>
      <c r="H16" t="s">
        <v>1696</v>
      </c>
      <c r="I16" t="s">
        <v>1695</v>
      </c>
      <c r="J16" t="s">
        <v>29</v>
      </c>
      <c r="K16" t="s">
        <v>48</v>
      </c>
      <c r="L16" t="s">
        <v>1693</v>
      </c>
      <c r="M16" s="109" t="s">
        <v>109</v>
      </c>
      <c r="N16" t="s">
        <v>59</v>
      </c>
      <c r="O16" t="s">
        <v>77</v>
      </c>
      <c r="P16" s="109" t="s">
        <v>88</v>
      </c>
      <c r="Q16" t="s">
        <v>174</v>
      </c>
      <c r="R16" s="110">
        <v>1</v>
      </c>
    </row>
    <row r="17" spans="2:18" x14ac:dyDescent="0.25">
      <c r="B17" t="s">
        <v>1365</v>
      </c>
      <c r="R17" s="108">
        <v>13</v>
      </c>
    </row>
    <row r="18" spans="2:18" x14ac:dyDescent="0.25">
      <c r="B18" t="s">
        <v>440</v>
      </c>
      <c r="C18" t="s">
        <v>747</v>
      </c>
      <c r="D18" t="s">
        <v>745</v>
      </c>
      <c r="E18" t="s">
        <v>746</v>
      </c>
      <c r="F18" t="s">
        <v>33</v>
      </c>
      <c r="G18" t="s">
        <v>1944</v>
      </c>
      <c r="H18" t="s">
        <v>1560</v>
      </c>
      <c r="I18" t="s">
        <v>1560</v>
      </c>
      <c r="J18" t="s">
        <v>29</v>
      </c>
      <c r="K18" t="s">
        <v>48</v>
      </c>
      <c r="L18" t="s">
        <v>1870</v>
      </c>
      <c r="M18" s="109" t="s">
        <v>109</v>
      </c>
      <c r="N18" t="s">
        <v>63</v>
      </c>
      <c r="O18" t="s">
        <v>77</v>
      </c>
      <c r="P18" s="109" t="s">
        <v>88</v>
      </c>
      <c r="Q18" t="s">
        <v>175</v>
      </c>
      <c r="R18" s="110">
        <v>1</v>
      </c>
    </row>
    <row r="19" spans="2:18" x14ac:dyDescent="0.25">
      <c r="D19" t="s">
        <v>1788</v>
      </c>
      <c r="E19" t="s">
        <v>1786</v>
      </c>
      <c r="F19" t="s">
        <v>33</v>
      </c>
      <c r="G19" t="s">
        <v>1623</v>
      </c>
      <c r="H19" t="s">
        <v>1560</v>
      </c>
      <c r="I19" t="s">
        <v>1621</v>
      </c>
      <c r="J19" t="s">
        <v>29</v>
      </c>
      <c r="K19" t="s">
        <v>46</v>
      </c>
      <c r="L19" t="s">
        <v>1216</v>
      </c>
      <c r="M19" s="109" t="s">
        <v>109</v>
      </c>
      <c r="N19" t="s">
        <v>60</v>
      </c>
      <c r="O19" t="s">
        <v>234</v>
      </c>
      <c r="P19" s="109" t="s">
        <v>88</v>
      </c>
      <c r="Q19" t="s">
        <v>175</v>
      </c>
      <c r="R19" s="110">
        <v>1</v>
      </c>
    </row>
    <row r="20" spans="2:18" x14ac:dyDescent="0.25">
      <c r="C20" t="s">
        <v>440</v>
      </c>
      <c r="D20" t="s">
        <v>954</v>
      </c>
      <c r="E20" t="s">
        <v>955</v>
      </c>
      <c r="F20" t="s">
        <v>33</v>
      </c>
      <c r="G20" t="s">
        <v>1571</v>
      </c>
      <c r="H20" t="s">
        <v>1268</v>
      </c>
      <c r="I20" t="s">
        <v>1572</v>
      </c>
      <c r="J20" t="s">
        <v>29</v>
      </c>
      <c r="K20" t="s">
        <v>46</v>
      </c>
      <c r="L20" t="s">
        <v>1266</v>
      </c>
      <c r="M20" s="109" t="s">
        <v>109</v>
      </c>
      <c r="N20" t="s">
        <v>60</v>
      </c>
      <c r="O20" t="s">
        <v>234</v>
      </c>
      <c r="P20" s="109" t="s">
        <v>88</v>
      </c>
      <c r="Q20" t="s">
        <v>175</v>
      </c>
      <c r="R20" s="110">
        <v>1</v>
      </c>
    </row>
    <row r="21" spans="2:18" x14ac:dyDescent="0.25">
      <c r="D21" t="s">
        <v>838</v>
      </c>
      <c r="E21" t="s">
        <v>839</v>
      </c>
      <c r="F21" t="s">
        <v>33</v>
      </c>
      <c r="G21" t="s">
        <v>1587</v>
      </c>
      <c r="H21" t="s">
        <v>1560</v>
      </c>
      <c r="I21" t="s">
        <v>1578</v>
      </c>
      <c r="J21" t="s">
        <v>29</v>
      </c>
      <c r="K21" t="s">
        <v>46</v>
      </c>
      <c r="L21" t="s">
        <v>1577</v>
      </c>
      <c r="M21" s="109" t="s">
        <v>109</v>
      </c>
      <c r="N21" t="s">
        <v>60</v>
      </c>
      <c r="O21" t="s">
        <v>234</v>
      </c>
      <c r="P21" s="109" t="s">
        <v>88</v>
      </c>
      <c r="Q21" t="s">
        <v>175</v>
      </c>
      <c r="R21" s="110">
        <v>1</v>
      </c>
    </row>
    <row r="22" spans="2:18" x14ac:dyDescent="0.25">
      <c r="C22" t="s">
        <v>445</v>
      </c>
      <c r="D22" s="107" t="s">
        <v>584</v>
      </c>
      <c r="E22" t="s">
        <v>585</v>
      </c>
      <c r="F22" t="s">
        <v>33</v>
      </c>
      <c r="G22" t="s">
        <v>1588</v>
      </c>
      <c r="H22" t="s">
        <v>1576</v>
      </c>
      <c r="I22" t="s">
        <v>1575</v>
      </c>
      <c r="J22" t="s">
        <v>29</v>
      </c>
      <c r="K22" t="s">
        <v>46</v>
      </c>
      <c r="L22" t="s">
        <v>1573</v>
      </c>
      <c r="M22" s="109" t="s">
        <v>109</v>
      </c>
      <c r="N22" t="s">
        <v>60</v>
      </c>
      <c r="O22" t="s">
        <v>77</v>
      </c>
      <c r="P22" s="109" t="s">
        <v>88</v>
      </c>
      <c r="Q22" t="s">
        <v>174</v>
      </c>
      <c r="R22" s="110">
        <v>1</v>
      </c>
    </row>
    <row r="23" spans="2:18" x14ac:dyDescent="0.25">
      <c r="D23" s="107"/>
      <c r="G23" t="s">
        <v>1589</v>
      </c>
      <c r="H23" t="s">
        <v>1213</v>
      </c>
      <c r="I23" t="s">
        <v>1597</v>
      </c>
      <c r="J23" t="s">
        <v>29</v>
      </c>
      <c r="K23" t="s">
        <v>46</v>
      </c>
      <c r="L23" t="s">
        <v>1211</v>
      </c>
      <c r="M23" s="109" t="s">
        <v>109</v>
      </c>
      <c r="N23" t="s">
        <v>60</v>
      </c>
      <c r="O23" t="s">
        <v>234</v>
      </c>
      <c r="P23" s="109" t="s">
        <v>88</v>
      </c>
      <c r="Q23" t="s">
        <v>174</v>
      </c>
      <c r="R23" s="110">
        <v>1</v>
      </c>
    </row>
    <row r="24" spans="2:18" x14ac:dyDescent="0.25">
      <c r="C24" t="s">
        <v>543</v>
      </c>
      <c r="D24" t="s">
        <v>541</v>
      </c>
      <c r="E24" t="s">
        <v>542</v>
      </c>
      <c r="F24" t="s">
        <v>33</v>
      </c>
      <c r="G24" t="s">
        <v>1586</v>
      </c>
      <c r="H24" t="s">
        <v>1576</v>
      </c>
      <c r="I24" t="s">
        <v>1598</v>
      </c>
      <c r="J24" t="s">
        <v>29</v>
      </c>
      <c r="K24" t="s">
        <v>46</v>
      </c>
      <c r="L24" t="s">
        <v>1620</v>
      </c>
      <c r="M24" s="109" t="s">
        <v>109</v>
      </c>
      <c r="N24" t="s">
        <v>59</v>
      </c>
      <c r="O24" t="s">
        <v>234</v>
      </c>
      <c r="P24" s="109" t="s">
        <v>88</v>
      </c>
      <c r="Q24" t="s">
        <v>175</v>
      </c>
      <c r="R24" s="110">
        <v>1</v>
      </c>
    </row>
    <row r="25" spans="2:18" x14ac:dyDescent="0.25">
      <c r="B25" t="s">
        <v>1493</v>
      </c>
      <c r="G25" s="109"/>
      <c r="H25" s="109"/>
      <c r="I25" s="109"/>
      <c r="J25" s="109"/>
      <c r="K25" s="109"/>
      <c r="R25" s="108">
        <v>7</v>
      </c>
    </row>
    <row r="26" spans="2:18" x14ac:dyDescent="0.25">
      <c r="B26" t="s">
        <v>264</v>
      </c>
      <c r="C26" t="s">
        <v>264</v>
      </c>
      <c r="D26" t="s">
        <v>262</v>
      </c>
      <c r="E26" t="s">
        <v>263</v>
      </c>
      <c r="F26" t="s">
        <v>34</v>
      </c>
      <c r="G26" t="s">
        <v>1990</v>
      </c>
      <c r="H26" t="s">
        <v>1560</v>
      </c>
      <c r="I26" t="s">
        <v>1584</v>
      </c>
      <c r="J26" t="s">
        <v>29</v>
      </c>
      <c r="K26" t="s">
        <v>47</v>
      </c>
      <c r="L26" t="s">
        <v>1583</v>
      </c>
      <c r="M26" s="109" t="s">
        <v>109</v>
      </c>
      <c r="N26" t="s">
        <v>65</v>
      </c>
      <c r="O26" t="s">
        <v>79</v>
      </c>
      <c r="P26" s="109" t="s">
        <v>88</v>
      </c>
      <c r="Q26" t="s">
        <v>175</v>
      </c>
      <c r="R26" s="110">
        <v>1</v>
      </c>
    </row>
    <row r="27" spans="2:18" x14ac:dyDescent="0.25">
      <c r="D27" t="s">
        <v>267</v>
      </c>
      <c r="E27" t="s">
        <v>268</v>
      </c>
      <c r="F27" t="s">
        <v>33</v>
      </c>
      <c r="G27" t="s">
        <v>1410</v>
      </c>
      <c r="H27" t="s">
        <v>1220</v>
      </c>
      <c r="I27" t="s">
        <v>1539</v>
      </c>
      <c r="J27" t="s">
        <v>29</v>
      </c>
      <c r="K27" t="s">
        <v>46</v>
      </c>
      <c r="L27" t="s">
        <v>1219</v>
      </c>
      <c r="M27" s="109" t="s">
        <v>109</v>
      </c>
      <c r="N27" t="s">
        <v>60</v>
      </c>
      <c r="O27" t="s">
        <v>234</v>
      </c>
      <c r="P27" s="109" t="s">
        <v>88</v>
      </c>
      <c r="Q27" t="s">
        <v>174</v>
      </c>
      <c r="R27" s="110">
        <v>1</v>
      </c>
    </row>
    <row r="28" spans="2:18" x14ac:dyDescent="0.25">
      <c r="B28" t="s">
        <v>1561</v>
      </c>
      <c r="G28" s="109"/>
      <c r="H28" s="109"/>
      <c r="I28" s="109"/>
      <c r="J28" s="109"/>
      <c r="K28" s="109"/>
      <c r="R28" s="108">
        <v>2</v>
      </c>
    </row>
    <row r="29" spans="2:18" x14ac:dyDescent="0.25">
      <c r="B29" t="s">
        <v>247</v>
      </c>
      <c r="C29" t="s">
        <v>273</v>
      </c>
      <c r="D29" t="s">
        <v>271</v>
      </c>
      <c r="E29" t="s">
        <v>272</v>
      </c>
      <c r="F29" t="s">
        <v>33</v>
      </c>
      <c r="G29" t="s">
        <v>1399</v>
      </c>
      <c r="H29" t="s">
        <v>1253</v>
      </c>
      <c r="I29" t="s">
        <v>1621</v>
      </c>
      <c r="J29" t="s">
        <v>29</v>
      </c>
      <c r="K29" t="s">
        <v>46</v>
      </c>
      <c r="L29" t="s">
        <v>1252</v>
      </c>
      <c r="M29" s="109" t="s">
        <v>109</v>
      </c>
      <c r="N29" t="s">
        <v>60</v>
      </c>
      <c r="O29" t="s">
        <v>234</v>
      </c>
      <c r="P29" s="109" t="s">
        <v>88</v>
      </c>
      <c r="Q29" t="s">
        <v>174</v>
      </c>
      <c r="R29" s="110">
        <v>1</v>
      </c>
    </row>
    <row r="30" spans="2:18" x14ac:dyDescent="0.25">
      <c r="G30" t="s">
        <v>1570</v>
      </c>
      <c r="H30" t="s">
        <v>1560</v>
      </c>
      <c r="I30" t="s">
        <v>1757</v>
      </c>
      <c r="J30" t="s">
        <v>29</v>
      </c>
      <c r="K30" t="s">
        <v>46</v>
      </c>
      <c r="L30" t="s">
        <v>1569</v>
      </c>
      <c r="M30" s="109" t="s">
        <v>109</v>
      </c>
      <c r="N30" t="s">
        <v>60</v>
      </c>
      <c r="O30" t="s">
        <v>234</v>
      </c>
      <c r="P30" s="109" t="s">
        <v>88</v>
      </c>
      <c r="Q30" t="s">
        <v>174</v>
      </c>
      <c r="R30" s="110">
        <v>1</v>
      </c>
    </row>
    <row r="31" spans="2:18" x14ac:dyDescent="0.25">
      <c r="C31" t="s">
        <v>401</v>
      </c>
      <c r="D31" t="s">
        <v>399</v>
      </c>
      <c r="E31" s="109" t="s">
        <v>400</v>
      </c>
      <c r="F31" t="s">
        <v>33</v>
      </c>
      <c r="G31" t="s">
        <v>1373</v>
      </c>
      <c r="H31" t="s">
        <v>1320</v>
      </c>
      <c r="I31" t="s">
        <v>1456</v>
      </c>
      <c r="J31" t="s">
        <v>29</v>
      </c>
      <c r="K31" t="s">
        <v>46</v>
      </c>
      <c r="L31" t="s">
        <v>1321</v>
      </c>
      <c r="M31" s="109" t="s">
        <v>109</v>
      </c>
      <c r="N31" t="s">
        <v>60</v>
      </c>
      <c r="O31" t="s">
        <v>234</v>
      </c>
      <c r="P31" s="109" t="s">
        <v>88</v>
      </c>
      <c r="Q31" t="s">
        <v>174</v>
      </c>
      <c r="R31" s="110">
        <v>1</v>
      </c>
    </row>
    <row r="32" spans="2:18" x14ac:dyDescent="0.25">
      <c r="C32" t="s">
        <v>320</v>
      </c>
      <c r="D32" t="s">
        <v>1982</v>
      </c>
      <c r="E32" t="s">
        <v>1981</v>
      </c>
      <c r="F32" t="s">
        <v>33</v>
      </c>
      <c r="G32" t="s">
        <v>1979</v>
      </c>
      <c r="H32" t="s">
        <v>1560</v>
      </c>
      <c r="I32" t="s">
        <v>1980</v>
      </c>
      <c r="J32" t="s">
        <v>29</v>
      </c>
      <c r="K32" t="s">
        <v>47</v>
      </c>
      <c r="L32" t="s">
        <v>188</v>
      </c>
      <c r="M32" s="109" t="s">
        <v>109</v>
      </c>
      <c r="N32" t="s">
        <v>71</v>
      </c>
      <c r="O32" t="s">
        <v>234</v>
      </c>
      <c r="P32" s="109" t="s">
        <v>88</v>
      </c>
      <c r="Q32" t="s">
        <v>175</v>
      </c>
      <c r="R32" s="110">
        <v>1</v>
      </c>
    </row>
    <row r="33" spans="2:18" x14ac:dyDescent="0.25">
      <c r="D33" t="s">
        <v>353</v>
      </c>
      <c r="E33" t="s">
        <v>354</v>
      </c>
      <c r="F33" t="s">
        <v>33</v>
      </c>
      <c r="G33" t="s">
        <v>1404</v>
      </c>
      <c r="H33" t="s">
        <v>1264</v>
      </c>
      <c r="I33" t="s">
        <v>1501</v>
      </c>
      <c r="J33" t="s">
        <v>29</v>
      </c>
      <c r="K33" t="s">
        <v>46</v>
      </c>
      <c r="L33" t="s">
        <v>1263</v>
      </c>
      <c r="M33" s="109" t="s">
        <v>109</v>
      </c>
      <c r="N33" t="s">
        <v>60</v>
      </c>
      <c r="O33" t="s">
        <v>234</v>
      </c>
      <c r="P33" s="109" t="s">
        <v>88</v>
      </c>
      <c r="Q33" t="s">
        <v>174</v>
      </c>
      <c r="R33" s="110">
        <v>1</v>
      </c>
    </row>
    <row r="34" spans="2:18" x14ac:dyDescent="0.25">
      <c r="G34" t="s">
        <v>1405</v>
      </c>
      <c r="H34" t="s">
        <v>1560</v>
      </c>
      <c r="I34" t="s">
        <v>1560</v>
      </c>
      <c r="J34" t="s">
        <v>29</v>
      </c>
      <c r="K34" t="s">
        <v>48</v>
      </c>
      <c r="L34" t="s">
        <v>1966</v>
      </c>
      <c r="M34" s="109" t="s">
        <v>109</v>
      </c>
      <c r="N34" t="s">
        <v>71</v>
      </c>
      <c r="O34" t="s">
        <v>79</v>
      </c>
      <c r="P34" s="109" t="s">
        <v>88</v>
      </c>
      <c r="Q34" t="s">
        <v>175</v>
      </c>
      <c r="R34" s="110">
        <v>1</v>
      </c>
    </row>
    <row r="35" spans="2:18" x14ac:dyDescent="0.25">
      <c r="D35" t="s">
        <v>331</v>
      </c>
      <c r="E35" t="s">
        <v>332</v>
      </c>
      <c r="F35" t="s">
        <v>33</v>
      </c>
      <c r="G35" t="s">
        <v>1680</v>
      </c>
      <c r="H35" t="s">
        <v>1560</v>
      </c>
      <c r="I35" t="s">
        <v>1679</v>
      </c>
      <c r="J35" t="s">
        <v>29</v>
      </c>
      <c r="K35" t="s">
        <v>47</v>
      </c>
      <c r="L35" t="s">
        <v>1560</v>
      </c>
      <c r="M35" s="109" t="s">
        <v>109</v>
      </c>
      <c r="N35" t="s">
        <v>71</v>
      </c>
      <c r="O35" t="s">
        <v>79</v>
      </c>
      <c r="P35" s="109" t="s">
        <v>88</v>
      </c>
      <c r="Q35" t="s">
        <v>175</v>
      </c>
      <c r="R35" s="110">
        <v>1</v>
      </c>
    </row>
    <row r="36" spans="2:18" x14ac:dyDescent="0.25">
      <c r="D36" t="s">
        <v>982</v>
      </c>
      <c r="E36" t="s">
        <v>727</v>
      </c>
      <c r="F36" t="s">
        <v>33</v>
      </c>
      <c r="G36" t="s">
        <v>1408</v>
      </c>
      <c r="H36" t="s">
        <v>1560</v>
      </c>
      <c r="I36" t="s">
        <v>1661</v>
      </c>
      <c r="J36" t="s">
        <v>29</v>
      </c>
      <c r="K36" t="s">
        <v>46</v>
      </c>
      <c r="L36" t="s">
        <v>1660</v>
      </c>
      <c r="M36" s="109" t="s">
        <v>109</v>
      </c>
      <c r="N36" t="s">
        <v>60</v>
      </c>
      <c r="O36" t="s">
        <v>234</v>
      </c>
      <c r="P36" s="109" t="s">
        <v>88</v>
      </c>
      <c r="Q36" t="s">
        <v>174</v>
      </c>
      <c r="R36" s="110">
        <v>1</v>
      </c>
    </row>
    <row r="37" spans="2:18" x14ac:dyDescent="0.25">
      <c r="D37" t="s">
        <v>1816</v>
      </c>
      <c r="E37" t="s">
        <v>727</v>
      </c>
      <c r="F37" t="s">
        <v>33</v>
      </c>
      <c r="G37" t="s">
        <v>1875</v>
      </c>
      <c r="H37" t="s">
        <v>1560</v>
      </c>
      <c r="I37" t="s">
        <v>1819</v>
      </c>
      <c r="J37" t="s">
        <v>29</v>
      </c>
      <c r="K37" t="s">
        <v>46</v>
      </c>
      <c r="L37" t="s">
        <v>197</v>
      </c>
      <c r="M37" s="109" t="s">
        <v>109</v>
      </c>
      <c r="N37" t="s">
        <v>60</v>
      </c>
      <c r="O37" t="s">
        <v>234</v>
      </c>
      <c r="P37" s="109" t="s">
        <v>88</v>
      </c>
      <c r="Q37" t="s">
        <v>1560</v>
      </c>
      <c r="R37" s="110">
        <v>1</v>
      </c>
    </row>
    <row r="38" spans="2:18" x14ac:dyDescent="0.25">
      <c r="D38" t="s">
        <v>726</v>
      </c>
      <c r="E38" t="s">
        <v>727</v>
      </c>
      <c r="F38" t="s">
        <v>33</v>
      </c>
      <c r="G38" t="s">
        <v>1407</v>
      </c>
      <c r="H38" t="s">
        <v>1251</v>
      </c>
      <c r="I38" t="s">
        <v>1490</v>
      </c>
      <c r="J38" t="s">
        <v>29</v>
      </c>
      <c r="K38" t="s">
        <v>46</v>
      </c>
      <c r="L38" t="s">
        <v>1249</v>
      </c>
      <c r="M38" s="109" t="s">
        <v>109</v>
      </c>
      <c r="N38" t="s">
        <v>60</v>
      </c>
      <c r="O38" t="s">
        <v>234</v>
      </c>
      <c r="P38" s="109" t="s">
        <v>88</v>
      </c>
      <c r="Q38" t="s">
        <v>174</v>
      </c>
      <c r="R38" s="110">
        <v>1</v>
      </c>
    </row>
    <row r="39" spans="2:18" x14ac:dyDescent="0.25">
      <c r="D39" t="s">
        <v>318</v>
      </c>
      <c r="E39" t="s">
        <v>319</v>
      </c>
      <c r="F39" t="s">
        <v>33</v>
      </c>
      <c r="G39" t="s">
        <v>1560</v>
      </c>
      <c r="H39" t="s">
        <v>1335</v>
      </c>
      <c r="I39" t="s">
        <v>1457</v>
      </c>
      <c r="J39" t="s">
        <v>29</v>
      </c>
      <c r="K39" t="s">
        <v>46</v>
      </c>
      <c r="L39" t="s">
        <v>1336</v>
      </c>
      <c r="M39" s="109" t="s">
        <v>109</v>
      </c>
      <c r="N39" t="s">
        <v>73</v>
      </c>
      <c r="O39" t="s">
        <v>78</v>
      </c>
      <c r="P39" s="109" t="s">
        <v>88</v>
      </c>
      <c r="Q39" t="s">
        <v>174</v>
      </c>
      <c r="R39" s="110">
        <v>1</v>
      </c>
    </row>
    <row r="40" spans="2:18" x14ac:dyDescent="0.25">
      <c r="D40" t="s">
        <v>766</v>
      </c>
      <c r="E40" t="s">
        <v>767</v>
      </c>
      <c r="F40" t="s">
        <v>33</v>
      </c>
      <c r="G40" t="s">
        <v>1560</v>
      </c>
      <c r="H40" t="s">
        <v>1498</v>
      </c>
      <c r="I40" t="s">
        <v>1559</v>
      </c>
      <c r="J40" t="s">
        <v>29</v>
      </c>
      <c r="K40" t="s">
        <v>46</v>
      </c>
      <c r="L40" t="s">
        <v>1496</v>
      </c>
      <c r="M40" s="109" t="s">
        <v>109</v>
      </c>
      <c r="N40" t="s">
        <v>73</v>
      </c>
      <c r="O40" t="s">
        <v>78</v>
      </c>
      <c r="P40" s="109" t="s">
        <v>88</v>
      </c>
      <c r="Q40" t="s">
        <v>174</v>
      </c>
      <c r="R40" s="110">
        <v>1</v>
      </c>
    </row>
    <row r="41" spans="2:18" x14ac:dyDescent="0.25">
      <c r="D41" s="106" t="s">
        <v>1739</v>
      </c>
      <c r="E41" t="s">
        <v>1738</v>
      </c>
      <c r="F41" t="s">
        <v>33</v>
      </c>
      <c r="G41" t="s">
        <v>1737</v>
      </c>
      <c r="H41" s="106" t="s">
        <v>1737</v>
      </c>
      <c r="I41" t="s">
        <v>1730</v>
      </c>
      <c r="J41" t="s">
        <v>29</v>
      </c>
      <c r="K41" t="s">
        <v>46</v>
      </c>
      <c r="L41" t="s">
        <v>1217</v>
      </c>
      <c r="M41" s="109" t="s">
        <v>109</v>
      </c>
      <c r="N41" t="s">
        <v>58</v>
      </c>
      <c r="O41" t="s">
        <v>77</v>
      </c>
      <c r="P41" s="109" t="s">
        <v>1210</v>
      </c>
      <c r="Q41" t="s">
        <v>174</v>
      </c>
      <c r="R41" s="110">
        <v>1</v>
      </c>
    </row>
    <row r="42" spans="2:18" x14ac:dyDescent="0.25">
      <c r="D42" t="s">
        <v>962</v>
      </c>
      <c r="E42" t="s">
        <v>963</v>
      </c>
      <c r="F42" t="s">
        <v>33</v>
      </c>
      <c r="G42" t="s">
        <v>1406</v>
      </c>
      <c r="H42" t="s">
        <v>1214</v>
      </c>
      <c r="I42" t="s">
        <v>1546</v>
      </c>
      <c r="J42" t="s">
        <v>29</v>
      </c>
      <c r="K42" t="s">
        <v>46</v>
      </c>
      <c r="L42" t="s">
        <v>1208</v>
      </c>
      <c r="M42" s="109" t="s">
        <v>109</v>
      </c>
      <c r="N42" t="s">
        <v>60</v>
      </c>
      <c r="O42" t="s">
        <v>234</v>
      </c>
      <c r="P42" s="109" t="s">
        <v>88</v>
      </c>
      <c r="Q42" t="s">
        <v>175</v>
      </c>
      <c r="R42" s="110">
        <v>1</v>
      </c>
    </row>
    <row r="43" spans="2:18" x14ac:dyDescent="0.25">
      <c r="C43" t="s">
        <v>247</v>
      </c>
      <c r="D43" t="s">
        <v>244</v>
      </c>
      <c r="E43" t="s">
        <v>246</v>
      </c>
      <c r="F43" t="s">
        <v>34</v>
      </c>
      <c r="G43" t="s">
        <v>1560</v>
      </c>
      <c r="H43" t="s">
        <v>1560</v>
      </c>
      <c r="I43" t="s">
        <v>1560</v>
      </c>
      <c r="J43" t="s">
        <v>29</v>
      </c>
      <c r="K43" t="s">
        <v>47</v>
      </c>
      <c r="L43" t="s">
        <v>1560</v>
      </c>
      <c r="M43" s="109" t="s">
        <v>109</v>
      </c>
      <c r="N43" t="s">
        <v>63</v>
      </c>
      <c r="O43" t="s">
        <v>77</v>
      </c>
      <c r="P43" s="109" t="s">
        <v>88</v>
      </c>
      <c r="Q43" t="s">
        <v>175</v>
      </c>
      <c r="R43" s="110">
        <v>1</v>
      </c>
    </row>
    <row r="44" spans="2:18" x14ac:dyDescent="0.25">
      <c r="B44" t="s">
        <v>1366</v>
      </c>
      <c r="G44" s="109"/>
      <c r="H44" s="109"/>
      <c r="I44" s="109"/>
      <c r="J44" s="109"/>
      <c r="K44" s="109"/>
      <c r="L44" s="109"/>
      <c r="R44" s="108">
        <v>15</v>
      </c>
    </row>
    <row r="45" spans="2:18" x14ac:dyDescent="0.25">
      <c r="B45" t="s">
        <v>302</v>
      </c>
      <c r="C45" t="s">
        <v>302</v>
      </c>
      <c r="D45" t="s">
        <v>302</v>
      </c>
      <c r="E45" t="s">
        <v>340</v>
      </c>
      <c r="F45" t="s">
        <v>33</v>
      </c>
      <c r="G45" t="s">
        <v>1469</v>
      </c>
      <c r="H45" t="s">
        <v>1560</v>
      </c>
      <c r="I45" t="s">
        <v>1482</v>
      </c>
      <c r="J45" t="s">
        <v>29</v>
      </c>
      <c r="K45" t="s">
        <v>46</v>
      </c>
      <c r="L45" t="s">
        <v>202</v>
      </c>
      <c r="M45" s="109" t="s">
        <v>109</v>
      </c>
      <c r="N45" t="s">
        <v>60</v>
      </c>
      <c r="O45" t="s">
        <v>234</v>
      </c>
      <c r="P45" s="109" t="s">
        <v>88</v>
      </c>
      <c r="Q45" t="s">
        <v>1560</v>
      </c>
      <c r="R45" s="110">
        <v>1</v>
      </c>
    </row>
    <row r="46" spans="2:18" x14ac:dyDescent="0.25">
      <c r="D46" t="s">
        <v>374</v>
      </c>
      <c r="E46" t="s">
        <v>375</v>
      </c>
      <c r="F46" t="s">
        <v>33</v>
      </c>
      <c r="G46" t="s">
        <v>1560</v>
      </c>
      <c r="H46" t="s">
        <v>1348</v>
      </c>
      <c r="I46" t="s">
        <v>1560</v>
      </c>
      <c r="J46" t="s">
        <v>29</v>
      </c>
      <c r="K46" t="s">
        <v>46</v>
      </c>
      <c r="L46" t="s">
        <v>1346</v>
      </c>
      <c r="M46" s="109" t="s">
        <v>109</v>
      </c>
      <c r="N46" t="s">
        <v>60</v>
      </c>
      <c r="O46" t="s">
        <v>234</v>
      </c>
      <c r="P46" s="109" t="s">
        <v>88</v>
      </c>
      <c r="Q46" t="s">
        <v>174</v>
      </c>
      <c r="R46" s="110">
        <v>1</v>
      </c>
    </row>
    <row r="47" spans="2:18" x14ac:dyDescent="0.25">
      <c r="D47" t="s">
        <v>1305</v>
      </c>
      <c r="E47" t="s">
        <v>340</v>
      </c>
      <c r="F47" t="s">
        <v>33</v>
      </c>
      <c r="G47" t="s">
        <v>1977</v>
      </c>
      <c r="H47" t="s">
        <v>1560</v>
      </c>
      <c r="I47" t="s">
        <v>1978</v>
      </c>
      <c r="J47" t="s">
        <v>29</v>
      </c>
      <c r="K47" t="s">
        <v>46</v>
      </c>
      <c r="L47" t="s">
        <v>1303</v>
      </c>
      <c r="M47" s="109" t="s">
        <v>109</v>
      </c>
      <c r="N47" t="s">
        <v>58</v>
      </c>
      <c r="O47" t="s">
        <v>77</v>
      </c>
      <c r="P47" s="109" t="s">
        <v>88</v>
      </c>
      <c r="Q47" t="s">
        <v>174</v>
      </c>
      <c r="R47" s="110">
        <v>1</v>
      </c>
    </row>
    <row r="48" spans="2:18" x14ac:dyDescent="0.25">
      <c r="C48" t="s">
        <v>700</v>
      </c>
      <c r="D48" t="s">
        <v>698</v>
      </c>
      <c r="E48" t="s">
        <v>699</v>
      </c>
      <c r="F48" t="s">
        <v>33</v>
      </c>
      <c r="G48" t="s">
        <v>1395</v>
      </c>
      <c r="H48" t="s">
        <v>1789</v>
      </c>
      <c r="I48" t="s">
        <v>1447</v>
      </c>
      <c r="J48" t="s">
        <v>29</v>
      </c>
      <c r="K48" t="s">
        <v>46</v>
      </c>
      <c r="L48" t="s">
        <v>1663</v>
      </c>
      <c r="M48" s="109" t="s">
        <v>109</v>
      </c>
      <c r="N48" t="s">
        <v>59</v>
      </c>
      <c r="O48" t="s">
        <v>234</v>
      </c>
      <c r="P48" s="109" t="s">
        <v>88</v>
      </c>
      <c r="Q48" t="s">
        <v>175</v>
      </c>
      <c r="R48" s="110">
        <v>1</v>
      </c>
    </row>
    <row r="49" spans="2:18" x14ac:dyDescent="0.25">
      <c r="B49" t="s">
        <v>1367</v>
      </c>
      <c r="F49" s="109"/>
      <c r="G49" s="109"/>
      <c r="H49" s="109"/>
      <c r="I49" s="109"/>
      <c r="J49" s="109"/>
      <c r="K49" s="109"/>
      <c r="R49" s="108">
        <v>4</v>
      </c>
    </row>
    <row r="50" spans="2:18" x14ac:dyDescent="0.25">
      <c r="B50" t="s">
        <v>253</v>
      </c>
      <c r="C50" t="s">
        <v>252</v>
      </c>
      <c r="D50" t="s">
        <v>1924</v>
      </c>
      <c r="E50" t="s">
        <v>1925</v>
      </c>
      <c r="F50" t="s">
        <v>33</v>
      </c>
      <c r="G50" t="s">
        <v>1527</v>
      </c>
      <c r="H50" t="s">
        <v>1271</v>
      </c>
      <c r="I50" t="s">
        <v>1528</v>
      </c>
      <c r="J50" t="s">
        <v>29</v>
      </c>
      <c r="K50" t="s">
        <v>46</v>
      </c>
      <c r="L50" t="s">
        <v>1269</v>
      </c>
      <c r="M50" s="109" t="s">
        <v>109</v>
      </c>
      <c r="N50" t="s">
        <v>60</v>
      </c>
      <c r="O50" t="s">
        <v>234</v>
      </c>
      <c r="P50" s="109" t="s">
        <v>88</v>
      </c>
      <c r="Q50" t="s">
        <v>175</v>
      </c>
      <c r="R50" s="110">
        <v>1</v>
      </c>
    </row>
    <row r="51" spans="2:18" x14ac:dyDescent="0.25">
      <c r="G51" t="s">
        <v>1560</v>
      </c>
      <c r="H51" t="s">
        <v>1525</v>
      </c>
      <c r="I51" t="s">
        <v>1524</v>
      </c>
      <c r="J51" t="s">
        <v>29</v>
      </c>
      <c r="K51" t="s">
        <v>46</v>
      </c>
      <c r="L51" t="s">
        <v>1522</v>
      </c>
      <c r="M51" s="109" t="s">
        <v>109</v>
      </c>
      <c r="N51" t="s">
        <v>60</v>
      </c>
      <c r="O51" t="s">
        <v>234</v>
      </c>
      <c r="P51" s="109" t="s">
        <v>88</v>
      </c>
      <c r="Q51" t="s">
        <v>175</v>
      </c>
      <c r="R51" s="110">
        <v>1</v>
      </c>
    </row>
    <row r="52" spans="2:18" x14ac:dyDescent="0.25">
      <c r="C52" t="s">
        <v>297</v>
      </c>
      <c r="D52" t="s">
        <v>504</v>
      </c>
      <c r="E52" t="s">
        <v>468</v>
      </c>
      <c r="F52" t="s">
        <v>33</v>
      </c>
      <c r="G52" t="s">
        <v>1594</v>
      </c>
      <c r="H52" t="s">
        <v>1285</v>
      </c>
      <c r="I52" t="s">
        <v>1568</v>
      </c>
      <c r="J52" t="s">
        <v>29</v>
      </c>
      <c r="K52" t="s">
        <v>46</v>
      </c>
      <c r="L52" t="s">
        <v>1284</v>
      </c>
      <c r="M52" s="109" t="s">
        <v>109</v>
      </c>
      <c r="N52" t="s">
        <v>60</v>
      </c>
      <c r="O52" t="s">
        <v>234</v>
      </c>
      <c r="P52" s="109" t="s">
        <v>88</v>
      </c>
      <c r="Q52" t="s">
        <v>174</v>
      </c>
      <c r="R52" s="110">
        <v>1</v>
      </c>
    </row>
    <row r="53" spans="2:18" x14ac:dyDescent="0.25">
      <c r="D53" t="s">
        <v>842</v>
      </c>
      <c r="E53" t="s">
        <v>843</v>
      </c>
      <c r="F53" t="s">
        <v>33</v>
      </c>
      <c r="G53" t="s">
        <v>1593</v>
      </c>
      <c r="H53" t="s">
        <v>1300</v>
      </c>
      <c r="I53" t="s">
        <v>1567</v>
      </c>
      <c r="J53" t="s">
        <v>29</v>
      </c>
      <c r="K53" t="s">
        <v>46</v>
      </c>
      <c r="L53" t="s">
        <v>1302</v>
      </c>
      <c r="M53" s="109" t="s">
        <v>109</v>
      </c>
      <c r="N53" t="s">
        <v>60</v>
      </c>
      <c r="O53" t="s">
        <v>234</v>
      </c>
      <c r="P53" s="109" t="s">
        <v>88</v>
      </c>
      <c r="Q53" t="s">
        <v>175</v>
      </c>
      <c r="R53" s="110">
        <v>1</v>
      </c>
    </row>
    <row r="54" spans="2:18" x14ac:dyDescent="0.25">
      <c r="D54" t="s">
        <v>467</v>
      </c>
      <c r="E54" t="s">
        <v>468</v>
      </c>
      <c r="F54" t="s">
        <v>33</v>
      </c>
      <c r="G54" t="s">
        <v>1800</v>
      </c>
      <c r="H54" t="s">
        <v>1800</v>
      </c>
      <c r="I54" t="s">
        <v>1565</v>
      </c>
      <c r="J54" t="s">
        <v>29</v>
      </c>
      <c r="K54" t="s">
        <v>46</v>
      </c>
      <c r="L54" t="s">
        <v>1564</v>
      </c>
      <c r="M54" s="109" t="s">
        <v>109</v>
      </c>
      <c r="N54" t="s">
        <v>60</v>
      </c>
      <c r="O54" t="s">
        <v>77</v>
      </c>
      <c r="P54" s="109" t="s">
        <v>88</v>
      </c>
      <c r="Q54" t="s">
        <v>174</v>
      </c>
      <c r="R54" s="110">
        <v>1</v>
      </c>
    </row>
    <row r="55" spans="2:18" x14ac:dyDescent="0.25">
      <c r="C55" t="s">
        <v>278</v>
      </c>
      <c r="D55" t="s">
        <v>414</v>
      </c>
      <c r="E55" t="s">
        <v>415</v>
      </c>
      <c r="F55" t="s">
        <v>33</v>
      </c>
      <c r="G55" t="s">
        <v>1342</v>
      </c>
      <c r="H55" t="s">
        <v>1342</v>
      </c>
      <c r="I55" t="s">
        <v>1986</v>
      </c>
      <c r="J55" t="s">
        <v>29</v>
      </c>
      <c r="K55" t="s">
        <v>46</v>
      </c>
      <c r="L55" t="s">
        <v>1340</v>
      </c>
      <c r="M55" s="109" t="s">
        <v>109</v>
      </c>
      <c r="N55" t="s">
        <v>60</v>
      </c>
      <c r="O55" t="s">
        <v>77</v>
      </c>
      <c r="P55" s="109" t="s">
        <v>88</v>
      </c>
      <c r="Q55" t="s">
        <v>174</v>
      </c>
      <c r="R55" s="110">
        <v>1</v>
      </c>
    </row>
    <row r="56" spans="2:18" x14ac:dyDescent="0.25">
      <c r="D56" t="s">
        <v>367</v>
      </c>
      <c r="E56" t="s">
        <v>368</v>
      </c>
      <c r="F56" t="s">
        <v>33</v>
      </c>
      <c r="G56" t="s">
        <v>1491</v>
      </c>
      <c r="H56" t="s">
        <v>1298</v>
      </c>
      <c r="I56" t="s">
        <v>1492</v>
      </c>
      <c r="J56" t="s">
        <v>29</v>
      </c>
      <c r="K56" t="s">
        <v>46</v>
      </c>
      <c r="L56" t="s">
        <v>1297</v>
      </c>
      <c r="M56" s="109" t="s">
        <v>109</v>
      </c>
      <c r="N56" t="s">
        <v>60</v>
      </c>
      <c r="O56" t="s">
        <v>234</v>
      </c>
      <c r="P56" s="109" t="s">
        <v>88</v>
      </c>
      <c r="Q56" t="s">
        <v>174</v>
      </c>
      <c r="R56" s="110">
        <v>1</v>
      </c>
    </row>
    <row r="57" spans="2:18" x14ac:dyDescent="0.25">
      <c r="C57" t="s">
        <v>315</v>
      </c>
      <c r="D57" t="s">
        <v>313</v>
      </c>
      <c r="E57" t="s">
        <v>314</v>
      </c>
      <c r="F57" t="s">
        <v>33</v>
      </c>
      <c r="G57" t="s">
        <v>1692</v>
      </c>
      <c r="H57" t="s">
        <v>1289</v>
      </c>
      <c r="I57" t="s">
        <v>1454</v>
      </c>
      <c r="J57" t="s">
        <v>29</v>
      </c>
      <c r="K57" t="s">
        <v>46</v>
      </c>
      <c r="L57" t="s">
        <v>1287</v>
      </c>
      <c r="M57" s="109" t="s">
        <v>109</v>
      </c>
      <c r="N57" t="s">
        <v>60</v>
      </c>
      <c r="O57" t="s">
        <v>234</v>
      </c>
      <c r="P57" s="109" t="s">
        <v>88</v>
      </c>
      <c r="Q57" t="s">
        <v>174</v>
      </c>
      <c r="R57" s="110">
        <v>1</v>
      </c>
    </row>
    <row r="58" spans="2:18" x14ac:dyDescent="0.25">
      <c r="C58" t="s">
        <v>501</v>
      </c>
      <c r="D58" t="s">
        <v>499</v>
      </c>
      <c r="E58" t="s">
        <v>500</v>
      </c>
      <c r="F58" t="s">
        <v>33</v>
      </c>
      <c r="G58" t="s">
        <v>1495</v>
      </c>
      <c r="H58" t="s">
        <v>1280</v>
      </c>
      <c r="I58" t="s">
        <v>1494</v>
      </c>
      <c r="J58" t="s">
        <v>29</v>
      </c>
      <c r="K58" t="s">
        <v>46</v>
      </c>
      <c r="L58" t="s">
        <v>1279</v>
      </c>
      <c r="M58" s="109" t="s">
        <v>109</v>
      </c>
      <c r="N58" t="s">
        <v>60</v>
      </c>
      <c r="O58" t="s">
        <v>234</v>
      </c>
      <c r="P58" s="109" t="s">
        <v>88</v>
      </c>
      <c r="Q58" t="s">
        <v>174</v>
      </c>
      <c r="R58" s="110">
        <v>1</v>
      </c>
    </row>
    <row r="59" spans="2:18" x14ac:dyDescent="0.25">
      <c r="D59" t="s">
        <v>510</v>
      </c>
      <c r="E59" t="s">
        <v>511</v>
      </c>
      <c r="F59" t="s">
        <v>33</v>
      </c>
      <c r="G59" t="s">
        <v>1635</v>
      </c>
      <c r="H59" t="s">
        <v>1333</v>
      </c>
      <c r="I59" t="s">
        <v>1636</v>
      </c>
      <c r="J59" t="s">
        <v>29</v>
      </c>
      <c r="K59" t="s">
        <v>46</v>
      </c>
      <c r="L59" t="s">
        <v>1332</v>
      </c>
      <c r="M59" s="109" t="s">
        <v>109</v>
      </c>
      <c r="N59" t="s">
        <v>60</v>
      </c>
      <c r="O59" t="s">
        <v>234</v>
      </c>
      <c r="P59" s="109" t="s">
        <v>88</v>
      </c>
      <c r="Q59" t="s">
        <v>174</v>
      </c>
      <c r="R59" s="110">
        <v>1</v>
      </c>
    </row>
    <row r="60" spans="2:18" x14ac:dyDescent="0.25">
      <c r="D60" t="s">
        <v>1651</v>
      </c>
      <c r="E60" t="s">
        <v>525</v>
      </c>
      <c r="F60" t="s">
        <v>33</v>
      </c>
      <c r="G60" t="s">
        <v>1424</v>
      </c>
      <c r="H60" t="s">
        <v>1560</v>
      </c>
      <c r="I60" t="s">
        <v>1444</v>
      </c>
      <c r="J60" t="s">
        <v>29</v>
      </c>
      <c r="K60" t="s">
        <v>47</v>
      </c>
      <c r="L60" t="s">
        <v>223</v>
      </c>
      <c r="M60" s="109" t="s">
        <v>109</v>
      </c>
      <c r="N60" t="s">
        <v>73</v>
      </c>
      <c r="O60" t="s">
        <v>79</v>
      </c>
      <c r="P60" s="109" t="s">
        <v>88</v>
      </c>
      <c r="Q60" t="s">
        <v>174</v>
      </c>
      <c r="R60" s="110">
        <v>1</v>
      </c>
    </row>
    <row r="61" spans="2:18" x14ac:dyDescent="0.25">
      <c r="D61" t="s">
        <v>1648</v>
      </c>
      <c r="E61" t="s">
        <v>525</v>
      </c>
      <c r="F61" t="s">
        <v>33</v>
      </c>
      <c r="G61" t="s">
        <v>1521</v>
      </c>
      <c r="H61" t="s">
        <v>1560</v>
      </c>
      <c r="I61" t="s">
        <v>1520</v>
      </c>
      <c r="J61" t="s">
        <v>29</v>
      </c>
      <c r="K61" t="s">
        <v>47</v>
      </c>
      <c r="L61" t="s">
        <v>190</v>
      </c>
      <c r="M61" s="109" t="s">
        <v>109</v>
      </c>
      <c r="N61" t="s">
        <v>73</v>
      </c>
      <c r="O61" t="s">
        <v>79</v>
      </c>
      <c r="P61" s="109" t="s">
        <v>88</v>
      </c>
      <c r="Q61" t="s">
        <v>174</v>
      </c>
      <c r="R61" s="110">
        <v>1</v>
      </c>
    </row>
    <row r="62" spans="2:18" x14ac:dyDescent="0.25">
      <c r="D62" t="s">
        <v>1649</v>
      </c>
      <c r="E62" t="s">
        <v>525</v>
      </c>
      <c r="F62" t="s">
        <v>33</v>
      </c>
      <c r="G62" t="s">
        <v>1560</v>
      </c>
      <c r="H62" t="s">
        <v>1324</v>
      </c>
      <c r="I62" t="s">
        <v>1657</v>
      </c>
      <c r="J62" t="s">
        <v>29</v>
      </c>
      <c r="K62" t="s">
        <v>46</v>
      </c>
      <c r="L62" t="s">
        <v>1325</v>
      </c>
      <c r="M62" s="109" t="s">
        <v>109</v>
      </c>
      <c r="N62" t="s">
        <v>73</v>
      </c>
      <c r="O62" t="s">
        <v>78</v>
      </c>
      <c r="P62" s="109" t="s">
        <v>88</v>
      </c>
      <c r="Q62" t="s">
        <v>174</v>
      </c>
      <c r="R62" s="110">
        <v>1</v>
      </c>
    </row>
    <row r="63" spans="2:18" x14ac:dyDescent="0.25">
      <c r="D63" t="s">
        <v>1650</v>
      </c>
      <c r="E63" t="s">
        <v>525</v>
      </c>
      <c r="F63" t="s">
        <v>33</v>
      </c>
      <c r="G63" t="s">
        <v>1794</v>
      </c>
      <c r="H63" t="s">
        <v>1245</v>
      </c>
      <c r="I63" t="s">
        <v>1793</v>
      </c>
      <c r="J63" t="s">
        <v>29</v>
      </c>
      <c r="K63" t="s">
        <v>47</v>
      </c>
      <c r="L63" t="s">
        <v>219</v>
      </c>
      <c r="M63" s="109" t="s">
        <v>109</v>
      </c>
      <c r="N63" t="s">
        <v>73</v>
      </c>
      <c r="O63" t="s">
        <v>79</v>
      </c>
      <c r="P63" s="109" t="s">
        <v>88</v>
      </c>
      <c r="Q63" t="s">
        <v>174</v>
      </c>
      <c r="R63" s="110">
        <v>1</v>
      </c>
    </row>
    <row r="64" spans="2:18" x14ac:dyDescent="0.25">
      <c r="D64" t="s">
        <v>957</v>
      </c>
      <c r="E64" t="s">
        <v>958</v>
      </c>
      <c r="F64" t="s">
        <v>33</v>
      </c>
      <c r="G64" t="s">
        <v>1377</v>
      </c>
      <c r="H64" t="s">
        <v>1560</v>
      </c>
      <c r="I64" t="s">
        <v>1503</v>
      </c>
      <c r="J64" t="s">
        <v>29</v>
      </c>
      <c r="K64" t="s">
        <v>48</v>
      </c>
      <c r="L64" t="s">
        <v>1716</v>
      </c>
      <c r="M64" s="109" t="s">
        <v>109</v>
      </c>
      <c r="N64" t="s">
        <v>60</v>
      </c>
      <c r="O64" t="s">
        <v>234</v>
      </c>
      <c r="P64" s="109" t="s">
        <v>88</v>
      </c>
      <c r="Q64" t="s">
        <v>174</v>
      </c>
      <c r="R64" s="110">
        <v>1</v>
      </c>
    </row>
    <row r="65" spans="2:18" x14ac:dyDescent="0.25">
      <c r="D65" t="s">
        <v>574</v>
      </c>
      <c r="E65" t="s">
        <v>575</v>
      </c>
      <c r="F65" t="s">
        <v>33</v>
      </c>
      <c r="G65" t="s">
        <v>1560</v>
      </c>
      <c r="H65" t="s">
        <v>1656</v>
      </c>
      <c r="I65" t="s">
        <v>1655</v>
      </c>
      <c r="J65" t="s">
        <v>29</v>
      </c>
      <c r="K65" t="s">
        <v>46</v>
      </c>
      <c r="L65" t="s">
        <v>1654</v>
      </c>
      <c r="M65" s="109" t="s">
        <v>109</v>
      </c>
      <c r="N65" t="s">
        <v>60</v>
      </c>
      <c r="O65" t="s">
        <v>234</v>
      </c>
      <c r="P65" s="109" t="s">
        <v>88</v>
      </c>
      <c r="Q65" t="s">
        <v>174</v>
      </c>
      <c r="R65" s="110">
        <v>1</v>
      </c>
    </row>
    <row r="66" spans="2:18" x14ac:dyDescent="0.25">
      <c r="D66" t="s">
        <v>933</v>
      </c>
      <c r="E66" t="s">
        <v>525</v>
      </c>
      <c r="F66" t="s">
        <v>33</v>
      </c>
      <c r="G66" t="s">
        <v>1652</v>
      </c>
      <c r="H66" t="s">
        <v>1560</v>
      </c>
      <c r="I66" t="s">
        <v>1653</v>
      </c>
      <c r="J66" t="s">
        <v>29</v>
      </c>
      <c r="K66" t="s">
        <v>46</v>
      </c>
      <c r="L66" t="s">
        <v>1646</v>
      </c>
      <c r="M66" s="109" t="s">
        <v>109</v>
      </c>
      <c r="N66" t="s">
        <v>60</v>
      </c>
      <c r="O66" t="s">
        <v>234</v>
      </c>
      <c r="P66" s="109" t="s">
        <v>88</v>
      </c>
      <c r="Q66" t="s">
        <v>174</v>
      </c>
      <c r="R66" s="110">
        <v>1</v>
      </c>
    </row>
    <row r="67" spans="2:18" x14ac:dyDescent="0.25">
      <c r="B67" t="s">
        <v>1368</v>
      </c>
      <c r="G67" s="109"/>
      <c r="H67" s="109"/>
      <c r="I67" s="109"/>
      <c r="J67" s="109"/>
      <c r="K67" s="109"/>
      <c r="R67" s="108">
        <v>17</v>
      </c>
    </row>
    <row r="68" spans="2:18" x14ac:dyDescent="0.25">
      <c r="B68" t="s">
        <v>396</v>
      </c>
      <c r="C68" t="s">
        <v>396</v>
      </c>
      <c r="D68" t="s">
        <v>577</v>
      </c>
      <c r="E68" t="s">
        <v>578</v>
      </c>
      <c r="F68" t="s">
        <v>33</v>
      </c>
      <c r="G68" t="s">
        <v>1329</v>
      </c>
      <c r="H68" t="s">
        <v>1329</v>
      </c>
      <c r="I68" t="s">
        <v>1516</v>
      </c>
      <c r="J68" t="s">
        <v>29</v>
      </c>
      <c r="K68" t="s">
        <v>48</v>
      </c>
      <c r="L68" t="s">
        <v>1330</v>
      </c>
      <c r="M68" s="109" t="s">
        <v>109</v>
      </c>
      <c r="N68" t="s">
        <v>62</v>
      </c>
      <c r="O68" t="s">
        <v>78</v>
      </c>
      <c r="P68" s="109" t="s">
        <v>88</v>
      </c>
      <c r="Q68" t="s">
        <v>174</v>
      </c>
      <c r="R68" s="110">
        <v>1</v>
      </c>
    </row>
    <row r="69" spans="2:18" x14ac:dyDescent="0.25">
      <c r="B69" t="s">
        <v>1531</v>
      </c>
      <c r="G69" s="109"/>
      <c r="H69" s="109"/>
      <c r="I69" s="109"/>
      <c r="J69" s="109"/>
      <c r="K69" s="109"/>
      <c r="R69" s="108">
        <v>1</v>
      </c>
    </row>
    <row r="70" spans="2:18" x14ac:dyDescent="0.25">
      <c r="B70" t="s">
        <v>530</v>
      </c>
      <c r="C70" t="s">
        <v>530</v>
      </c>
      <c r="D70" t="s">
        <v>1723</v>
      </c>
      <c r="E70" t="s">
        <v>1722</v>
      </c>
      <c r="F70" t="s">
        <v>33</v>
      </c>
      <c r="G70" t="s">
        <v>1390</v>
      </c>
      <c r="H70" t="s">
        <v>1560</v>
      </c>
      <c r="I70" t="s">
        <v>1492</v>
      </c>
      <c r="J70" t="s">
        <v>29</v>
      </c>
      <c r="K70" t="s">
        <v>46</v>
      </c>
      <c r="L70" t="s">
        <v>1558</v>
      </c>
      <c r="M70" s="109" t="s">
        <v>109</v>
      </c>
      <c r="N70" t="s">
        <v>60</v>
      </c>
      <c r="O70" t="s">
        <v>234</v>
      </c>
      <c r="P70" s="109" t="s">
        <v>88</v>
      </c>
      <c r="Q70" t="s">
        <v>175</v>
      </c>
      <c r="R70" s="110">
        <v>1</v>
      </c>
    </row>
    <row r="71" spans="2:18" x14ac:dyDescent="0.25">
      <c r="D71" t="s">
        <v>666</v>
      </c>
      <c r="E71" t="s">
        <v>667</v>
      </c>
      <c r="F71" t="s">
        <v>33</v>
      </c>
      <c r="G71" t="s">
        <v>1618</v>
      </c>
      <c r="H71" t="s">
        <v>1560</v>
      </c>
      <c r="I71" t="s">
        <v>1719</v>
      </c>
      <c r="J71" t="s">
        <v>29</v>
      </c>
      <c r="K71" t="s">
        <v>46</v>
      </c>
      <c r="L71" t="s">
        <v>1418</v>
      </c>
      <c r="M71" s="109" t="s">
        <v>109</v>
      </c>
      <c r="N71" t="s">
        <v>60</v>
      </c>
      <c r="O71" t="s">
        <v>234</v>
      </c>
      <c r="P71" s="109" t="s">
        <v>88</v>
      </c>
      <c r="Q71" t="s">
        <v>175</v>
      </c>
      <c r="R71" s="110">
        <v>1</v>
      </c>
    </row>
    <row r="72" spans="2:18" x14ac:dyDescent="0.25">
      <c r="D72" t="s">
        <v>865</v>
      </c>
      <c r="E72" t="s">
        <v>866</v>
      </c>
      <c r="F72" t="s">
        <v>33</v>
      </c>
      <c r="G72" t="s">
        <v>1389</v>
      </c>
      <c r="H72" t="s">
        <v>1317</v>
      </c>
      <c r="I72" t="s">
        <v>1502</v>
      </c>
      <c r="J72" t="s">
        <v>29</v>
      </c>
      <c r="K72" t="s">
        <v>48</v>
      </c>
      <c r="L72" t="s">
        <v>1316</v>
      </c>
      <c r="M72" s="109" t="s">
        <v>109</v>
      </c>
      <c r="N72" t="s">
        <v>61</v>
      </c>
      <c r="O72" t="s">
        <v>234</v>
      </c>
      <c r="P72" s="109" t="s">
        <v>88</v>
      </c>
      <c r="Q72" t="s">
        <v>175</v>
      </c>
      <c r="R72" s="110">
        <v>1</v>
      </c>
    </row>
    <row r="73" spans="2:18" x14ac:dyDescent="0.25">
      <c r="D73" t="s">
        <v>528</v>
      </c>
      <c r="E73" t="s">
        <v>529</v>
      </c>
      <c r="F73" t="s">
        <v>33</v>
      </c>
      <c r="G73" t="s">
        <v>1386</v>
      </c>
      <c r="H73" t="s">
        <v>1294</v>
      </c>
      <c r="I73" t="s">
        <v>1467</v>
      </c>
      <c r="J73" t="s">
        <v>29</v>
      </c>
      <c r="K73" t="s">
        <v>46</v>
      </c>
      <c r="L73" t="s">
        <v>1296</v>
      </c>
      <c r="M73" s="109" t="s">
        <v>109</v>
      </c>
      <c r="N73" t="s">
        <v>60</v>
      </c>
      <c r="O73" t="s">
        <v>234</v>
      </c>
      <c r="P73" s="109" t="s">
        <v>88</v>
      </c>
      <c r="Q73" t="s">
        <v>175</v>
      </c>
      <c r="R73" s="110">
        <v>1</v>
      </c>
    </row>
    <row r="74" spans="2:18" x14ac:dyDescent="0.25">
      <c r="D74" t="s">
        <v>828</v>
      </c>
      <c r="E74" t="s">
        <v>829</v>
      </c>
      <c r="F74" t="s">
        <v>33</v>
      </c>
      <c r="G74" t="s">
        <v>1363</v>
      </c>
      <c r="H74" t="s">
        <v>1363</v>
      </c>
      <c r="I74" t="s">
        <v>1759</v>
      </c>
      <c r="J74" t="s">
        <v>29</v>
      </c>
      <c r="K74" t="s">
        <v>46</v>
      </c>
      <c r="L74" t="s">
        <v>1361</v>
      </c>
      <c r="M74" s="109" t="s">
        <v>109</v>
      </c>
      <c r="N74" t="s">
        <v>73</v>
      </c>
      <c r="O74" t="s">
        <v>1364</v>
      </c>
      <c r="P74" s="109" t="s">
        <v>88</v>
      </c>
      <c r="Q74" t="s">
        <v>175</v>
      </c>
      <c r="R74" s="110">
        <v>1</v>
      </c>
    </row>
    <row r="75" spans="2:18" x14ac:dyDescent="0.25">
      <c r="B75" t="s">
        <v>1532</v>
      </c>
      <c r="G75" s="109"/>
      <c r="H75" s="109"/>
      <c r="I75" s="109"/>
      <c r="J75" s="109"/>
      <c r="K75" s="109"/>
      <c r="R75" s="108">
        <v>5</v>
      </c>
    </row>
    <row r="76" spans="2:18" x14ac:dyDescent="0.25">
      <c r="B76" t="s">
        <v>593</v>
      </c>
      <c r="C76" t="s">
        <v>593</v>
      </c>
      <c r="D76" t="s">
        <v>1024</v>
      </c>
      <c r="E76" t="s">
        <v>1025</v>
      </c>
      <c r="F76" t="s">
        <v>34</v>
      </c>
      <c r="G76" t="s">
        <v>1560</v>
      </c>
      <c r="H76" t="s">
        <v>1915</v>
      </c>
      <c r="I76" t="s">
        <v>1916</v>
      </c>
      <c r="J76" t="s">
        <v>29</v>
      </c>
      <c r="K76" t="s">
        <v>48</v>
      </c>
      <c r="L76" t="s">
        <v>120</v>
      </c>
      <c r="M76" s="109" t="s">
        <v>109</v>
      </c>
      <c r="N76" t="s">
        <v>68</v>
      </c>
      <c r="O76" t="s">
        <v>234</v>
      </c>
      <c r="P76" s="109" t="s">
        <v>88</v>
      </c>
      <c r="Q76" t="s">
        <v>174</v>
      </c>
      <c r="R76" s="110">
        <v>1</v>
      </c>
    </row>
    <row r="77" spans="2:18" x14ac:dyDescent="0.25">
      <c r="D77" t="s">
        <v>593</v>
      </c>
      <c r="E77" t="s">
        <v>593</v>
      </c>
      <c r="F77" t="s">
        <v>33</v>
      </c>
      <c r="G77" t="s">
        <v>1869</v>
      </c>
      <c r="H77" t="s">
        <v>1869</v>
      </c>
      <c r="I77" t="s">
        <v>1560</v>
      </c>
      <c r="J77" t="s">
        <v>29</v>
      </c>
      <c r="K77" t="s">
        <v>47</v>
      </c>
      <c r="L77" t="s">
        <v>1867</v>
      </c>
      <c r="M77" s="109" t="s">
        <v>109</v>
      </c>
      <c r="N77" t="s">
        <v>65</v>
      </c>
      <c r="O77" t="s">
        <v>79</v>
      </c>
      <c r="P77" s="109" t="s">
        <v>88</v>
      </c>
      <c r="Q77" t="s">
        <v>175</v>
      </c>
      <c r="R77" s="110">
        <v>1</v>
      </c>
    </row>
    <row r="78" spans="2:18" x14ac:dyDescent="0.25">
      <c r="G78" t="s">
        <v>1874</v>
      </c>
      <c r="H78" t="s">
        <v>1874</v>
      </c>
      <c r="I78" t="s">
        <v>1560</v>
      </c>
      <c r="J78" t="s">
        <v>29</v>
      </c>
      <c r="K78" t="s">
        <v>47</v>
      </c>
      <c r="L78" t="s">
        <v>1873</v>
      </c>
      <c r="M78" s="109" t="s">
        <v>109</v>
      </c>
      <c r="N78" t="s">
        <v>65</v>
      </c>
      <c r="O78" t="s">
        <v>79</v>
      </c>
      <c r="P78" s="109" t="s">
        <v>88</v>
      </c>
      <c r="Q78" t="s">
        <v>175</v>
      </c>
      <c r="R78" s="110">
        <v>1</v>
      </c>
    </row>
    <row r="79" spans="2:18" x14ac:dyDescent="0.25">
      <c r="G79" t="s">
        <v>1905</v>
      </c>
      <c r="H79" t="s">
        <v>1560</v>
      </c>
      <c r="I79" t="s">
        <v>1996</v>
      </c>
      <c r="J79" t="s">
        <v>38</v>
      </c>
      <c r="K79" t="s">
        <v>46</v>
      </c>
      <c r="L79" t="s">
        <v>1904</v>
      </c>
      <c r="M79" s="109" t="s">
        <v>109</v>
      </c>
      <c r="N79" t="s">
        <v>58</v>
      </c>
      <c r="O79" t="s">
        <v>234</v>
      </c>
      <c r="P79" s="109" t="s">
        <v>88</v>
      </c>
      <c r="Q79" t="s">
        <v>1560</v>
      </c>
      <c r="R79" s="110">
        <v>1</v>
      </c>
    </row>
    <row r="80" spans="2:18" x14ac:dyDescent="0.25">
      <c r="G80" t="s">
        <v>1669</v>
      </c>
      <c r="H80" t="s">
        <v>1560</v>
      </c>
      <c r="I80" t="s">
        <v>1670</v>
      </c>
      <c r="J80" t="s">
        <v>38</v>
      </c>
      <c r="K80" t="s">
        <v>46</v>
      </c>
      <c r="L80" t="s">
        <v>198</v>
      </c>
      <c r="M80" s="109" t="s">
        <v>109</v>
      </c>
      <c r="N80" t="s">
        <v>59</v>
      </c>
      <c r="O80" t="s">
        <v>234</v>
      </c>
      <c r="P80" s="109" t="s">
        <v>88</v>
      </c>
      <c r="Q80" t="s">
        <v>174</v>
      </c>
      <c r="R80" s="110">
        <v>1</v>
      </c>
    </row>
    <row r="81" spans="2:18" x14ac:dyDescent="0.25">
      <c r="G81" t="s">
        <v>2001</v>
      </c>
      <c r="H81" t="s">
        <v>1560</v>
      </c>
      <c r="I81" t="s">
        <v>1169</v>
      </c>
      <c r="J81" t="s">
        <v>38</v>
      </c>
      <c r="K81" t="s">
        <v>46</v>
      </c>
      <c r="L81" t="s">
        <v>2000</v>
      </c>
      <c r="M81" s="109" t="s">
        <v>109</v>
      </c>
      <c r="N81" t="s">
        <v>58</v>
      </c>
      <c r="O81" t="s">
        <v>1935</v>
      </c>
      <c r="P81" s="109" t="s">
        <v>1210</v>
      </c>
      <c r="Q81" t="s">
        <v>1560</v>
      </c>
      <c r="R81" s="110">
        <v>1</v>
      </c>
    </row>
    <row r="82" spans="2:18" x14ac:dyDescent="0.25">
      <c r="G82" t="s">
        <v>1911</v>
      </c>
      <c r="H82" t="s">
        <v>1560</v>
      </c>
      <c r="I82" t="s">
        <v>1912</v>
      </c>
      <c r="J82" t="s">
        <v>38</v>
      </c>
      <c r="K82" t="s">
        <v>48</v>
      </c>
      <c r="L82" t="s">
        <v>2046</v>
      </c>
      <c r="M82" s="109" t="s">
        <v>109</v>
      </c>
      <c r="N82" t="s">
        <v>71</v>
      </c>
      <c r="O82" t="s">
        <v>2008</v>
      </c>
      <c r="P82" s="109" t="s">
        <v>88</v>
      </c>
      <c r="Q82" t="s">
        <v>1560</v>
      </c>
      <c r="R82" s="110">
        <v>1</v>
      </c>
    </row>
    <row r="83" spans="2:18" x14ac:dyDescent="0.25">
      <c r="G83" t="s">
        <v>2069</v>
      </c>
      <c r="H83" t="s">
        <v>1560</v>
      </c>
      <c r="I83" t="s">
        <v>1164</v>
      </c>
      <c r="J83" t="s">
        <v>38</v>
      </c>
      <c r="K83" t="s">
        <v>46</v>
      </c>
      <c r="L83" t="s">
        <v>2067</v>
      </c>
      <c r="M83" s="109" t="s">
        <v>109</v>
      </c>
      <c r="N83" t="s">
        <v>58</v>
      </c>
      <c r="O83" t="s">
        <v>1935</v>
      </c>
      <c r="P83" s="109" t="s">
        <v>159</v>
      </c>
      <c r="Q83" t="s">
        <v>1560</v>
      </c>
      <c r="R83" s="110">
        <v>1</v>
      </c>
    </row>
    <row r="84" spans="2:18" x14ac:dyDescent="0.25">
      <c r="G84" t="s">
        <v>1372</v>
      </c>
      <c r="H84" t="s">
        <v>1372</v>
      </c>
      <c r="I84" t="s">
        <v>1175</v>
      </c>
      <c r="J84" t="s">
        <v>38</v>
      </c>
      <c r="K84" t="s">
        <v>46</v>
      </c>
      <c r="L84" t="s">
        <v>1370</v>
      </c>
      <c r="M84" s="109" t="s">
        <v>109</v>
      </c>
      <c r="N84" t="s">
        <v>58</v>
      </c>
      <c r="O84" t="s">
        <v>1935</v>
      </c>
      <c r="P84" s="109" t="s">
        <v>1210</v>
      </c>
      <c r="Q84" t="s">
        <v>174</v>
      </c>
      <c r="R84" s="110">
        <v>1</v>
      </c>
    </row>
    <row r="85" spans="2:18" x14ac:dyDescent="0.25">
      <c r="G85" t="s">
        <v>1243</v>
      </c>
      <c r="H85" t="s">
        <v>1243</v>
      </c>
      <c r="I85" t="s">
        <v>2071</v>
      </c>
      <c r="J85" t="s">
        <v>38</v>
      </c>
      <c r="K85" t="s">
        <v>46</v>
      </c>
      <c r="L85" t="s">
        <v>1241</v>
      </c>
      <c r="M85" s="109" t="s">
        <v>109</v>
      </c>
      <c r="N85" t="s">
        <v>58</v>
      </c>
      <c r="O85" t="s">
        <v>1935</v>
      </c>
      <c r="P85" s="109" t="s">
        <v>1210</v>
      </c>
      <c r="Q85" t="s">
        <v>174</v>
      </c>
      <c r="R85" s="110">
        <v>1</v>
      </c>
    </row>
    <row r="86" spans="2:18" x14ac:dyDescent="0.25">
      <c r="G86" t="s">
        <v>1946</v>
      </c>
      <c r="H86" t="s">
        <v>1560</v>
      </c>
      <c r="I86" t="s">
        <v>1945</v>
      </c>
      <c r="J86" t="s">
        <v>38</v>
      </c>
      <c r="K86" t="s">
        <v>46</v>
      </c>
      <c r="L86" t="s">
        <v>2072</v>
      </c>
      <c r="M86" s="109" t="s">
        <v>109</v>
      </c>
      <c r="N86" t="s">
        <v>58</v>
      </c>
      <c r="O86" t="s">
        <v>1935</v>
      </c>
      <c r="P86" s="109" t="s">
        <v>1174</v>
      </c>
      <c r="Q86" t="s">
        <v>1560</v>
      </c>
      <c r="R86" s="110">
        <v>1</v>
      </c>
    </row>
    <row r="87" spans="2:18" x14ac:dyDescent="0.25">
      <c r="D87" t="s">
        <v>591</v>
      </c>
      <c r="E87" t="s">
        <v>592</v>
      </c>
      <c r="F87" t="s">
        <v>33</v>
      </c>
      <c r="G87" t="s">
        <v>1560</v>
      </c>
      <c r="H87" t="s">
        <v>1311</v>
      </c>
      <c r="I87" t="s">
        <v>1310</v>
      </c>
      <c r="J87" t="s">
        <v>29</v>
      </c>
      <c r="K87" t="s">
        <v>46</v>
      </c>
      <c r="L87" t="s">
        <v>1309</v>
      </c>
      <c r="M87" s="109" t="s">
        <v>109</v>
      </c>
      <c r="N87" t="s">
        <v>58</v>
      </c>
      <c r="O87" t="s">
        <v>234</v>
      </c>
      <c r="P87" s="109" t="s">
        <v>1210</v>
      </c>
      <c r="Q87" t="s">
        <v>174</v>
      </c>
      <c r="R87" s="110">
        <v>1</v>
      </c>
    </row>
    <row r="88" spans="2:18" x14ac:dyDescent="0.25">
      <c r="H88" t="s">
        <v>1344</v>
      </c>
      <c r="I88" t="s">
        <v>1560</v>
      </c>
      <c r="J88" t="s">
        <v>29</v>
      </c>
      <c r="K88" t="s">
        <v>48</v>
      </c>
      <c r="L88" t="s">
        <v>1115</v>
      </c>
      <c r="M88" s="109" t="s">
        <v>109</v>
      </c>
      <c r="N88" t="s">
        <v>62</v>
      </c>
      <c r="O88" t="s">
        <v>1345</v>
      </c>
      <c r="P88" s="109" t="s">
        <v>88</v>
      </c>
      <c r="Q88" t="s">
        <v>174</v>
      </c>
      <c r="R88" s="110">
        <v>1</v>
      </c>
    </row>
    <row r="89" spans="2:18" x14ac:dyDescent="0.25">
      <c r="B89" t="s">
        <v>1562</v>
      </c>
      <c r="R89" s="108">
        <v>13</v>
      </c>
    </row>
    <row r="90" spans="2:18" x14ac:dyDescent="0.25">
      <c r="B90" t="s">
        <v>350</v>
      </c>
      <c r="C90" t="s">
        <v>951</v>
      </c>
      <c r="D90" t="s">
        <v>949</v>
      </c>
      <c r="E90" t="s">
        <v>950</v>
      </c>
      <c r="F90" t="s">
        <v>33</v>
      </c>
      <c r="G90" t="s">
        <v>1222</v>
      </c>
      <c r="H90" t="s">
        <v>1222</v>
      </c>
      <c r="I90" t="s">
        <v>1445</v>
      </c>
      <c r="J90" t="s">
        <v>29</v>
      </c>
      <c r="K90" t="s">
        <v>46</v>
      </c>
      <c r="L90" t="s">
        <v>1225</v>
      </c>
      <c r="M90" s="109" t="s">
        <v>109</v>
      </c>
      <c r="N90" t="s">
        <v>73</v>
      </c>
      <c r="O90" t="s">
        <v>79</v>
      </c>
      <c r="P90" s="109" t="s">
        <v>88</v>
      </c>
      <c r="Q90" t="s">
        <v>174</v>
      </c>
      <c r="R90" s="110">
        <v>1</v>
      </c>
    </row>
    <row r="91" spans="2:18" x14ac:dyDescent="0.25">
      <c r="D91" s="109"/>
      <c r="G91" t="s">
        <v>1358</v>
      </c>
      <c r="H91" t="s">
        <v>1358</v>
      </c>
      <c r="I91" t="s">
        <v>1758</v>
      </c>
      <c r="J91" t="s">
        <v>29</v>
      </c>
      <c r="K91" t="s">
        <v>46</v>
      </c>
      <c r="L91" t="s">
        <v>1356</v>
      </c>
      <c r="M91" s="109" t="s">
        <v>109</v>
      </c>
      <c r="N91" t="s">
        <v>60</v>
      </c>
      <c r="O91" t="s">
        <v>234</v>
      </c>
      <c r="P91" s="109" t="s">
        <v>88</v>
      </c>
      <c r="Q91" t="s">
        <v>174</v>
      </c>
      <c r="R91" s="110">
        <v>1</v>
      </c>
    </row>
    <row r="92" spans="2:18" x14ac:dyDescent="0.25">
      <c r="C92" t="s">
        <v>383</v>
      </c>
      <c r="D92" s="109" t="s">
        <v>890</v>
      </c>
      <c r="E92" t="s">
        <v>617</v>
      </c>
      <c r="F92" t="s">
        <v>33</v>
      </c>
      <c r="G92" t="s">
        <v>1436</v>
      </c>
      <c r="H92" t="s">
        <v>1560</v>
      </c>
      <c r="I92" t="s">
        <v>1457</v>
      </c>
      <c r="J92" t="s">
        <v>29</v>
      </c>
      <c r="K92" t="s">
        <v>46</v>
      </c>
      <c r="L92" t="s">
        <v>1434</v>
      </c>
      <c r="M92" s="109" t="s">
        <v>109</v>
      </c>
      <c r="N92" t="s">
        <v>60</v>
      </c>
      <c r="O92" t="s">
        <v>234</v>
      </c>
      <c r="P92" s="109" t="s">
        <v>88</v>
      </c>
      <c r="Q92" t="s">
        <v>174</v>
      </c>
      <c r="R92" s="110">
        <v>1</v>
      </c>
    </row>
    <row r="93" spans="2:18" x14ac:dyDescent="0.25">
      <c r="D93" s="109" t="s">
        <v>381</v>
      </c>
      <c r="E93" t="s">
        <v>382</v>
      </c>
      <c r="F93" t="s">
        <v>33</v>
      </c>
      <c r="G93" t="s">
        <v>1500</v>
      </c>
      <c r="H93" t="s">
        <v>1231</v>
      </c>
      <c r="I93" t="s">
        <v>1621</v>
      </c>
      <c r="J93" t="s">
        <v>29</v>
      </c>
      <c r="K93" t="s">
        <v>46</v>
      </c>
      <c r="L93" t="s">
        <v>1190</v>
      </c>
      <c r="M93" s="109" t="s">
        <v>109</v>
      </c>
      <c r="N93" t="s">
        <v>60</v>
      </c>
      <c r="O93" t="s">
        <v>234</v>
      </c>
      <c r="P93" s="109" t="s">
        <v>88</v>
      </c>
      <c r="Q93" t="s">
        <v>174</v>
      </c>
      <c r="R93" s="110">
        <v>1</v>
      </c>
    </row>
    <row r="94" spans="2:18" x14ac:dyDescent="0.25">
      <c r="D94" s="109" t="s">
        <v>616</v>
      </c>
      <c r="E94" t="s">
        <v>617</v>
      </c>
      <c r="F94" t="s">
        <v>33</v>
      </c>
      <c r="G94" t="s">
        <v>1430</v>
      </c>
      <c r="H94" t="s">
        <v>1232</v>
      </c>
      <c r="I94" t="s">
        <v>1449</v>
      </c>
      <c r="J94" t="s">
        <v>29</v>
      </c>
      <c r="K94" t="s">
        <v>46</v>
      </c>
      <c r="L94" t="s">
        <v>1233</v>
      </c>
      <c r="M94" s="109" t="s">
        <v>109</v>
      </c>
      <c r="N94" t="s">
        <v>60</v>
      </c>
      <c r="O94" t="s">
        <v>234</v>
      </c>
      <c r="P94" s="109" t="s">
        <v>88</v>
      </c>
      <c r="Q94" t="s">
        <v>174</v>
      </c>
      <c r="R94" s="110">
        <v>1</v>
      </c>
    </row>
    <row r="95" spans="2:18" x14ac:dyDescent="0.25">
      <c r="C95" t="s">
        <v>568</v>
      </c>
      <c r="D95" s="109" t="s">
        <v>687</v>
      </c>
      <c r="E95" t="s">
        <v>688</v>
      </c>
      <c r="F95" t="s">
        <v>33</v>
      </c>
      <c r="G95" t="s">
        <v>1437</v>
      </c>
      <c r="H95" t="s">
        <v>1236</v>
      </c>
      <c r="I95" t="s">
        <v>1450</v>
      </c>
      <c r="J95" t="s">
        <v>29</v>
      </c>
      <c r="K95" t="s">
        <v>46</v>
      </c>
      <c r="L95" t="s">
        <v>1237</v>
      </c>
      <c r="M95" s="109" t="s">
        <v>109</v>
      </c>
      <c r="N95" t="s">
        <v>60</v>
      </c>
      <c r="O95" t="s">
        <v>234</v>
      </c>
      <c r="P95" s="109" t="s">
        <v>88</v>
      </c>
      <c r="Q95" t="s">
        <v>174</v>
      </c>
      <c r="R95" s="110">
        <v>1</v>
      </c>
    </row>
    <row r="96" spans="2:18" x14ac:dyDescent="0.25">
      <c r="D96" s="109" t="s">
        <v>565</v>
      </c>
      <c r="E96" t="s">
        <v>567</v>
      </c>
      <c r="F96" t="s">
        <v>34</v>
      </c>
      <c r="G96" t="s">
        <v>1560</v>
      </c>
      <c r="H96" t="s">
        <v>1560</v>
      </c>
      <c r="I96" t="s">
        <v>1560</v>
      </c>
      <c r="J96" t="s">
        <v>29</v>
      </c>
      <c r="K96" t="s">
        <v>47</v>
      </c>
      <c r="L96" t="s">
        <v>1560</v>
      </c>
      <c r="M96" s="109" t="s">
        <v>109</v>
      </c>
      <c r="N96" t="s">
        <v>63</v>
      </c>
      <c r="O96" t="s">
        <v>77</v>
      </c>
      <c r="P96" s="109" t="s">
        <v>88</v>
      </c>
      <c r="Q96" t="s">
        <v>175</v>
      </c>
      <c r="R96" s="110">
        <v>1</v>
      </c>
    </row>
    <row r="97" spans="3:18" x14ac:dyDescent="0.25">
      <c r="C97" t="s">
        <v>349</v>
      </c>
      <c r="D97" s="109" t="s">
        <v>921</v>
      </c>
      <c r="E97" t="s">
        <v>922</v>
      </c>
      <c r="F97" t="s">
        <v>33</v>
      </c>
      <c r="G97" t="s">
        <v>1629</v>
      </c>
      <c r="H97" t="s">
        <v>1560</v>
      </c>
      <c r="I97" t="s">
        <v>1552</v>
      </c>
      <c r="J97" t="s">
        <v>29</v>
      </c>
      <c r="K97" t="s">
        <v>46</v>
      </c>
      <c r="L97" t="s">
        <v>1553</v>
      </c>
      <c r="M97" s="109" t="s">
        <v>109</v>
      </c>
      <c r="N97" t="s">
        <v>60</v>
      </c>
      <c r="O97" t="s">
        <v>234</v>
      </c>
      <c r="P97" s="109" t="s">
        <v>88</v>
      </c>
      <c r="Q97" t="s">
        <v>174</v>
      </c>
      <c r="R97" s="110">
        <v>1</v>
      </c>
    </row>
    <row r="98" spans="3:18" x14ac:dyDescent="0.25">
      <c r="D98" t="s">
        <v>2114</v>
      </c>
      <c r="E98" t="s">
        <v>521</v>
      </c>
      <c r="F98" t="s">
        <v>33</v>
      </c>
      <c r="G98" t="s">
        <v>2108</v>
      </c>
      <c r="H98" t="s">
        <v>2106</v>
      </c>
      <c r="I98" t="s">
        <v>1560</v>
      </c>
      <c r="J98" t="s">
        <v>29</v>
      </c>
      <c r="K98" t="s">
        <v>46</v>
      </c>
      <c r="L98" t="s">
        <v>1261</v>
      </c>
      <c r="M98" s="109" t="s">
        <v>109</v>
      </c>
      <c r="N98" t="s">
        <v>59</v>
      </c>
      <c r="O98" t="s">
        <v>77</v>
      </c>
      <c r="P98" s="109" t="s">
        <v>88</v>
      </c>
      <c r="Q98" t="s">
        <v>174</v>
      </c>
      <c r="R98" s="110">
        <v>1</v>
      </c>
    </row>
    <row r="99" spans="3:18" x14ac:dyDescent="0.25">
      <c r="D99" s="114" t="s">
        <v>600</v>
      </c>
      <c r="E99" t="s">
        <v>348</v>
      </c>
      <c r="F99" t="s">
        <v>33</v>
      </c>
      <c r="G99" t="s">
        <v>1442</v>
      </c>
      <c r="H99" t="s">
        <v>1227</v>
      </c>
      <c r="I99" t="s">
        <v>1443</v>
      </c>
      <c r="J99" t="s">
        <v>29</v>
      </c>
      <c r="K99" t="s">
        <v>46</v>
      </c>
      <c r="L99" t="s">
        <v>1226</v>
      </c>
      <c r="M99" s="109" t="s">
        <v>109</v>
      </c>
      <c r="N99" t="s">
        <v>60</v>
      </c>
      <c r="O99" t="s">
        <v>234</v>
      </c>
      <c r="P99" s="109" t="s">
        <v>88</v>
      </c>
      <c r="Q99" t="s">
        <v>174</v>
      </c>
      <c r="R99" s="110">
        <v>1</v>
      </c>
    </row>
    <row r="100" spans="3:18" x14ac:dyDescent="0.25">
      <c r="D100" s="109" t="s">
        <v>1907</v>
      </c>
      <c r="E100" t="s">
        <v>521</v>
      </c>
      <c r="F100" t="s">
        <v>33</v>
      </c>
      <c r="G100" t="s">
        <v>1186</v>
      </c>
      <c r="H100" t="s">
        <v>1560</v>
      </c>
      <c r="I100" t="s">
        <v>1448</v>
      </c>
      <c r="J100" t="s">
        <v>29</v>
      </c>
      <c r="K100" t="s">
        <v>46</v>
      </c>
      <c r="L100" t="s">
        <v>1180</v>
      </c>
      <c r="M100" s="109" t="s">
        <v>109</v>
      </c>
      <c r="N100" t="s">
        <v>60</v>
      </c>
      <c r="O100" t="s">
        <v>234</v>
      </c>
      <c r="P100" s="109" t="s">
        <v>88</v>
      </c>
      <c r="Q100" t="s">
        <v>174</v>
      </c>
      <c r="R100" s="111">
        <v>1</v>
      </c>
    </row>
    <row r="101" spans="3:18" x14ac:dyDescent="0.25">
      <c r="D101" s="114" t="s">
        <v>655</v>
      </c>
      <c r="E101" t="s">
        <v>656</v>
      </c>
      <c r="F101" t="s">
        <v>33</v>
      </c>
      <c r="G101" t="s">
        <v>1560</v>
      </c>
      <c r="H101" t="s">
        <v>1697</v>
      </c>
      <c r="I101" t="s">
        <v>1665</v>
      </c>
      <c r="J101" t="s">
        <v>29</v>
      </c>
      <c r="K101" t="s">
        <v>46</v>
      </c>
      <c r="L101" t="s">
        <v>1549</v>
      </c>
      <c r="M101" s="109" t="s">
        <v>109</v>
      </c>
      <c r="N101" t="s">
        <v>60</v>
      </c>
      <c r="O101" t="s">
        <v>234</v>
      </c>
      <c r="P101" s="109" t="s">
        <v>88</v>
      </c>
      <c r="Q101" t="s">
        <v>174</v>
      </c>
      <c r="R101" s="110">
        <v>1</v>
      </c>
    </row>
    <row r="102" spans="3:18" x14ac:dyDescent="0.25">
      <c r="D102" s="109" t="s">
        <v>1919</v>
      </c>
      <c r="E102" t="s">
        <v>1920</v>
      </c>
      <c r="F102" t="s">
        <v>34</v>
      </c>
      <c r="G102" t="s">
        <v>1963</v>
      </c>
      <c r="H102" t="s">
        <v>1560</v>
      </c>
      <c r="I102" t="s">
        <v>1560</v>
      </c>
      <c r="J102" t="s">
        <v>29</v>
      </c>
      <c r="K102" t="s">
        <v>47</v>
      </c>
      <c r="L102" t="s">
        <v>1962</v>
      </c>
      <c r="M102" s="109" t="s">
        <v>109</v>
      </c>
      <c r="N102" t="s">
        <v>71</v>
      </c>
      <c r="O102" t="s">
        <v>79</v>
      </c>
      <c r="P102" s="109" t="s">
        <v>88</v>
      </c>
      <c r="Q102" t="s">
        <v>175</v>
      </c>
      <c r="R102" s="110">
        <v>1</v>
      </c>
    </row>
    <row r="103" spans="3:18" x14ac:dyDescent="0.25">
      <c r="D103" s="114" t="s">
        <v>520</v>
      </c>
      <c r="E103" t="s">
        <v>521</v>
      </c>
      <c r="F103" t="s">
        <v>33</v>
      </c>
      <c r="G103" t="s">
        <v>1352</v>
      </c>
      <c r="H103" t="s">
        <v>1352</v>
      </c>
      <c r="I103" t="s">
        <v>1664</v>
      </c>
      <c r="J103" t="s">
        <v>29</v>
      </c>
      <c r="K103" t="s">
        <v>46</v>
      </c>
      <c r="L103" t="s">
        <v>1350</v>
      </c>
      <c r="M103" s="109" t="s">
        <v>109</v>
      </c>
      <c r="N103" t="s">
        <v>60</v>
      </c>
      <c r="O103" t="s">
        <v>234</v>
      </c>
      <c r="P103" s="109" t="s">
        <v>88</v>
      </c>
      <c r="Q103" t="s">
        <v>174</v>
      </c>
      <c r="R103" s="110">
        <v>1</v>
      </c>
    </row>
    <row r="104" spans="3:18" x14ac:dyDescent="0.25">
      <c r="D104" s="109" t="s">
        <v>627</v>
      </c>
      <c r="E104" t="s">
        <v>521</v>
      </c>
      <c r="F104" t="s">
        <v>33</v>
      </c>
      <c r="G104" t="s">
        <v>1842</v>
      </c>
      <c r="H104" t="s">
        <v>1842</v>
      </c>
      <c r="I104" t="s">
        <v>1503</v>
      </c>
      <c r="J104" t="s">
        <v>29</v>
      </c>
      <c r="K104" t="s">
        <v>46</v>
      </c>
      <c r="L104" t="s">
        <v>1544</v>
      </c>
      <c r="M104" s="109" t="s">
        <v>109</v>
      </c>
      <c r="N104" t="s">
        <v>60</v>
      </c>
      <c r="O104" t="s">
        <v>234</v>
      </c>
      <c r="P104" s="109" t="s">
        <v>88</v>
      </c>
      <c r="Q104" t="s">
        <v>174</v>
      </c>
      <c r="R104" s="110">
        <v>1</v>
      </c>
    </row>
    <row r="105" spans="3:18" x14ac:dyDescent="0.25">
      <c r="D105" s="114" t="s">
        <v>347</v>
      </c>
      <c r="E105" t="s">
        <v>348</v>
      </c>
      <c r="F105" t="s">
        <v>33</v>
      </c>
      <c r="G105" t="s">
        <v>1599</v>
      </c>
      <c r="H105" t="s">
        <v>1560</v>
      </c>
      <c r="I105" t="s">
        <v>1691</v>
      </c>
      <c r="J105" t="s">
        <v>29</v>
      </c>
      <c r="K105" t="s">
        <v>46</v>
      </c>
      <c r="L105" t="s">
        <v>1551</v>
      </c>
      <c r="M105" s="109" t="s">
        <v>109</v>
      </c>
      <c r="N105" t="s">
        <v>60</v>
      </c>
      <c r="O105" t="s">
        <v>234</v>
      </c>
      <c r="P105" s="109" t="s">
        <v>88</v>
      </c>
      <c r="Q105" t="s">
        <v>174</v>
      </c>
      <c r="R105" s="110">
        <v>1</v>
      </c>
    </row>
    <row r="106" spans="3:18" x14ac:dyDescent="0.25">
      <c r="D106" s="109" t="s">
        <v>649</v>
      </c>
      <c r="E106" t="s">
        <v>521</v>
      </c>
      <c r="F106" t="s">
        <v>33</v>
      </c>
      <c r="G106" t="s">
        <v>1745</v>
      </c>
      <c r="H106" t="s">
        <v>1745</v>
      </c>
      <c r="I106" t="s">
        <v>1744</v>
      </c>
      <c r="J106" t="s">
        <v>29</v>
      </c>
      <c r="K106" t="s">
        <v>46</v>
      </c>
      <c r="L106" t="s">
        <v>1416</v>
      </c>
      <c r="M106" s="109" t="s">
        <v>109</v>
      </c>
      <c r="N106" t="s">
        <v>60</v>
      </c>
      <c r="O106" t="s">
        <v>234</v>
      </c>
      <c r="P106" s="109" t="s">
        <v>88</v>
      </c>
      <c r="Q106" t="s">
        <v>175</v>
      </c>
      <c r="R106" s="110">
        <v>1</v>
      </c>
    </row>
    <row r="107" spans="3:18" x14ac:dyDescent="0.25">
      <c r="D107" s="109" t="s">
        <v>967</v>
      </c>
      <c r="E107" t="s">
        <v>419</v>
      </c>
      <c r="F107" t="s">
        <v>33</v>
      </c>
      <c r="G107" t="s">
        <v>1836</v>
      </c>
      <c r="H107" t="s">
        <v>1876</v>
      </c>
      <c r="I107" t="s">
        <v>1556</v>
      </c>
      <c r="J107" t="s">
        <v>29</v>
      </c>
      <c r="K107" t="s">
        <v>46</v>
      </c>
      <c r="L107" t="s">
        <v>1555</v>
      </c>
      <c r="M107" s="109" t="s">
        <v>109</v>
      </c>
      <c r="N107" t="s">
        <v>60</v>
      </c>
      <c r="O107" t="s">
        <v>234</v>
      </c>
      <c r="P107" s="109" t="s">
        <v>88</v>
      </c>
      <c r="Q107" t="s">
        <v>174</v>
      </c>
      <c r="R107" s="110">
        <v>1</v>
      </c>
    </row>
    <row r="108" spans="3:18" x14ac:dyDescent="0.25">
      <c r="D108" s="109" t="s">
        <v>705</v>
      </c>
      <c r="E108" t="s">
        <v>1840</v>
      </c>
      <c r="F108" t="s">
        <v>33</v>
      </c>
      <c r="G108" t="s">
        <v>1837</v>
      </c>
      <c r="H108" t="s">
        <v>1560</v>
      </c>
      <c r="I108" t="s">
        <v>1832</v>
      </c>
      <c r="J108" t="s">
        <v>29</v>
      </c>
      <c r="K108" t="s">
        <v>46</v>
      </c>
      <c r="L108" t="s">
        <v>196</v>
      </c>
      <c r="M108" s="109" t="s">
        <v>109</v>
      </c>
      <c r="N108" t="s">
        <v>58</v>
      </c>
      <c r="O108" t="s">
        <v>234</v>
      </c>
      <c r="P108" s="109" t="s">
        <v>88</v>
      </c>
      <c r="Q108" t="s">
        <v>174</v>
      </c>
      <c r="R108" s="110">
        <v>1</v>
      </c>
    </row>
    <row r="109" spans="3:18" x14ac:dyDescent="0.25">
      <c r="D109" t="s">
        <v>418</v>
      </c>
      <c r="E109" t="s">
        <v>419</v>
      </c>
      <c r="F109" t="s">
        <v>33</v>
      </c>
      <c r="G109" t="s">
        <v>1834</v>
      </c>
      <c r="H109" t="s">
        <v>1355</v>
      </c>
      <c r="I109" t="s">
        <v>1617</v>
      </c>
      <c r="J109" t="s">
        <v>29</v>
      </c>
      <c r="K109" t="s">
        <v>46</v>
      </c>
      <c r="L109" t="s">
        <v>1353</v>
      </c>
      <c r="M109" s="109" t="s">
        <v>109</v>
      </c>
      <c r="N109" t="s">
        <v>60</v>
      </c>
      <c r="O109" t="s">
        <v>234</v>
      </c>
      <c r="P109" s="109" t="s">
        <v>88</v>
      </c>
      <c r="Q109" t="s">
        <v>174</v>
      </c>
      <c r="R109" s="110">
        <v>1</v>
      </c>
    </row>
    <row r="110" spans="3:18" x14ac:dyDescent="0.25">
      <c r="D110" t="s">
        <v>360</v>
      </c>
      <c r="E110" t="s">
        <v>361</v>
      </c>
      <c r="F110" t="s">
        <v>33</v>
      </c>
      <c r="G110" t="s">
        <v>1026</v>
      </c>
      <c r="H110" t="s">
        <v>1560</v>
      </c>
      <c r="I110" t="s">
        <v>1445</v>
      </c>
      <c r="J110" t="s">
        <v>29</v>
      </c>
      <c r="K110" t="s">
        <v>46</v>
      </c>
      <c r="L110" t="s">
        <v>204</v>
      </c>
      <c r="M110" s="109" t="s">
        <v>109</v>
      </c>
      <c r="N110" t="s">
        <v>60</v>
      </c>
      <c r="O110" t="s">
        <v>234</v>
      </c>
      <c r="P110" s="109" t="s">
        <v>88</v>
      </c>
      <c r="Q110" t="s">
        <v>174</v>
      </c>
      <c r="R110" s="110">
        <v>1</v>
      </c>
    </row>
    <row r="111" spans="3:18" x14ac:dyDescent="0.25">
      <c r="D111" t="s">
        <v>1860</v>
      </c>
      <c r="E111" t="s">
        <v>521</v>
      </c>
      <c r="F111" t="s">
        <v>33</v>
      </c>
      <c r="G111" t="s">
        <v>1862</v>
      </c>
      <c r="H111" t="s">
        <v>1862</v>
      </c>
      <c r="I111" t="s">
        <v>1861</v>
      </c>
      <c r="J111" t="s">
        <v>29</v>
      </c>
      <c r="K111" t="s">
        <v>46</v>
      </c>
      <c r="L111" t="s">
        <v>1548</v>
      </c>
      <c r="M111" s="109" t="s">
        <v>109</v>
      </c>
      <c r="N111" t="s">
        <v>60</v>
      </c>
      <c r="O111" t="s">
        <v>234</v>
      </c>
      <c r="P111" s="109" t="s">
        <v>88</v>
      </c>
      <c r="Q111" t="s">
        <v>174</v>
      </c>
      <c r="R111" s="110">
        <v>1</v>
      </c>
    </row>
    <row r="112" spans="3:18" x14ac:dyDescent="0.25">
      <c r="D112" t="s">
        <v>422</v>
      </c>
      <c r="E112" t="s">
        <v>423</v>
      </c>
      <c r="F112" t="s">
        <v>33</v>
      </c>
      <c r="G112" t="s">
        <v>1441</v>
      </c>
      <c r="H112" t="s">
        <v>1240</v>
      </c>
      <c r="I112" t="s">
        <v>1452</v>
      </c>
      <c r="J112" t="s">
        <v>29</v>
      </c>
      <c r="K112" t="s">
        <v>46</v>
      </c>
      <c r="L112" t="s">
        <v>1238</v>
      </c>
      <c r="M112" s="109" t="s">
        <v>109</v>
      </c>
      <c r="N112" t="s">
        <v>60</v>
      </c>
      <c r="O112" t="s">
        <v>234</v>
      </c>
      <c r="P112" s="109" t="s">
        <v>88</v>
      </c>
      <c r="Q112" t="s">
        <v>175</v>
      </c>
      <c r="R112" s="110">
        <v>1</v>
      </c>
    </row>
    <row r="113" spans="1:18" x14ac:dyDescent="0.25">
      <c r="D113" t="s">
        <v>1928</v>
      </c>
      <c r="E113" t="s">
        <v>1929</v>
      </c>
      <c r="F113" t="s">
        <v>33</v>
      </c>
      <c r="G113" t="s">
        <v>1931</v>
      </c>
      <c r="H113" t="s">
        <v>1560</v>
      </c>
      <c r="I113" t="s">
        <v>1930</v>
      </c>
      <c r="J113" t="s">
        <v>29</v>
      </c>
      <c r="K113" t="s">
        <v>46</v>
      </c>
      <c r="L113" t="s">
        <v>194</v>
      </c>
      <c r="M113" s="109" t="s">
        <v>109</v>
      </c>
      <c r="N113" t="s">
        <v>59</v>
      </c>
      <c r="O113" t="s">
        <v>234</v>
      </c>
      <c r="P113" s="109" t="s">
        <v>88</v>
      </c>
      <c r="Q113" t="s">
        <v>174</v>
      </c>
      <c r="R113" s="110">
        <v>1</v>
      </c>
    </row>
    <row r="114" spans="1:18" x14ac:dyDescent="0.25">
      <c r="D114" t="s">
        <v>979</v>
      </c>
      <c r="E114" t="s">
        <v>419</v>
      </c>
      <c r="F114" t="s">
        <v>33</v>
      </c>
      <c r="G114" t="s">
        <v>1835</v>
      </c>
      <c r="H114" t="s">
        <v>1536</v>
      </c>
      <c r="I114" t="s">
        <v>1538</v>
      </c>
      <c r="J114" t="s">
        <v>29</v>
      </c>
      <c r="K114" t="s">
        <v>46</v>
      </c>
      <c r="L114" t="s">
        <v>1534</v>
      </c>
      <c r="M114" s="109" t="s">
        <v>109</v>
      </c>
      <c r="N114" t="s">
        <v>60</v>
      </c>
      <c r="O114" t="s">
        <v>234</v>
      </c>
      <c r="P114" s="109" t="s">
        <v>88</v>
      </c>
      <c r="Q114" t="s">
        <v>174</v>
      </c>
      <c r="R114" s="110">
        <v>1</v>
      </c>
    </row>
    <row r="115" spans="1:18" x14ac:dyDescent="0.25">
      <c r="B115" t="s">
        <v>1533</v>
      </c>
      <c r="G115" s="109"/>
      <c r="H115" s="109"/>
      <c r="I115" s="109"/>
      <c r="J115" s="109"/>
      <c r="K115" s="109"/>
      <c r="R115" s="108">
        <v>25</v>
      </c>
    </row>
    <row r="116" spans="1:18" x14ac:dyDescent="0.25">
      <c r="B116" t="s">
        <v>282</v>
      </c>
      <c r="C116" t="s">
        <v>282</v>
      </c>
      <c r="D116" t="s">
        <v>588</v>
      </c>
      <c r="E116" t="s">
        <v>281</v>
      </c>
      <c r="F116" t="s">
        <v>33</v>
      </c>
      <c r="G116" t="s">
        <v>1560</v>
      </c>
      <c r="H116" t="s">
        <v>1560</v>
      </c>
      <c r="I116" t="s">
        <v>1560</v>
      </c>
      <c r="J116" t="s">
        <v>29</v>
      </c>
      <c r="K116" t="s">
        <v>48</v>
      </c>
      <c r="L116" t="s">
        <v>1645</v>
      </c>
      <c r="M116" s="109" t="s">
        <v>109</v>
      </c>
      <c r="N116" t="s">
        <v>58</v>
      </c>
      <c r="O116" t="s">
        <v>1935</v>
      </c>
      <c r="P116" s="109" t="s">
        <v>1174</v>
      </c>
      <c r="Q116" t="s">
        <v>174</v>
      </c>
      <c r="R116" s="110">
        <v>1</v>
      </c>
    </row>
    <row r="117" spans="1:18" x14ac:dyDescent="0.25">
      <c r="D117" t="s">
        <v>305</v>
      </c>
      <c r="E117" t="s">
        <v>306</v>
      </c>
      <c r="F117" t="s">
        <v>33</v>
      </c>
      <c r="G117" t="s">
        <v>1560</v>
      </c>
      <c r="H117" t="s">
        <v>1560</v>
      </c>
      <c r="I117" t="s">
        <v>1681</v>
      </c>
      <c r="J117" t="s">
        <v>29</v>
      </c>
      <c r="K117" t="s">
        <v>46</v>
      </c>
      <c r="L117" t="s">
        <v>1643</v>
      </c>
      <c r="M117" s="109" t="s">
        <v>109</v>
      </c>
      <c r="N117" t="s">
        <v>60</v>
      </c>
      <c r="O117" t="s">
        <v>234</v>
      </c>
      <c r="P117" s="109" t="s">
        <v>88</v>
      </c>
      <c r="Q117" t="s">
        <v>174</v>
      </c>
      <c r="R117" s="110">
        <v>1</v>
      </c>
    </row>
    <row r="118" spans="1:18" x14ac:dyDescent="0.25">
      <c r="D118" t="s">
        <v>2111</v>
      </c>
      <c r="E118" t="s">
        <v>1923</v>
      </c>
      <c r="F118" t="s">
        <v>33</v>
      </c>
      <c r="G118" t="s">
        <v>1922</v>
      </c>
      <c r="H118" t="s">
        <v>1922</v>
      </c>
      <c r="I118" t="s">
        <v>1921</v>
      </c>
      <c r="J118" t="s">
        <v>29</v>
      </c>
      <c r="K118" t="s">
        <v>46</v>
      </c>
      <c r="L118" t="s">
        <v>1116</v>
      </c>
      <c r="M118" s="109" t="s">
        <v>109</v>
      </c>
      <c r="N118" t="s">
        <v>59</v>
      </c>
      <c r="O118" t="s">
        <v>234</v>
      </c>
      <c r="P118" s="109" t="s">
        <v>88</v>
      </c>
      <c r="Q118" t="s">
        <v>175</v>
      </c>
      <c r="R118" s="110">
        <v>1</v>
      </c>
    </row>
    <row r="119" spans="1:18" x14ac:dyDescent="0.25">
      <c r="D119" t="s">
        <v>1827</v>
      </c>
      <c r="E119" t="s">
        <v>1683</v>
      </c>
      <c r="F119" t="s">
        <v>33</v>
      </c>
      <c r="G119" t="s">
        <v>1687</v>
      </c>
      <c r="H119" t="s">
        <v>1560</v>
      </c>
      <c r="I119" t="s">
        <v>1690</v>
      </c>
      <c r="J119" t="s">
        <v>29</v>
      </c>
      <c r="K119" t="s">
        <v>46</v>
      </c>
      <c r="L119" t="s">
        <v>201</v>
      </c>
      <c r="M119" s="109" t="s">
        <v>109</v>
      </c>
      <c r="N119" t="s">
        <v>59</v>
      </c>
      <c r="O119" t="s">
        <v>234</v>
      </c>
      <c r="P119" s="109" t="s">
        <v>88</v>
      </c>
      <c r="Q119" t="s">
        <v>175</v>
      </c>
      <c r="R119" s="110">
        <v>1</v>
      </c>
    </row>
    <row r="120" spans="1:18" x14ac:dyDescent="0.25">
      <c r="D120" t="s">
        <v>1624</v>
      </c>
      <c r="E120" t="s">
        <v>1625</v>
      </c>
      <c r="F120" t="s">
        <v>33</v>
      </c>
      <c r="G120" t="s">
        <v>1634</v>
      </c>
      <c r="H120" t="s">
        <v>1560</v>
      </c>
      <c r="I120" t="s">
        <v>1632</v>
      </c>
      <c r="J120" t="s">
        <v>29</v>
      </c>
      <c r="K120" t="s">
        <v>46</v>
      </c>
      <c r="L120" t="s">
        <v>1630</v>
      </c>
      <c r="M120" s="109" t="s">
        <v>109</v>
      </c>
      <c r="N120" t="s">
        <v>60</v>
      </c>
      <c r="O120" t="s">
        <v>234</v>
      </c>
      <c r="P120" s="109" t="s">
        <v>88</v>
      </c>
      <c r="Q120" t="s">
        <v>174</v>
      </c>
      <c r="R120" s="110">
        <v>1</v>
      </c>
    </row>
    <row r="121" spans="1:18" x14ac:dyDescent="0.25">
      <c r="B121" t="s">
        <v>1633</v>
      </c>
      <c r="R121" s="108">
        <v>5</v>
      </c>
    </row>
    <row r="122" spans="1:18" x14ac:dyDescent="0.25">
      <c r="A122" t="s">
        <v>1360</v>
      </c>
      <c r="G122" s="109"/>
      <c r="H122" s="109"/>
      <c r="I122" s="109"/>
      <c r="J122" s="109"/>
      <c r="K122" s="109"/>
      <c r="R122" s="108">
        <v>107</v>
      </c>
    </row>
  </sheetData>
  <pageMargins left="0.11811023622047245" right="0.11811023622047245" top="0.74803149606299213" bottom="0.74803149606299213" header="0.31496062992125984" footer="0.31496062992125984"/>
  <pageSetup paperSize="9" scale="25" orientation="landscape" horizontalDpi="4294967293" verticalDpi="4294967293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2F85E-983A-419E-84CC-6D1AD0F2AC5D}">
  <sheetPr>
    <tabColor rgb="FF00B0F0"/>
  </sheetPr>
  <dimension ref="A3:R239"/>
  <sheetViews>
    <sheetView zoomScale="70" zoomScaleNormal="70" workbookViewId="0">
      <pane xSplit="6" ySplit="3" topLeftCell="G22" activePane="bottomRight" state="frozen"/>
      <selection activeCell="F35" sqref="F35"/>
      <selection pane="topRight" activeCell="F35" sqref="F35"/>
      <selection pane="bottomLeft" activeCell="F35" sqref="F35"/>
      <selection pane="bottomRight" activeCell="F35" sqref="F35"/>
    </sheetView>
  </sheetViews>
  <sheetFormatPr baseColWidth="10" defaultColWidth="11.42578125" defaultRowHeight="16.5" x14ac:dyDescent="0.3"/>
  <cols>
    <col min="1" max="1" width="36.42578125" style="90" bestFit="1" customWidth="1"/>
    <col min="2" max="2" width="24.7109375" style="90" customWidth="1"/>
    <col min="3" max="3" width="35.7109375" style="90" bestFit="1" customWidth="1"/>
    <col min="4" max="4" width="47.5703125" style="90" bestFit="1" customWidth="1"/>
    <col min="5" max="5" width="41.28515625" style="90" bestFit="1" customWidth="1"/>
    <col min="6" max="6" width="24.7109375" style="90" bestFit="1" customWidth="1"/>
    <col min="7" max="7" width="21.5703125" style="90" bestFit="1" customWidth="1"/>
    <col min="8" max="8" width="13.5703125" style="90" bestFit="1" customWidth="1"/>
    <col min="9" max="10" width="12.85546875" style="90" bestFit="1" customWidth="1"/>
    <col min="11" max="11" width="27.85546875" style="90" bestFit="1" customWidth="1"/>
    <col min="12" max="12" width="22.5703125" style="90" bestFit="1" customWidth="1"/>
    <col min="13" max="13" width="12.85546875" style="90" bestFit="1" customWidth="1"/>
    <col min="14" max="14" width="27.85546875" style="90" bestFit="1" customWidth="1"/>
    <col min="15" max="17" width="19.85546875" style="90" bestFit="1" customWidth="1"/>
    <col min="18" max="18" width="16.7109375" style="90" bestFit="1" customWidth="1"/>
    <col min="19" max="16384" width="11.42578125" style="90"/>
  </cols>
  <sheetData>
    <row r="3" spans="1:18" x14ac:dyDescent="0.3">
      <c r="A3" s="131" t="s">
        <v>25</v>
      </c>
      <c r="B3" s="131" t="s">
        <v>32</v>
      </c>
      <c r="C3" s="131" t="s">
        <v>1619</v>
      </c>
      <c r="D3" s="131" t="s">
        <v>29</v>
      </c>
      <c r="E3" s="131" t="s">
        <v>30</v>
      </c>
      <c r="F3" s="131" t="s">
        <v>1</v>
      </c>
      <c r="G3" s="131" t="s">
        <v>1709</v>
      </c>
      <c r="H3" s="131" t="s">
        <v>11</v>
      </c>
      <c r="I3" s="131" t="s">
        <v>19</v>
      </c>
      <c r="J3" s="131" t="s">
        <v>2</v>
      </c>
      <c r="K3" s="131" t="s">
        <v>3</v>
      </c>
      <c r="L3" s="131" t="s">
        <v>5</v>
      </c>
      <c r="M3" s="131" t="s">
        <v>26</v>
      </c>
      <c r="N3" s="131" t="s">
        <v>15</v>
      </c>
      <c r="O3" s="131" t="s">
        <v>17</v>
      </c>
      <c r="P3" s="131" t="s">
        <v>20</v>
      </c>
      <c r="Q3" s="131" t="s">
        <v>173</v>
      </c>
      <c r="R3" s="132" t="s">
        <v>1872</v>
      </c>
    </row>
    <row r="4" spans="1:18" x14ac:dyDescent="0.3">
      <c r="A4" s="132" t="s">
        <v>107</v>
      </c>
      <c r="B4" s="132" t="s">
        <v>259</v>
      </c>
      <c r="C4" s="132" t="s">
        <v>387</v>
      </c>
      <c r="D4" s="132" t="s">
        <v>386</v>
      </c>
      <c r="E4" s="132" t="s">
        <v>336</v>
      </c>
      <c r="F4" s="132" t="s">
        <v>33</v>
      </c>
      <c r="G4" s="132" t="s">
        <v>1257</v>
      </c>
      <c r="H4" s="132" t="s">
        <v>1431</v>
      </c>
      <c r="I4" s="132" t="s">
        <v>1451</v>
      </c>
      <c r="J4" s="132" t="s">
        <v>29</v>
      </c>
      <c r="K4" s="132" t="s">
        <v>46</v>
      </c>
      <c r="L4" s="132" t="s">
        <v>1254</v>
      </c>
      <c r="M4" s="132" t="s">
        <v>109</v>
      </c>
      <c r="N4" s="132" t="s">
        <v>60</v>
      </c>
      <c r="O4" s="132" t="s">
        <v>234</v>
      </c>
      <c r="P4" s="132" t="s">
        <v>88</v>
      </c>
      <c r="Q4" s="132" t="s">
        <v>174</v>
      </c>
      <c r="R4" s="133">
        <v>1</v>
      </c>
    </row>
    <row r="5" spans="1:18" x14ac:dyDescent="0.3">
      <c r="A5" s="132"/>
      <c r="B5" s="132"/>
      <c r="C5" s="132"/>
      <c r="D5" s="132" t="s">
        <v>538</v>
      </c>
      <c r="E5" s="132" t="s">
        <v>427</v>
      </c>
      <c r="F5" s="132" t="s">
        <v>33</v>
      </c>
      <c r="G5" s="132" t="s">
        <v>1308</v>
      </c>
      <c r="H5" s="132" t="s">
        <v>1427</v>
      </c>
      <c r="I5" s="132" t="s">
        <v>1455</v>
      </c>
      <c r="J5" s="132" t="s">
        <v>29</v>
      </c>
      <c r="K5" s="132" t="s">
        <v>46</v>
      </c>
      <c r="L5" s="132" t="s">
        <v>1307</v>
      </c>
      <c r="M5" s="132" t="s">
        <v>109</v>
      </c>
      <c r="N5" s="132" t="s">
        <v>60</v>
      </c>
      <c r="O5" s="132" t="s">
        <v>234</v>
      </c>
      <c r="P5" s="132" t="s">
        <v>88</v>
      </c>
      <c r="Q5" s="132" t="s">
        <v>174</v>
      </c>
      <c r="R5" s="133">
        <v>1</v>
      </c>
    </row>
    <row r="6" spans="1:18" x14ac:dyDescent="0.3">
      <c r="A6" s="132"/>
      <c r="B6" s="132"/>
      <c r="C6" s="132" t="s">
        <v>258</v>
      </c>
      <c r="D6" s="132" t="s">
        <v>1004</v>
      </c>
      <c r="E6" s="132" t="s">
        <v>1203</v>
      </c>
      <c r="F6" s="132" t="s">
        <v>33</v>
      </c>
      <c r="G6" s="132" t="s">
        <v>1349</v>
      </c>
      <c r="H6" s="132" t="s">
        <v>1560</v>
      </c>
      <c r="I6" s="132" t="s">
        <v>1666</v>
      </c>
      <c r="J6" s="132" t="s">
        <v>29</v>
      </c>
      <c r="K6" s="132" t="s">
        <v>46</v>
      </c>
      <c r="L6" s="132" t="s">
        <v>1202</v>
      </c>
      <c r="M6" s="132" t="s">
        <v>109</v>
      </c>
      <c r="N6" s="132" t="s">
        <v>60</v>
      </c>
      <c r="O6" s="132" t="s">
        <v>234</v>
      </c>
      <c r="P6" s="132" t="s">
        <v>88</v>
      </c>
      <c r="Q6" s="132" t="s">
        <v>174</v>
      </c>
      <c r="R6" s="133">
        <v>1</v>
      </c>
    </row>
    <row r="7" spans="1:18" x14ac:dyDescent="0.3">
      <c r="A7" s="132"/>
      <c r="B7" s="132"/>
      <c r="C7" s="132"/>
      <c r="D7" s="132" t="s">
        <v>256</v>
      </c>
      <c r="E7" s="132" t="s">
        <v>257</v>
      </c>
      <c r="F7" s="132" t="s">
        <v>33</v>
      </c>
      <c r="G7" s="132" t="s">
        <v>1560</v>
      </c>
      <c r="H7" s="132" t="s">
        <v>1529</v>
      </c>
      <c r="I7" s="132" t="s">
        <v>1446</v>
      </c>
      <c r="J7" s="132" t="s">
        <v>29</v>
      </c>
      <c r="K7" s="132" t="s">
        <v>46</v>
      </c>
      <c r="L7" s="132" t="s">
        <v>203</v>
      </c>
      <c r="M7" s="132" t="s">
        <v>109</v>
      </c>
      <c r="N7" s="132" t="s">
        <v>60</v>
      </c>
      <c r="O7" s="132" t="s">
        <v>234</v>
      </c>
      <c r="P7" s="132" t="s">
        <v>88</v>
      </c>
      <c r="Q7" s="132" t="s">
        <v>175</v>
      </c>
      <c r="R7" s="133">
        <v>1</v>
      </c>
    </row>
    <row r="8" spans="1:18" x14ac:dyDescent="0.3">
      <c r="A8" s="132"/>
      <c r="B8" s="132"/>
      <c r="C8" s="132"/>
      <c r="D8" s="132" t="s">
        <v>711</v>
      </c>
      <c r="E8" s="132" t="s">
        <v>1844</v>
      </c>
      <c r="F8" s="132" t="s">
        <v>33</v>
      </c>
      <c r="G8" s="132" t="s">
        <v>1560</v>
      </c>
      <c r="H8" s="132" t="s">
        <v>1187</v>
      </c>
      <c r="I8" s="132" t="s">
        <v>1447</v>
      </c>
      <c r="J8" s="132" t="s">
        <v>29</v>
      </c>
      <c r="K8" s="132" t="s">
        <v>46</v>
      </c>
      <c r="L8" s="132" t="s">
        <v>1178</v>
      </c>
      <c r="M8" s="132" t="s">
        <v>109</v>
      </c>
      <c r="N8" s="132" t="s">
        <v>60</v>
      </c>
      <c r="O8" s="132" t="s">
        <v>234</v>
      </c>
      <c r="P8" s="132" t="s">
        <v>88</v>
      </c>
      <c r="Q8" s="132" t="s">
        <v>174</v>
      </c>
      <c r="R8" s="133">
        <v>1</v>
      </c>
    </row>
    <row r="9" spans="1:18" x14ac:dyDescent="0.3">
      <c r="A9" s="132"/>
      <c r="B9" s="132"/>
      <c r="C9" s="132"/>
      <c r="D9" s="132" t="s">
        <v>1733</v>
      </c>
      <c r="E9" s="132" t="s">
        <v>1734</v>
      </c>
      <c r="F9" s="132" t="s">
        <v>33</v>
      </c>
      <c r="G9" s="132" t="s">
        <v>1560</v>
      </c>
      <c r="H9" s="132" t="s">
        <v>1736</v>
      </c>
      <c r="I9" s="132" t="s">
        <v>1449</v>
      </c>
      <c r="J9" s="132" t="s">
        <v>29</v>
      </c>
      <c r="K9" s="132" t="s">
        <v>46</v>
      </c>
      <c r="L9" s="132" t="s">
        <v>1557</v>
      </c>
      <c r="M9" s="132" t="s">
        <v>109</v>
      </c>
      <c r="N9" s="132" t="s">
        <v>60</v>
      </c>
      <c r="O9" s="132" t="s">
        <v>234</v>
      </c>
      <c r="P9" s="132" t="s">
        <v>88</v>
      </c>
      <c r="Q9" s="132" t="s">
        <v>175</v>
      </c>
      <c r="R9" s="133">
        <v>1</v>
      </c>
    </row>
    <row r="10" spans="1:18" x14ac:dyDescent="0.3">
      <c r="A10" s="132"/>
      <c r="B10" s="132"/>
      <c r="C10" s="132" t="s">
        <v>636</v>
      </c>
      <c r="D10" s="132" t="s">
        <v>634</v>
      </c>
      <c r="E10" s="132" t="s">
        <v>635</v>
      </c>
      <c r="F10" s="132" t="s">
        <v>33</v>
      </c>
      <c r="G10" s="132" t="s">
        <v>1283</v>
      </c>
      <c r="H10" s="132" t="s">
        <v>1440</v>
      </c>
      <c r="I10" s="132" t="s">
        <v>1453</v>
      </c>
      <c r="J10" s="132" t="s">
        <v>29</v>
      </c>
      <c r="K10" s="132" t="s">
        <v>46</v>
      </c>
      <c r="L10" s="132" t="s">
        <v>1281</v>
      </c>
      <c r="M10" s="132" t="s">
        <v>109</v>
      </c>
      <c r="N10" s="132" t="s">
        <v>60</v>
      </c>
      <c r="O10" s="132" t="s">
        <v>234</v>
      </c>
      <c r="P10" s="132" t="s">
        <v>88</v>
      </c>
      <c r="Q10" s="132" t="s">
        <v>174</v>
      </c>
      <c r="R10" s="133">
        <v>1</v>
      </c>
    </row>
    <row r="11" spans="1:18" x14ac:dyDescent="0.3">
      <c r="A11" s="132"/>
      <c r="B11" s="132"/>
      <c r="C11" s="132" t="s">
        <v>479</v>
      </c>
      <c r="D11" s="132" t="s">
        <v>695</v>
      </c>
      <c r="E11" s="132" t="s">
        <v>452</v>
      </c>
      <c r="F11" s="132" t="s">
        <v>33</v>
      </c>
      <c r="G11" s="132" t="s">
        <v>1277</v>
      </c>
      <c r="H11" s="132" t="s">
        <v>1484</v>
      </c>
      <c r="I11" s="132" t="s">
        <v>1489</v>
      </c>
      <c r="J11" s="132" t="s">
        <v>29</v>
      </c>
      <c r="K11" s="132" t="s">
        <v>46</v>
      </c>
      <c r="L11" s="132" t="s">
        <v>1275</v>
      </c>
      <c r="M11" s="132" t="s">
        <v>109</v>
      </c>
      <c r="N11" s="132" t="s">
        <v>60</v>
      </c>
      <c r="O11" s="132" t="s">
        <v>234</v>
      </c>
      <c r="P11" s="132" t="s">
        <v>88</v>
      </c>
      <c r="Q11" s="132" t="s">
        <v>174</v>
      </c>
      <c r="R11" s="133">
        <v>1</v>
      </c>
    </row>
    <row r="12" spans="1:18" x14ac:dyDescent="0.3">
      <c r="A12" s="132"/>
      <c r="B12" s="132"/>
      <c r="C12" s="132"/>
      <c r="D12" s="132" t="s">
        <v>794</v>
      </c>
      <c r="E12" s="132" t="s">
        <v>452</v>
      </c>
      <c r="F12" s="132" t="s">
        <v>33</v>
      </c>
      <c r="G12" s="132" t="s">
        <v>1560</v>
      </c>
      <c r="H12" s="132" t="s">
        <v>1483</v>
      </c>
      <c r="I12" s="132" t="s">
        <v>1462</v>
      </c>
      <c r="J12" s="132" t="s">
        <v>29</v>
      </c>
      <c r="K12" s="132" t="s">
        <v>46</v>
      </c>
      <c r="L12" s="132" t="s">
        <v>1460</v>
      </c>
      <c r="M12" s="132" t="s">
        <v>109</v>
      </c>
      <c r="N12" s="132" t="s">
        <v>60</v>
      </c>
      <c r="O12" s="132" t="s">
        <v>234</v>
      </c>
      <c r="P12" s="132" t="s">
        <v>88</v>
      </c>
      <c r="Q12" s="132" t="s">
        <v>175</v>
      </c>
      <c r="R12" s="133">
        <v>1</v>
      </c>
    </row>
    <row r="13" spans="1:18" x14ac:dyDescent="0.3">
      <c r="A13" s="132"/>
      <c r="B13" s="132"/>
      <c r="C13" s="132" t="s">
        <v>287</v>
      </c>
      <c r="D13" s="132" t="s">
        <v>335</v>
      </c>
      <c r="E13" s="132" t="s">
        <v>336</v>
      </c>
      <c r="F13" s="132" t="s">
        <v>33</v>
      </c>
      <c r="G13" s="132" t="s">
        <v>1260</v>
      </c>
      <c r="H13" s="132" t="s">
        <v>1464</v>
      </c>
      <c r="I13" s="132" t="s">
        <v>1463</v>
      </c>
      <c r="J13" s="132" t="s">
        <v>29</v>
      </c>
      <c r="K13" s="132" t="s">
        <v>46</v>
      </c>
      <c r="L13" s="132" t="s">
        <v>1258</v>
      </c>
      <c r="M13" s="132" t="s">
        <v>109</v>
      </c>
      <c r="N13" s="132" t="s">
        <v>60</v>
      </c>
      <c r="O13" s="132" t="s">
        <v>234</v>
      </c>
      <c r="P13" s="132" t="s">
        <v>88</v>
      </c>
      <c r="Q13" s="132" t="s">
        <v>174</v>
      </c>
      <c r="R13" s="133">
        <v>1</v>
      </c>
    </row>
    <row r="14" spans="1:18" x14ac:dyDescent="0.3">
      <c r="A14" s="132"/>
      <c r="B14" s="132"/>
      <c r="C14" s="132" t="s">
        <v>640</v>
      </c>
      <c r="D14" s="132" t="s">
        <v>639</v>
      </c>
      <c r="E14" s="132" t="s">
        <v>452</v>
      </c>
      <c r="F14" s="132" t="s">
        <v>33</v>
      </c>
      <c r="G14" s="132" t="s">
        <v>1696</v>
      </c>
      <c r="H14" s="132" t="s">
        <v>1560</v>
      </c>
      <c r="I14" s="132" t="s">
        <v>1695</v>
      </c>
      <c r="J14" s="132" t="s">
        <v>29</v>
      </c>
      <c r="K14" s="132" t="s">
        <v>48</v>
      </c>
      <c r="L14" s="132" t="s">
        <v>1693</v>
      </c>
      <c r="M14" s="132" t="s">
        <v>109</v>
      </c>
      <c r="N14" s="132" t="s">
        <v>59</v>
      </c>
      <c r="O14" s="132" t="s">
        <v>77</v>
      </c>
      <c r="P14" s="132" t="s">
        <v>88</v>
      </c>
      <c r="Q14" s="132" t="s">
        <v>174</v>
      </c>
      <c r="R14" s="133">
        <v>1</v>
      </c>
    </row>
    <row r="15" spans="1:18" x14ac:dyDescent="0.3">
      <c r="A15" s="132"/>
      <c r="B15" s="132"/>
      <c r="C15" s="132" t="s">
        <v>453</v>
      </c>
      <c r="D15" s="132" t="s">
        <v>555</v>
      </c>
      <c r="E15" s="132" t="s">
        <v>534</v>
      </c>
      <c r="F15" s="132" t="s">
        <v>33</v>
      </c>
      <c r="G15" s="132" t="s">
        <v>1274</v>
      </c>
      <c r="H15" s="132" t="s">
        <v>1590</v>
      </c>
      <c r="I15" s="132" t="s">
        <v>1591</v>
      </c>
      <c r="J15" s="132" t="s">
        <v>29</v>
      </c>
      <c r="K15" s="132" t="s">
        <v>46</v>
      </c>
      <c r="L15" s="132" t="s">
        <v>1272</v>
      </c>
      <c r="M15" s="132" t="s">
        <v>109</v>
      </c>
      <c r="N15" s="132" t="s">
        <v>60</v>
      </c>
      <c r="O15" s="132" t="s">
        <v>234</v>
      </c>
      <c r="P15" s="132" t="s">
        <v>88</v>
      </c>
      <c r="Q15" s="132" t="s">
        <v>174</v>
      </c>
      <c r="R15" s="133">
        <v>1</v>
      </c>
    </row>
    <row r="16" spans="1:18" x14ac:dyDescent="0.3">
      <c r="A16" s="132"/>
      <c r="B16" s="132"/>
      <c r="C16" s="132" t="s">
        <v>292</v>
      </c>
      <c r="D16" s="132" t="s">
        <v>290</v>
      </c>
      <c r="E16" s="132" t="s">
        <v>291</v>
      </c>
      <c r="F16" s="132" t="s">
        <v>33</v>
      </c>
      <c r="G16" s="132" t="s">
        <v>1560</v>
      </c>
      <c r="H16" s="132" t="s">
        <v>1101</v>
      </c>
      <c r="I16" s="132" t="s">
        <v>1595</v>
      </c>
      <c r="J16" s="132" t="s">
        <v>29</v>
      </c>
      <c r="K16" s="132" t="s">
        <v>46</v>
      </c>
      <c r="L16" s="132" t="s">
        <v>1100</v>
      </c>
      <c r="M16" s="132" t="s">
        <v>109</v>
      </c>
      <c r="N16" s="132" t="s">
        <v>60</v>
      </c>
      <c r="O16" s="132" t="s">
        <v>234</v>
      </c>
      <c r="P16" s="132" t="s">
        <v>88</v>
      </c>
      <c r="Q16" s="132" t="s">
        <v>174</v>
      </c>
      <c r="R16" s="133">
        <v>1</v>
      </c>
    </row>
    <row r="17" spans="1:18" x14ac:dyDescent="0.3">
      <c r="A17" s="132"/>
      <c r="B17" s="132" t="s">
        <v>1365</v>
      </c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3">
        <v>13</v>
      </c>
    </row>
    <row r="18" spans="1:18" x14ac:dyDescent="0.3">
      <c r="A18" s="132"/>
      <c r="B18" s="132" t="s">
        <v>440</v>
      </c>
      <c r="C18" s="132" t="s">
        <v>747</v>
      </c>
      <c r="D18" s="132" t="s">
        <v>745</v>
      </c>
      <c r="E18" s="132" t="s">
        <v>746</v>
      </c>
      <c r="F18" s="132" t="s">
        <v>33</v>
      </c>
      <c r="G18" s="132" t="s">
        <v>1560</v>
      </c>
      <c r="H18" s="132" t="s">
        <v>1944</v>
      </c>
      <c r="I18" s="132" t="s">
        <v>1560</v>
      </c>
      <c r="J18" s="132" t="s">
        <v>29</v>
      </c>
      <c r="K18" s="132" t="s">
        <v>48</v>
      </c>
      <c r="L18" s="132" t="s">
        <v>1870</v>
      </c>
      <c r="M18" s="132" t="s">
        <v>109</v>
      </c>
      <c r="N18" s="132" t="s">
        <v>63</v>
      </c>
      <c r="O18" s="132" t="s">
        <v>77</v>
      </c>
      <c r="P18" s="132" t="s">
        <v>88</v>
      </c>
      <c r="Q18" s="132" t="s">
        <v>175</v>
      </c>
      <c r="R18" s="133">
        <v>1</v>
      </c>
    </row>
    <row r="19" spans="1:18" x14ac:dyDescent="0.3">
      <c r="A19" s="132"/>
      <c r="B19" s="132"/>
      <c r="C19" s="132"/>
      <c r="D19" s="132" t="s">
        <v>1788</v>
      </c>
      <c r="E19" s="132" t="s">
        <v>1786</v>
      </c>
      <c r="F19" s="132" t="s">
        <v>33</v>
      </c>
      <c r="G19" s="132" t="s">
        <v>1560</v>
      </c>
      <c r="H19" s="132" t="s">
        <v>1623</v>
      </c>
      <c r="I19" s="132" t="s">
        <v>1621</v>
      </c>
      <c r="J19" s="132" t="s">
        <v>29</v>
      </c>
      <c r="K19" s="132" t="s">
        <v>46</v>
      </c>
      <c r="L19" s="132" t="s">
        <v>1216</v>
      </c>
      <c r="M19" s="132" t="s">
        <v>109</v>
      </c>
      <c r="N19" s="132" t="s">
        <v>60</v>
      </c>
      <c r="O19" s="132" t="s">
        <v>234</v>
      </c>
      <c r="P19" s="132" t="s">
        <v>88</v>
      </c>
      <c r="Q19" s="132" t="s">
        <v>175</v>
      </c>
      <c r="R19" s="133">
        <v>1</v>
      </c>
    </row>
    <row r="20" spans="1:18" x14ac:dyDescent="0.3">
      <c r="A20" s="132"/>
      <c r="B20" s="132"/>
      <c r="C20" s="132" t="s">
        <v>440</v>
      </c>
      <c r="D20" s="132" t="s">
        <v>954</v>
      </c>
      <c r="E20" s="132" t="s">
        <v>955</v>
      </c>
      <c r="F20" s="132" t="s">
        <v>33</v>
      </c>
      <c r="G20" s="132" t="s">
        <v>1268</v>
      </c>
      <c r="H20" s="132" t="s">
        <v>1571</v>
      </c>
      <c r="I20" s="132" t="s">
        <v>1572</v>
      </c>
      <c r="J20" s="132" t="s">
        <v>29</v>
      </c>
      <c r="K20" s="132" t="s">
        <v>46</v>
      </c>
      <c r="L20" s="132" t="s">
        <v>1266</v>
      </c>
      <c r="M20" s="132" t="s">
        <v>109</v>
      </c>
      <c r="N20" s="132" t="s">
        <v>60</v>
      </c>
      <c r="O20" s="132" t="s">
        <v>234</v>
      </c>
      <c r="P20" s="132" t="s">
        <v>88</v>
      </c>
      <c r="Q20" s="132" t="s">
        <v>175</v>
      </c>
      <c r="R20" s="133">
        <v>1</v>
      </c>
    </row>
    <row r="21" spans="1:18" x14ac:dyDescent="0.3">
      <c r="A21" s="132"/>
      <c r="B21" s="132"/>
      <c r="C21" s="132"/>
      <c r="D21" s="132" t="s">
        <v>838</v>
      </c>
      <c r="E21" s="132" t="s">
        <v>839</v>
      </c>
      <c r="F21" s="132" t="s">
        <v>33</v>
      </c>
      <c r="G21" s="132" t="s">
        <v>1560</v>
      </c>
      <c r="H21" s="132" t="s">
        <v>1587</v>
      </c>
      <c r="I21" s="132" t="s">
        <v>1578</v>
      </c>
      <c r="J21" s="132" t="s">
        <v>29</v>
      </c>
      <c r="K21" s="132" t="s">
        <v>46</v>
      </c>
      <c r="L21" s="132" t="s">
        <v>1577</v>
      </c>
      <c r="M21" s="132" t="s">
        <v>109</v>
      </c>
      <c r="N21" s="132" t="s">
        <v>60</v>
      </c>
      <c r="O21" s="132" t="s">
        <v>234</v>
      </c>
      <c r="P21" s="132" t="s">
        <v>88</v>
      </c>
      <c r="Q21" s="132" t="s">
        <v>175</v>
      </c>
      <c r="R21" s="133">
        <v>1</v>
      </c>
    </row>
    <row r="22" spans="1:18" x14ac:dyDescent="0.3">
      <c r="A22" s="132"/>
      <c r="B22" s="132"/>
      <c r="C22" s="132" t="s">
        <v>445</v>
      </c>
      <c r="D22" s="132" t="s">
        <v>584</v>
      </c>
      <c r="E22" s="132" t="s">
        <v>585</v>
      </c>
      <c r="F22" s="132" t="s">
        <v>33</v>
      </c>
      <c r="G22" s="132" t="s">
        <v>1213</v>
      </c>
      <c r="H22" s="132" t="s">
        <v>1589</v>
      </c>
      <c r="I22" s="132" t="s">
        <v>1597</v>
      </c>
      <c r="J22" s="132" t="s">
        <v>29</v>
      </c>
      <c r="K22" s="132" t="s">
        <v>46</v>
      </c>
      <c r="L22" s="132" t="s">
        <v>1211</v>
      </c>
      <c r="M22" s="132" t="s">
        <v>109</v>
      </c>
      <c r="N22" s="132" t="s">
        <v>60</v>
      </c>
      <c r="O22" s="132" t="s">
        <v>234</v>
      </c>
      <c r="P22" s="132" t="s">
        <v>88</v>
      </c>
      <c r="Q22" s="132" t="s">
        <v>174</v>
      </c>
      <c r="R22" s="133">
        <v>1</v>
      </c>
    </row>
    <row r="23" spans="1:18" x14ac:dyDescent="0.3">
      <c r="A23" s="132"/>
      <c r="B23" s="132"/>
      <c r="C23" s="132"/>
      <c r="D23" s="132"/>
      <c r="E23" s="132"/>
      <c r="F23" s="132"/>
      <c r="G23" s="132" t="s">
        <v>1576</v>
      </c>
      <c r="H23" s="132" t="s">
        <v>1588</v>
      </c>
      <c r="I23" s="132" t="s">
        <v>1575</v>
      </c>
      <c r="J23" s="132" t="s">
        <v>29</v>
      </c>
      <c r="K23" s="132" t="s">
        <v>46</v>
      </c>
      <c r="L23" s="132" t="s">
        <v>1573</v>
      </c>
      <c r="M23" s="132" t="s">
        <v>109</v>
      </c>
      <c r="N23" s="132" t="s">
        <v>60</v>
      </c>
      <c r="O23" s="132" t="s">
        <v>77</v>
      </c>
      <c r="P23" s="132" t="s">
        <v>88</v>
      </c>
      <c r="Q23" s="132" t="s">
        <v>174</v>
      </c>
      <c r="R23" s="133">
        <v>1</v>
      </c>
    </row>
    <row r="24" spans="1:18" x14ac:dyDescent="0.3">
      <c r="A24" s="132"/>
      <c r="B24" s="132"/>
      <c r="C24" s="132" t="s">
        <v>543</v>
      </c>
      <c r="D24" s="132" t="s">
        <v>541</v>
      </c>
      <c r="E24" s="132" t="s">
        <v>542</v>
      </c>
      <c r="F24" s="132" t="s">
        <v>33</v>
      </c>
      <c r="G24" s="132" t="s">
        <v>1576</v>
      </c>
      <c r="H24" s="132" t="s">
        <v>1586</v>
      </c>
      <c r="I24" s="132" t="s">
        <v>1598</v>
      </c>
      <c r="J24" s="132" t="s">
        <v>29</v>
      </c>
      <c r="K24" s="132" t="s">
        <v>46</v>
      </c>
      <c r="L24" s="132" t="s">
        <v>1620</v>
      </c>
      <c r="M24" s="132" t="s">
        <v>109</v>
      </c>
      <c r="N24" s="132" t="s">
        <v>59</v>
      </c>
      <c r="O24" s="132" t="s">
        <v>234</v>
      </c>
      <c r="P24" s="132" t="s">
        <v>88</v>
      </c>
      <c r="Q24" s="132" t="s">
        <v>175</v>
      </c>
      <c r="R24" s="133">
        <v>1</v>
      </c>
    </row>
    <row r="25" spans="1:18" x14ac:dyDescent="0.3">
      <c r="A25" s="132"/>
      <c r="B25" s="132" t="s">
        <v>1493</v>
      </c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3">
        <v>7</v>
      </c>
    </row>
    <row r="26" spans="1:18" x14ac:dyDescent="0.3">
      <c r="A26" s="132"/>
      <c r="B26" s="132" t="s">
        <v>264</v>
      </c>
      <c r="C26" s="132" t="s">
        <v>264</v>
      </c>
      <c r="D26" s="132" t="s">
        <v>262</v>
      </c>
      <c r="E26" s="132" t="s">
        <v>263</v>
      </c>
      <c r="F26" s="132" t="s">
        <v>34</v>
      </c>
      <c r="G26" s="132" t="s">
        <v>1560</v>
      </c>
      <c r="H26" s="132" t="s">
        <v>1990</v>
      </c>
      <c r="I26" s="132" t="s">
        <v>1584</v>
      </c>
      <c r="J26" s="132" t="s">
        <v>29</v>
      </c>
      <c r="K26" s="132" t="s">
        <v>47</v>
      </c>
      <c r="L26" s="132" t="s">
        <v>1583</v>
      </c>
      <c r="M26" s="132" t="s">
        <v>109</v>
      </c>
      <c r="N26" s="132" t="s">
        <v>65</v>
      </c>
      <c r="O26" s="132" t="s">
        <v>79</v>
      </c>
      <c r="P26" s="132" t="s">
        <v>88</v>
      </c>
      <c r="Q26" s="132" t="s">
        <v>175</v>
      </c>
      <c r="R26" s="133">
        <v>1</v>
      </c>
    </row>
    <row r="27" spans="1:18" x14ac:dyDescent="0.3">
      <c r="A27" s="132"/>
      <c r="B27" s="132"/>
      <c r="C27" s="132"/>
      <c r="D27" s="132" t="s">
        <v>267</v>
      </c>
      <c r="E27" s="132" t="s">
        <v>268</v>
      </c>
      <c r="F27" s="132" t="s">
        <v>33</v>
      </c>
      <c r="G27" s="132" t="s">
        <v>1220</v>
      </c>
      <c r="H27" s="132" t="s">
        <v>1410</v>
      </c>
      <c r="I27" s="132" t="s">
        <v>1539</v>
      </c>
      <c r="J27" s="132" t="s">
        <v>29</v>
      </c>
      <c r="K27" s="132" t="s">
        <v>46</v>
      </c>
      <c r="L27" s="132" t="s">
        <v>1219</v>
      </c>
      <c r="M27" s="132" t="s">
        <v>109</v>
      </c>
      <c r="N27" s="132" t="s">
        <v>60</v>
      </c>
      <c r="O27" s="132" t="s">
        <v>234</v>
      </c>
      <c r="P27" s="132" t="s">
        <v>88</v>
      </c>
      <c r="Q27" s="132" t="s">
        <v>174</v>
      </c>
      <c r="R27" s="133">
        <v>1</v>
      </c>
    </row>
    <row r="28" spans="1:18" x14ac:dyDescent="0.3">
      <c r="A28" s="132"/>
      <c r="B28" s="132" t="s">
        <v>1561</v>
      </c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3">
        <v>2</v>
      </c>
    </row>
    <row r="29" spans="1:18" x14ac:dyDescent="0.3">
      <c r="A29" s="132"/>
      <c r="B29" s="132" t="s">
        <v>247</v>
      </c>
      <c r="C29" s="132" t="s">
        <v>273</v>
      </c>
      <c r="D29" s="132" t="s">
        <v>271</v>
      </c>
      <c r="E29" s="132" t="s">
        <v>272</v>
      </c>
      <c r="F29" s="132" t="s">
        <v>33</v>
      </c>
      <c r="G29" s="132" t="s">
        <v>1253</v>
      </c>
      <c r="H29" s="132" t="s">
        <v>1399</v>
      </c>
      <c r="I29" s="132" t="s">
        <v>1621</v>
      </c>
      <c r="J29" s="132" t="s">
        <v>29</v>
      </c>
      <c r="K29" s="132" t="s">
        <v>46</v>
      </c>
      <c r="L29" s="132" t="s">
        <v>1252</v>
      </c>
      <c r="M29" s="132" t="s">
        <v>109</v>
      </c>
      <c r="N29" s="132" t="s">
        <v>60</v>
      </c>
      <c r="O29" s="132" t="s">
        <v>234</v>
      </c>
      <c r="P29" s="132" t="s">
        <v>88</v>
      </c>
      <c r="Q29" s="132" t="s">
        <v>174</v>
      </c>
      <c r="R29" s="133">
        <v>1</v>
      </c>
    </row>
    <row r="30" spans="1:18" x14ac:dyDescent="0.3">
      <c r="A30" s="132"/>
      <c r="B30" s="132"/>
      <c r="C30" s="132"/>
      <c r="D30" s="132"/>
      <c r="E30" s="132"/>
      <c r="F30" s="132"/>
      <c r="G30" s="132" t="s">
        <v>1560</v>
      </c>
      <c r="H30" s="132" t="s">
        <v>1570</v>
      </c>
      <c r="I30" s="132" t="s">
        <v>1757</v>
      </c>
      <c r="J30" s="132" t="s">
        <v>29</v>
      </c>
      <c r="K30" s="132" t="s">
        <v>46</v>
      </c>
      <c r="L30" s="132" t="s">
        <v>1569</v>
      </c>
      <c r="M30" s="132" t="s">
        <v>109</v>
      </c>
      <c r="N30" s="132" t="s">
        <v>60</v>
      </c>
      <c r="O30" s="132" t="s">
        <v>234</v>
      </c>
      <c r="P30" s="132" t="s">
        <v>88</v>
      </c>
      <c r="Q30" s="132" t="s">
        <v>174</v>
      </c>
      <c r="R30" s="133">
        <v>1</v>
      </c>
    </row>
    <row r="31" spans="1:18" x14ac:dyDescent="0.3">
      <c r="A31" s="132"/>
      <c r="B31" s="132"/>
      <c r="C31" s="132" t="s">
        <v>401</v>
      </c>
      <c r="D31" s="132" t="s">
        <v>399</v>
      </c>
      <c r="E31" s="132" t="s">
        <v>400</v>
      </c>
      <c r="F31" s="132" t="s">
        <v>33</v>
      </c>
      <c r="G31" s="132" t="s">
        <v>1320</v>
      </c>
      <c r="H31" s="132" t="s">
        <v>1373</v>
      </c>
      <c r="I31" s="132" t="s">
        <v>1456</v>
      </c>
      <c r="J31" s="132" t="s">
        <v>29</v>
      </c>
      <c r="K31" s="132" t="s">
        <v>46</v>
      </c>
      <c r="L31" s="132" t="s">
        <v>1321</v>
      </c>
      <c r="M31" s="132" t="s">
        <v>109</v>
      </c>
      <c r="N31" s="132" t="s">
        <v>60</v>
      </c>
      <c r="O31" s="132" t="s">
        <v>234</v>
      </c>
      <c r="P31" s="132" t="s">
        <v>88</v>
      </c>
      <c r="Q31" s="132" t="s">
        <v>174</v>
      </c>
      <c r="R31" s="133">
        <v>1</v>
      </c>
    </row>
    <row r="32" spans="1:18" x14ac:dyDescent="0.3">
      <c r="A32" s="132"/>
      <c r="B32" s="132"/>
      <c r="C32" s="132" t="s">
        <v>320</v>
      </c>
      <c r="D32" s="132" t="s">
        <v>353</v>
      </c>
      <c r="E32" s="132" t="s">
        <v>354</v>
      </c>
      <c r="F32" s="132" t="s">
        <v>33</v>
      </c>
      <c r="G32" s="132" t="s">
        <v>1264</v>
      </c>
      <c r="H32" s="132" t="s">
        <v>1404</v>
      </c>
      <c r="I32" s="132" t="s">
        <v>1501</v>
      </c>
      <c r="J32" s="132" t="s">
        <v>29</v>
      </c>
      <c r="K32" s="132" t="s">
        <v>46</v>
      </c>
      <c r="L32" s="132" t="s">
        <v>1263</v>
      </c>
      <c r="M32" s="132" t="s">
        <v>109</v>
      </c>
      <c r="N32" s="132" t="s">
        <v>60</v>
      </c>
      <c r="O32" s="132" t="s">
        <v>234</v>
      </c>
      <c r="P32" s="132" t="s">
        <v>88</v>
      </c>
      <c r="Q32" s="132" t="s">
        <v>174</v>
      </c>
      <c r="R32" s="133">
        <v>1</v>
      </c>
    </row>
    <row r="33" spans="1:18" x14ac:dyDescent="0.3">
      <c r="A33" s="132"/>
      <c r="B33" s="132"/>
      <c r="C33" s="132"/>
      <c r="D33" s="132"/>
      <c r="E33" s="132"/>
      <c r="F33" s="132"/>
      <c r="G33" s="132" t="s">
        <v>1560</v>
      </c>
      <c r="H33" s="132" t="s">
        <v>1405</v>
      </c>
      <c r="I33" s="132" t="s">
        <v>1560</v>
      </c>
      <c r="J33" s="132" t="s">
        <v>29</v>
      </c>
      <c r="K33" s="132" t="s">
        <v>48</v>
      </c>
      <c r="L33" s="132" t="s">
        <v>1966</v>
      </c>
      <c r="M33" s="132" t="s">
        <v>109</v>
      </c>
      <c r="N33" s="132" t="s">
        <v>71</v>
      </c>
      <c r="O33" s="132" t="s">
        <v>79</v>
      </c>
      <c r="P33" s="132" t="s">
        <v>88</v>
      </c>
      <c r="Q33" s="132" t="s">
        <v>175</v>
      </c>
      <c r="R33" s="133">
        <v>1</v>
      </c>
    </row>
    <row r="34" spans="1:18" x14ac:dyDescent="0.3">
      <c r="A34" s="132"/>
      <c r="B34" s="132"/>
      <c r="C34" s="132"/>
      <c r="D34" s="132" t="s">
        <v>331</v>
      </c>
      <c r="E34" s="132" t="s">
        <v>332</v>
      </c>
      <c r="F34" s="132" t="s">
        <v>33</v>
      </c>
      <c r="G34" s="132" t="s">
        <v>1560</v>
      </c>
      <c r="H34" s="132" t="s">
        <v>1680</v>
      </c>
      <c r="I34" s="132" t="s">
        <v>1679</v>
      </c>
      <c r="J34" s="132" t="s">
        <v>29</v>
      </c>
      <c r="K34" s="132" t="s">
        <v>47</v>
      </c>
      <c r="L34" s="132" t="s">
        <v>1560</v>
      </c>
      <c r="M34" s="132" t="s">
        <v>109</v>
      </c>
      <c r="N34" s="132" t="s">
        <v>71</v>
      </c>
      <c r="O34" s="132" t="s">
        <v>79</v>
      </c>
      <c r="P34" s="132" t="s">
        <v>88</v>
      </c>
      <c r="Q34" s="132" t="s">
        <v>175</v>
      </c>
      <c r="R34" s="133">
        <v>1</v>
      </c>
    </row>
    <row r="35" spans="1:18" x14ac:dyDescent="0.3">
      <c r="A35" s="132"/>
      <c r="B35" s="132"/>
      <c r="C35" s="132"/>
      <c r="D35" s="132" t="s">
        <v>982</v>
      </c>
      <c r="E35" s="132" t="s">
        <v>727</v>
      </c>
      <c r="F35" s="132" t="s">
        <v>33</v>
      </c>
      <c r="G35" s="132" t="s">
        <v>1560</v>
      </c>
      <c r="H35" s="132" t="s">
        <v>1408</v>
      </c>
      <c r="I35" s="132" t="s">
        <v>1661</v>
      </c>
      <c r="J35" s="132" t="s">
        <v>29</v>
      </c>
      <c r="K35" s="132" t="s">
        <v>46</v>
      </c>
      <c r="L35" s="132" t="s">
        <v>1660</v>
      </c>
      <c r="M35" s="132" t="s">
        <v>109</v>
      </c>
      <c r="N35" s="132" t="s">
        <v>60</v>
      </c>
      <c r="O35" s="132" t="s">
        <v>234</v>
      </c>
      <c r="P35" s="132" t="s">
        <v>88</v>
      </c>
      <c r="Q35" s="132" t="s">
        <v>174</v>
      </c>
      <c r="R35" s="133">
        <v>1</v>
      </c>
    </row>
    <row r="36" spans="1:18" x14ac:dyDescent="0.3">
      <c r="A36" s="132"/>
      <c r="B36" s="132"/>
      <c r="C36" s="132"/>
      <c r="D36" s="132" t="s">
        <v>1816</v>
      </c>
      <c r="E36" s="132" t="s">
        <v>727</v>
      </c>
      <c r="F36" s="132" t="s">
        <v>33</v>
      </c>
      <c r="G36" s="132" t="s">
        <v>1560</v>
      </c>
      <c r="H36" s="132" t="s">
        <v>1875</v>
      </c>
      <c r="I36" s="132" t="s">
        <v>1819</v>
      </c>
      <c r="J36" s="132" t="s">
        <v>29</v>
      </c>
      <c r="K36" s="132" t="s">
        <v>46</v>
      </c>
      <c r="L36" s="132" t="s">
        <v>197</v>
      </c>
      <c r="M36" s="132" t="s">
        <v>109</v>
      </c>
      <c r="N36" s="132" t="s">
        <v>60</v>
      </c>
      <c r="O36" s="132" t="s">
        <v>234</v>
      </c>
      <c r="P36" s="132" t="s">
        <v>88</v>
      </c>
      <c r="Q36" s="132" t="s">
        <v>1560</v>
      </c>
      <c r="R36" s="133">
        <v>1</v>
      </c>
    </row>
    <row r="37" spans="1:18" x14ac:dyDescent="0.3">
      <c r="A37" s="132"/>
      <c r="B37" s="132"/>
      <c r="C37" s="132"/>
      <c r="D37" s="132" t="s">
        <v>726</v>
      </c>
      <c r="E37" s="132" t="s">
        <v>727</v>
      </c>
      <c r="F37" s="132" t="s">
        <v>33</v>
      </c>
      <c r="G37" s="132" t="s">
        <v>1251</v>
      </c>
      <c r="H37" s="132" t="s">
        <v>1407</v>
      </c>
      <c r="I37" s="132" t="s">
        <v>1490</v>
      </c>
      <c r="J37" s="132" t="s">
        <v>29</v>
      </c>
      <c r="K37" s="132" t="s">
        <v>46</v>
      </c>
      <c r="L37" s="132" t="s">
        <v>1249</v>
      </c>
      <c r="M37" s="132" t="s">
        <v>109</v>
      </c>
      <c r="N37" s="132" t="s">
        <v>60</v>
      </c>
      <c r="O37" s="132" t="s">
        <v>234</v>
      </c>
      <c r="P37" s="132" t="s">
        <v>88</v>
      </c>
      <c r="Q37" s="132" t="s">
        <v>174</v>
      </c>
      <c r="R37" s="133">
        <v>1</v>
      </c>
    </row>
    <row r="38" spans="1:18" x14ac:dyDescent="0.3">
      <c r="A38" s="132"/>
      <c r="B38" s="132"/>
      <c r="C38" s="132"/>
      <c r="D38" s="132" t="s">
        <v>318</v>
      </c>
      <c r="E38" s="132" t="s">
        <v>319</v>
      </c>
      <c r="F38" s="132" t="s">
        <v>33</v>
      </c>
      <c r="G38" s="132" t="s">
        <v>1335</v>
      </c>
      <c r="H38" s="132" t="s">
        <v>1560</v>
      </c>
      <c r="I38" s="132" t="s">
        <v>1457</v>
      </c>
      <c r="J38" s="132" t="s">
        <v>29</v>
      </c>
      <c r="K38" s="132" t="s">
        <v>46</v>
      </c>
      <c r="L38" s="132" t="s">
        <v>1336</v>
      </c>
      <c r="M38" s="132" t="s">
        <v>109</v>
      </c>
      <c r="N38" s="132" t="s">
        <v>73</v>
      </c>
      <c r="O38" s="132" t="s">
        <v>78</v>
      </c>
      <c r="P38" s="132" t="s">
        <v>88</v>
      </c>
      <c r="Q38" s="132" t="s">
        <v>174</v>
      </c>
      <c r="R38" s="133">
        <v>1</v>
      </c>
    </row>
    <row r="39" spans="1:18" x14ac:dyDescent="0.3">
      <c r="A39" s="132"/>
      <c r="B39" s="132"/>
      <c r="C39" s="132"/>
      <c r="D39" s="132" t="s">
        <v>766</v>
      </c>
      <c r="E39" s="132" t="s">
        <v>767</v>
      </c>
      <c r="F39" s="132" t="s">
        <v>33</v>
      </c>
      <c r="G39" s="132" t="s">
        <v>1498</v>
      </c>
      <c r="H39" s="132" t="s">
        <v>1560</v>
      </c>
      <c r="I39" s="132" t="s">
        <v>1559</v>
      </c>
      <c r="J39" s="132" t="s">
        <v>29</v>
      </c>
      <c r="K39" s="132" t="s">
        <v>46</v>
      </c>
      <c r="L39" s="132" t="s">
        <v>1496</v>
      </c>
      <c r="M39" s="132" t="s">
        <v>109</v>
      </c>
      <c r="N39" s="132" t="s">
        <v>73</v>
      </c>
      <c r="O39" s="132" t="s">
        <v>78</v>
      </c>
      <c r="P39" s="132" t="s">
        <v>88</v>
      </c>
      <c r="Q39" s="132" t="s">
        <v>174</v>
      </c>
      <c r="R39" s="133">
        <v>1</v>
      </c>
    </row>
    <row r="40" spans="1:18" x14ac:dyDescent="0.3">
      <c r="A40" s="132"/>
      <c r="B40" s="132"/>
      <c r="C40" s="132"/>
      <c r="D40" s="132" t="s">
        <v>1739</v>
      </c>
      <c r="E40" s="132" t="s">
        <v>1738</v>
      </c>
      <c r="F40" s="132" t="s">
        <v>33</v>
      </c>
      <c r="G40" s="132" t="s">
        <v>1737</v>
      </c>
      <c r="H40" s="132" t="s">
        <v>1737</v>
      </c>
      <c r="I40" s="132" t="s">
        <v>1730</v>
      </c>
      <c r="J40" s="132" t="s">
        <v>29</v>
      </c>
      <c r="K40" s="132" t="s">
        <v>46</v>
      </c>
      <c r="L40" s="132" t="s">
        <v>1217</v>
      </c>
      <c r="M40" s="132" t="s">
        <v>109</v>
      </c>
      <c r="N40" s="132" t="s">
        <v>58</v>
      </c>
      <c r="O40" s="132" t="s">
        <v>77</v>
      </c>
      <c r="P40" s="132" t="s">
        <v>1210</v>
      </c>
      <c r="Q40" s="132" t="s">
        <v>174</v>
      </c>
      <c r="R40" s="133">
        <v>1</v>
      </c>
    </row>
    <row r="41" spans="1:18" x14ac:dyDescent="0.3">
      <c r="A41" s="132"/>
      <c r="B41" s="132"/>
      <c r="C41" s="132"/>
      <c r="D41" s="132" t="s">
        <v>1982</v>
      </c>
      <c r="E41" s="132" t="s">
        <v>1981</v>
      </c>
      <c r="F41" s="132" t="s">
        <v>33</v>
      </c>
      <c r="G41" s="132" t="s">
        <v>1560</v>
      </c>
      <c r="H41" s="132" t="s">
        <v>1979</v>
      </c>
      <c r="I41" s="132" t="s">
        <v>1980</v>
      </c>
      <c r="J41" s="132" t="s">
        <v>29</v>
      </c>
      <c r="K41" s="132" t="s">
        <v>47</v>
      </c>
      <c r="L41" s="132" t="s">
        <v>188</v>
      </c>
      <c r="M41" s="132" t="s">
        <v>109</v>
      </c>
      <c r="N41" s="132" t="s">
        <v>71</v>
      </c>
      <c r="O41" s="132" t="s">
        <v>234</v>
      </c>
      <c r="P41" s="132" t="s">
        <v>88</v>
      </c>
      <c r="Q41" s="132" t="s">
        <v>175</v>
      </c>
      <c r="R41" s="133">
        <v>1</v>
      </c>
    </row>
    <row r="42" spans="1:18" x14ac:dyDescent="0.3">
      <c r="A42" s="132"/>
      <c r="B42" s="132"/>
      <c r="C42" s="132"/>
      <c r="D42" s="132" t="s">
        <v>962</v>
      </c>
      <c r="E42" s="132" t="s">
        <v>963</v>
      </c>
      <c r="F42" s="132" t="s">
        <v>33</v>
      </c>
      <c r="G42" s="132" t="s">
        <v>1214</v>
      </c>
      <c r="H42" s="132" t="s">
        <v>1406</v>
      </c>
      <c r="I42" s="132" t="s">
        <v>1546</v>
      </c>
      <c r="J42" s="132" t="s">
        <v>29</v>
      </c>
      <c r="K42" s="132" t="s">
        <v>46</v>
      </c>
      <c r="L42" s="132" t="s">
        <v>1208</v>
      </c>
      <c r="M42" s="132" t="s">
        <v>109</v>
      </c>
      <c r="N42" s="132" t="s">
        <v>60</v>
      </c>
      <c r="O42" s="132" t="s">
        <v>234</v>
      </c>
      <c r="P42" s="132" t="s">
        <v>88</v>
      </c>
      <c r="Q42" s="132" t="s">
        <v>175</v>
      </c>
      <c r="R42" s="133">
        <v>1</v>
      </c>
    </row>
    <row r="43" spans="1:18" x14ac:dyDescent="0.3">
      <c r="A43" s="132"/>
      <c r="B43" s="132"/>
      <c r="C43" s="132" t="s">
        <v>247</v>
      </c>
      <c r="D43" s="132" t="s">
        <v>244</v>
      </c>
      <c r="E43" s="132" t="s">
        <v>246</v>
      </c>
      <c r="F43" s="132" t="s">
        <v>34</v>
      </c>
      <c r="G43" s="132" t="s">
        <v>1560</v>
      </c>
      <c r="H43" s="132" t="s">
        <v>1560</v>
      </c>
      <c r="I43" s="132" t="s">
        <v>1560</v>
      </c>
      <c r="J43" s="132" t="s">
        <v>29</v>
      </c>
      <c r="K43" s="132" t="s">
        <v>47</v>
      </c>
      <c r="L43" s="132" t="s">
        <v>1560</v>
      </c>
      <c r="M43" s="132" t="s">
        <v>109</v>
      </c>
      <c r="N43" s="132" t="s">
        <v>63</v>
      </c>
      <c r="O43" s="132" t="s">
        <v>77</v>
      </c>
      <c r="P43" s="132" t="s">
        <v>88</v>
      </c>
      <c r="Q43" s="132" t="s">
        <v>175</v>
      </c>
      <c r="R43" s="133">
        <v>1</v>
      </c>
    </row>
    <row r="44" spans="1:18" x14ac:dyDescent="0.3">
      <c r="A44" s="132"/>
      <c r="B44" s="132" t="s">
        <v>1366</v>
      </c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3">
        <v>15</v>
      </c>
    </row>
    <row r="45" spans="1:18" x14ac:dyDescent="0.3">
      <c r="A45" s="132"/>
      <c r="B45" s="132" t="s">
        <v>302</v>
      </c>
      <c r="C45" s="132" t="s">
        <v>302</v>
      </c>
      <c r="D45" s="132" t="s">
        <v>374</v>
      </c>
      <c r="E45" s="132" t="s">
        <v>375</v>
      </c>
      <c r="F45" s="132" t="s">
        <v>33</v>
      </c>
      <c r="G45" s="132" t="s">
        <v>1348</v>
      </c>
      <c r="H45" s="132" t="s">
        <v>1560</v>
      </c>
      <c r="I45" s="132" t="s">
        <v>1560</v>
      </c>
      <c r="J45" s="132" t="s">
        <v>29</v>
      </c>
      <c r="K45" s="132" t="s">
        <v>46</v>
      </c>
      <c r="L45" s="132" t="s">
        <v>1346</v>
      </c>
      <c r="M45" s="132" t="s">
        <v>109</v>
      </c>
      <c r="N45" s="132" t="s">
        <v>60</v>
      </c>
      <c r="O45" s="132" t="s">
        <v>234</v>
      </c>
      <c r="P45" s="132" t="s">
        <v>88</v>
      </c>
      <c r="Q45" s="132" t="s">
        <v>174</v>
      </c>
      <c r="R45" s="133">
        <v>1</v>
      </c>
    </row>
    <row r="46" spans="1:18" x14ac:dyDescent="0.3">
      <c r="A46" s="132"/>
      <c r="B46" s="132"/>
      <c r="C46" s="132"/>
      <c r="D46" s="132" t="s">
        <v>1305</v>
      </c>
      <c r="E46" s="132" t="s">
        <v>340</v>
      </c>
      <c r="F46" s="132" t="s">
        <v>33</v>
      </c>
      <c r="G46" s="132" t="s">
        <v>1560</v>
      </c>
      <c r="H46" s="132" t="s">
        <v>1977</v>
      </c>
      <c r="I46" s="132" t="s">
        <v>1978</v>
      </c>
      <c r="J46" s="132" t="s">
        <v>29</v>
      </c>
      <c r="K46" s="132" t="s">
        <v>46</v>
      </c>
      <c r="L46" s="132" t="s">
        <v>1303</v>
      </c>
      <c r="M46" s="132" t="s">
        <v>109</v>
      </c>
      <c r="N46" s="132" t="s">
        <v>58</v>
      </c>
      <c r="O46" s="132" t="s">
        <v>77</v>
      </c>
      <c r="P46" s="132" t="s">
        <v>88</v>
      </c>
      <c r="Q46" s="132" t="s">
        <v>174</v>
      </c>
      <c r="R46" s="133">
        <v>1</v>
      </c>
    </row>
    <row r="47" spans="1:18" x14ac:dyDescent="0.3">
      <c r="A47" s="132"/>
      <c r="B47" s="132"/>
      <c r="C47" s="132"/>
      <c r="D47" s="132" t="s">
        <v>302</v>
      </c>
      <c r="E47" s="132" t="s">
        <v>340</v>
      </c>
      <c r="F47" s="132" t="s">
        <v>33</v>
      </c>
      <c r="G47" s="132" t="s">
        <v>1560</v>
      </c>
      <c r="H47" s="132" t="s">
        <v>1469</v>
      </c>
      <c r="I47" s="132" t="s">
        <v>1482</v>
      </c>
      <c r="J47" s="132" t="s">
        <v>29</v>
      </c>
      <c r="K47" s="132" t="s">
        <v>46</v>
      </c>
      <c r="L47" s="132" t="s">
        <v>202</v>
      </c>
      <c r="M47" s="132" t="s">
        <v>109</v>
      </c>
      <c r="N47" s="132" t="s">
        <v>60</v>
      </c>
      <c r="O47" s="132" t="s">
        <v>234</v>
      </c>
      <c r="P47" s="132" t="s">
        <v>88</v>
      </c>
      <c r="Q47" s="132" t="s">
        <v>1560</v>
      </c>
      <c r="R47" s="133">
        <v>1</v>
      </c>
    </row>
    <row r="48" spans="1:18" x14ac:dyDescent="0.3">
      <c r="A48" s="132"/>
      <c r="B48" s="132"/>
      <c r="C48" s="132" t="s">
        <v>700</v>
      </c>
      <c r="D48" s="132" t="s">
        <v>698</v>
      </c>
      <c r="E48" s="132" t="s">
        <v>699</v>
      </c>
      <c r="F48" s="132" t="s">
        <v>33</v>
      </c>
      <c r="G48" s="132" t="s">
        <v>1789</v>
      </c>
      <c r="H48" s="132" t="s">
        <v>1395</v>
      </c>
      <c r="I48" s="132" t="s">
        <v>1447</v>
      </c>
      <c r="J48" s="132" t="s">
        <v>29</v>
      </c>
      <c r="K48" s="132" t="s">
        <v>46</v>
      </c>
      <c r="L48" s="132" t="s">
        <v>1663</v>
      </c>
      <c r="M48" s="132" t="s">
        <v>109</v>
      </c>
      <c r="N48" s="132" t="s">
        <v>59</v>
      </c>
      <c r="O48" s="132" t="s">
        <v>234</v>
      </c>
      <c r="P48" s="132" t="s">
        <v>88</v>
      </c>
      <c r="Q48" s="132" t="s">
        <v>175</v>
      </c>
      <c r="R48" s="133">
        <v>1</v>
      </c>
    </row>
    <row r="49" spans="1:18" x14ac:dyDescent="0.3">
      <c r="A49" s="132"/>
      <c r="B49" s="132" t="s">
        <v>1367</v>
      </c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3">
        <v>4</v>
      </c>
    </row>
    <row r="50" spans="1:18" x14ac:dyDescent="0.3">
      <c r="A50" s="132"/>
      <c r="B50" s="132" t="s">
        <v>253</v>
      </c>
      <c r="C50" s="132" t="s">
        <v>252</v>
      </c>
      <c r="D50" s="132" t="s">
        <v>1924</v>
      </c>
      <c r="E50" s="132" t="s">
        <v>1925</v>
      </c>
      <c r="F50" s="132" t="s">
        <v>33</v>
      </c>
      <c r="G50" s="132" t="s">
        <v>1271</v>
      </c>
      <c r="H50" s="132" t="s">
        <v>1527</v>
      </c>
      <c r="I50" s="132" t="s">
        <v>1528</v>
      </c>
      <c r="J50" s="132" t="s">
        <v>29</v>
      </c>
      <c r="K50" s="132" t="s">
        <v>46</v>
      </c>
      <c r="L50" s="132" t="s">
        <v>1269</v>
      </c>
      <c r="M50" s="132" t="s">
        <v>109</v>
      </c>
      <c r="N50" s="132" t="s">
        <v>60</v>
      </c>
      <c r="O50" s="132" t="s">
        <v>234</v>
      </c>
      <c r="P50" s="132" t="s">
        <v>88</v>
      </c>
      <c r="Q50" s="132" t="s">
        <v>175</v>
      </c>
      <c r="R50" s="133">
        <v>1</v>
      </c>
    </row>
    <row r="51" spans="1:18" x14ac:dyDescent="0.3">
      <c r="A51" s="132"/>
      <c r="B51" s="132"/>
      <c r="C51" s="132"/>
      <c r="D51" s="132"/>
      <c r="E51" s="132"/>
      <c r="F51" s="132"/>
      <c r="G51" s="132" t="s">
        <v>1525</v>
      </c>
      <c r="H51" s="132" t="s">
        <v>1560</v>
      </c>
      <c r="I51" s="132" t="s">
        <v>1524</v>
      </c>
      <c r="J51" s="132" t="s">
        <v>29</v>
      </c>
      <c r="K51" s="132" t="s">
        <v>46</v>
      </c>
      <c r="L51" s="132" t="s">
        <v>1522</v>
      </c>
      <c r="M51" s="132" t="s">
        <v>109</v>
      </c>
      <c r="N51" s="132" t="s">
        <v>60</v>
      </c>
      <c r="O51" s="132" t="s">
        <v>234</v>
      </c>
      <c r="P51" s="132" t="s">
        <v>88</v>
      </c>
      <c r="Q51" s="132" t="s">
        <v>175</v>
      </c>
      <c r="R51" s="133">
        <v>1</v>
      </c>
    </row>
    <row r="52" spans="1:18" x14ac:dyDescent="0.3">
      <c r="A52" s="132"/>
      <c r="B52" s="132"/>
      <c r="C52" s="132" t="s">
        <v>297</v>
      </c>
      <c r="D52" s="132" t="s">
        <v>504</v>
      </c>
      <c r="E52" s="132" t="s">
        <v>468</v>
      </c>
      <c r="F52" s="132" t="s">
        <v>33</v>
      </c>
      <c r="G52" s="132" t="s">
        <v>1285</v>
      </c>
      <c r="H52" s="132" t="s">
        <v>1594</v>
      </c>
      <c r="I52" s="132" t="s">
        <v>1568</v>
      </c>
      <c r="J52" s="132" t="s">
        <v>29</v>
      </c>
      <c r="K52" s="132" t="s">
        <v>46</v>
      </c>
      <c r="L52" s="132" t="s">
        <v>1284</v>
      </c>
      <c r="M52" s="132" t="s">
        <v>109</v>
      </c>
      <c r="N52" s="132" t="s">
        <v>60</v>
      </c>
      <c r="O52" s="132" t="s">
        <v>234</v>
      </c>
      <c r="P52" s="132" t="s">
        <v>88</v>
      </c>
      <c r="Q52" s="132" t="s">
        <v>174</v>
      </c>
      <c r="R52" s="133">
        <v>1</v>
      </c>
    </row>
    <row r="53" spans="1:18" x14ac:dyDescent="0.3">
      <c r="A53" s="132"/>
      <c r="B53" s="132"/>
      <c r="C53" s="132"/>
      <c r="D53" s="132" t="s">
        <v>842</v>
      </c>
      <c r="E53" s="132" t="s">
        <v>843</v>
      </c>
      <c r="F53" s="132" t="s">
        <v>33</v>
      </c>
      <c r="G53" s="132" t="s">
        <v>1300</v>
      </c>
      <c r="H53" s="132" t="s">
        <v>1593</v>
      </c>
      <c r="I53" s="132" t="s">
        <v>1567</v>
      </c>
      <c r="J53" s="132" t="s">
        <v>29</v>
      </c>
      <c r="K53" s="132" t="s">
        <v>46</v>
      </c>
      <c r="L53" s="132" t="s">
        <v>1302</v>
      </c>
      <c r="M53" s="132" t="s">
        <v>109</v>
      </c>
      <c r="N53" s="132" t="s">
        <v>60</v>
      </c>
      <c r="O53" s="132" t="s">
        <v>234</v>
      </c>
      <c r="P53" s="132" t="s">
        <v>88</v>
      </c>
      <c r="Q53" s="132" t="s">
        <v>175</v>
      </c>
      <c r="R53" s="133">
        <v>1</v>
      </c>
    </row>
    <row r="54" spans="1:18" x14ac:dyDescent="0.3">
      <c r="A54" s="132"/>
      <c r="B54" s="132"/>
      <c r="C54" s="132"/>
      <c r="D54" s="132" t="s">
        <v>467</v>
      </c>
      <c r="E54" s="132" t="s">
        <v>468</v>
      </c>
      <c r="F54" s="132" t="s">
        <v>33</v>
      </c>
      <c r="G54" s="132" t="s">
        <v>1800</v>
      </c>
      <c r="H54" s="132" t="s">
        <v>1800</v>
      </c>
      <c r="I54" s="132" t="s">
        <v>1565</v>
      </c>
      <c r="J54" s="132" t="s">
        <v>29</v>
      </c>
      <c r="K54" s="132" t="s">
        <v>46</v>
      </c>
      <c r="L54" s="132" t="s">
        <v>1564</v>
      </c>
      <c r="M54" s="132" t="s">
        <v>109</v>
      </c>
      <c r="N54" s="132" t="s">
        <v>60</v>
      </c>
      <c r="O54" s="132" t="s">
        <v>77</v>
      </c>
      <c r="P54" s="132" t="s">
        <v>88</v>
      </c>
      <c r="Q54" s="132" t="s">
        <v>174</v>
      </c>
      <c r="R54" s="133">
        <v>1</v>
      </c>
    </row>
    <row r="55" spans="1:18" x14ac:dyDescent="0.3">
      <c r="A55" s="132"/>
      <c r="B55" s="132"/>
      <c r="C55" s="132" t="s">
        <v>278</v>
      </c>
      <c r="D55" s="132" t="s">
        <v>414</v>
      </c>
      <c r="E55" s="132" t="s">
        <v>415</v>
      </c>
      <c r="F55" s="132" t="s">
        <v>33</v>
      </c>
      <c r="G55" s="132" t="s">
        <v>1342</v>
      </c>
      <c r="H55" s="132" t="s">
        <v>1342</v>
      </c>
      <c r="I55" s="132" t="s">
        <v>1563</v>
      </c>
      <c r="J55" s="132" t="s">
        <v>29</v>
      </c>
      <c r="K55" s="132" t="s">
        <v>46</v>
      </c>
      <c r="L55" s="132" t="s">
        <v>1340</v>
      </c>
      <c r="M55" s="132" t="s">
        <v>109</v>
      </c>
      <c r="N55" s="132" t="s">
        <v>60</v>
      </c>
      <c r="O55" s="132" t="s">
        <v>77</v>
      </c>
      <c r="P55" s="132" t="s">
        <v>88</v>
      </c>
      <c r="Q55" s="132" t="s">
        <v>174</v>
      </c>
      <c r="R55" s="133">
        <v>1</v>
      </c>
    </row>
    <row r="56" spans="1:18" x14ac:dyDescent="0.3">
      <c r="A56" s="132"/>
      <c r="B56" s="132"/>
      <c r="C56" s="132"/>
      <c r="D56" s="132" t="s">
        <v>367</v>
      </c>
      <c r="E56" s="132" t="s">
        <v>368</v>
      </c>
      <c r="F56" s="132" t="s">
        <v>33</v>
      </c>
      <c r="G56" s="132" t="s">
        <v>1298</v>
      </c>
      <c r="H56" s="132" t="s">
        <v>1491</v>
      </c>
      <c r="I56" s="132" t="s">
        <v>1492</v>
      </c>
      <c r="J56" s="132" t="s">
        <v>29</v>
      </c>
      <c r="K56" s="132" t="s">
        <v>46</v>
      </c>
      <c r="L56" s="132" t="s">
        <v>1297</v>
      </c>
      <c r="M56" s="132" t="s">
        <v>109</v>
      </c>
      <c r="N56" s="132" t="s">
        <v>60</v>
      </c>
      <c r="O56" s="132" t="s">
        <v>234</v>
      </c>
      <c r="P56" s="132" t="s">
        <v>88</v>
      </c>
      <c r="Q56" s="132" t="s">
        <v>174</v>
      </c>
      <c r="R56" s="133">
        <v>1</v>
      </c>
    </row>
    <row r="57" spans="1:18" x14ac:dyDescent="0.3">
      <c r="A57" s="132"/>
      <c r="B57" s="132"/>
      <c r="C57" s="132" t="s">
        <v>315</v>
      </c>
      <c r="D57" s="132" t="s">
        <v>313</v>
      </c>
      <c r="E57" s="132" t="s">
        <v>314</v>
      </c>
      <c r="F57" s="132" t="s">
        <v>33</v>
      </c>
      <c r="G57" s="132" t="s">
        <v>1289</v>
      </c>
      <c r="H57" s="132" t="s">
        <v>1692</v>
      </c>
      <c r="I57" s="132" t="s">
        <v>1454</v>
      </c>
      <c r="J57" s="132" t="s">
        <v>29</v>
      </c>
      <c r="K57" s="132" t="s">
        <v>46</v>
      </c>
      <c r="L57" s="132" t="s">
        <v>1287</v>
      </c>
      <c r="M57" s="132" t="s">
        <v>109</v>
      </c>
      <c r="N57" s="132" t="s">
        <v>60</v>
      </c>
      <c r="O57" s="132" t="s">
        <v>234</v>
      </c>
      <c r="P57" s="132" t="s">
        <v>88</v>
      </c>
      <c r="Q57" s="132" t="s">
        <v>174</v>
      </c>
      <c r="R57" s="133">
        <v>1</v>
      </c>
    </row>
    <row r="58" spans="1:18" x14ac:dyDescent="0.3">
      <c r="A58" s="132"/>
      <c r="B58" s="132"/>
      <c r="C58" s="132" t="s">
        <v>501</v>
      </c>
      <c r="D58" s="132" t="s">
        <v>499</v>
      </c>
      <c r="E58" s="132" t="s">
        <v>500</v>
      </c>
      <c r="F58" s="132" t="s">
        <v>33</v>
      </c>
      <c r="G58" s="132" t="s">
        <v>1280</v>
      </c>
      <c r="H58" s="132" t="s">
        <v>1495</v>
      </c>
      <c r="I58" s="132" t="s">
        <v>1494</v>
      </c>
      <c r="J58" s="132" t="s">
        <v>29</v>
      </c>
      <c r="K58" s="132" t="s">
        <v>46</v>
      </c>
      <c r="L58" s="132" t="s">
        <v>1279</v>
      </c>
      <c r="M58" s="132" t="s">
        <v>109</v>
      </c>
      <c r="N58" s="132" t="s">
        <v>60</v>
      </c>
      <c r="O58" s="132" t="s">
        <v>234</v>
      </c>
      <c r="P58" s="132" t="s">
        <v>88</v>
      </c>
      <c r="Q58" s="132" t="s">
        <v>174</v>
      </c>
      <c r="R58" s="133">
        <v>1</v>
      </c>
    </row>
    <row r="59" spans="1:18" x14ac:dyDescent="0.3">
      <c r="A59" s="132"/>
      <c r="B59" s="132"/>
      <c r="C59" s="132"/>
      <c r="D59" s="132" t="s">
        <v>510</v>
      </c>
      <c r="E59" s="132" t="s">
        <v>511</v>
      </c>
      <c r="F59" s="132" t="s">
        <v>33</v>
      </c>
      <c r="G59" s="132" t="s">
        <v>1333</v>
      </c>
      <c r="H59" s="132" t="s">
        <v>1635</v>
      </c>
      <c r="I59" s="132" t="s">
        <v>1636</v>
      </c>
      <c r="J59" s="132" t="s">
        <v>29</v>
      </c>
      <c r="K59" s="132" t="s">
        <v>46</v>
      </c>
      <c r="L59" s="132" t="s">
        <v>1332</v>
      </c>
      <c r="M59" s="132" t="s">
        <v>109</v>
      </c>
      <c r="N59" s="132" t="s">
        <v>60</v>
      </c>
      <c r="O59" s="132" t="s">
        <v>234</v>
      </c>
      <c r="P59" s="132" t="s">
        <v>88</v>
      </c>
      <c r="Q59" s="132" t="s">
        <v>174</v>
      </c>
      <c r="R59" s="133">
        <v>1</v>
      </c>
    </row>
    <row r="60" spans="1:18" x14ac:dyDescent="0.3">
      <c r="A60" s="132"/>
      <c r="B60" s="132"/>
      <c r="C60" s="132"/>
      <c r="D60" s="132" t="s">
        <v>1651</v>
      </c>
      <c r="E60" s="132" t="s">
        <v>525</v>
      </c>
      <c r="F60" s="132" t="s">
        <v>33</v>
      </c>
      <c r="G60" s="132" t="s">
        <v>1560</v>
      </c>
      <c r="H60" s="132" t="s">
        <v>1424</v>
      </c>
      <c r="I60" s="132" t="s">
        <v>1444</v>
      </c>
      <c r="J60" s="132" t="s">
        <v>29</v>
      </c>
      <c r="K60" s="132" t="s">
        <v>47</v>
      </c>
      <c r="L60" s="132" t="s">
        <v>223</v>
      </c>
      <c r="M60" s="132" t="s">
        <v>109</v>
      </c>
      <c r="N60" s="132" t="s">
        <v>73</v>
      </c>
      <c r="O60" s="132" t="s">
        <v>79</v>
      </c>
      <c r="P60" s="132" t="s">
        <v>88</v>
      </c>
      <c r="Q60" s="132" t="s">
        <v>174</v>
      </c>
      <c r="R60" s="133">
        <v>1</v>
      </c>
    </row>
    <row r="61" spans="1:18" x14ac:dyDescent="0.3">
      <c r="A61" s="132"/>
      <c r="B61" s="132"/>
      <c r="C61" s="132"/>
      <c r="D61" s="132" t="s">
        <v>1648</v>
      </c>
      <c r="E61" s="132" t="s">
        <v>525</v>
      </c>
      <c r="F61" s="132" t="s">
        <v>33</v>
      </c>
      <c r="G61" s="132" t="s">
        <v>1560</v>
      </c>
      <c r="H61" s="132" t="s">
        <v>1521</v>
      </c>
      <c r="I61" s="132" t="s">
        <v>1520</v>
      </c>
      <c r="J61" s="132" t="s">
        <v>29</v>
      </c>
      <c r="K61" s="132" t="s">
        <v>47</v>
      </c>
      <c r="L61" s="132" t="s">
        <v>190</v>
      </c>
      <c r="M61" s="132" t="s">
        <v>109</v>
      </c>
      <c r="N61" s="132" t="s">
        <v>73</v>
      </c>
      <c r="O61" s="132" t="s">
        <v>79</v>
      </c>
      <c r="P61" s="132" t="s">
        <v>88</v>
      </c>
      <c r="Q61" s="132" t="s">
        <v>174</v>
      </c>
      <c r="R61" s="133">
        <v>1</v>
      </c>
    </row>
    <row r="62" spans="1:18" x14ac:dyDescent="0.3">
      <c r="A62" s="132"/>
      <c r="B62" s="132"/>
      <c r="C62" s="132"/>
      <c r="D62" s="132" t="s">
        <v>1649</v>
      </c>
      <c r="E62" s="132" t="s">
        <v>525</v>
      </c>
      <c r="F62" s="132" t="s">
        <v>33</v>
      </c>
      <c r="G62" s="132" t="s">
        <v>1324</v>
      </c>
      <c r="H62" s="132" t="s">
        <v>1560</v>
      </c>
      <c r="I62" s="132" t="s">
        <v>1657</v>
      </c>
      <c r="J62" s="132" t="s">
        <v>29</v>
      </c>
      <c r="K62" s="132" t="s">
        <v>46</v>
      </c>
      <c r="L62" s="132" t="s">
        <v>1325</v>
      </c>
      <c r="M62" s="132" t="s">
        <v>109</v>
      </c>
      <c r="N62" s="132" t="s">
        <v>73</v>
      </c>
      <c r="O62" s="132" t="s">
        <v>78</v>
      </c>
      <c r="P62" s="132" t="s">
        <v>88</v>
      </c>
      <c r="Q62" s="132" t="s">
        <v>174</v>
      </c>
      <c r="R62" s="133">
        <v>1</v>
      </c>
    </row>
    <row r="63" spans="1:18" x14ac:dyDescent="0.3">
      <c r="A63" s="132"/>
      <c r="B63" s="132"/>
      <c r="C63" s="132"/>
      <c r="D63" s="132" t="s">
        <v>1650</v>
      </c>
      <c r="E63" s="132" t="s">
        <v>525</v>
      </c>
      <c r="F63" s="132" t="s">
        <v>33</v>
      </c>
      <c r="G63" s="132" t="s">
        <v>1245</v>
      </c>
      <c r="H63" s="132" t="s">
        <v>1794</v>
      </c>
      <c r="I63" s="132" t="s">
        <v>1793</v>
      </c>
      <c r="J63" s="132" t="s">
        <v>29</v>
      </c>
      <c r="K63" s="132" t="s">
        <v>47</v>
      </c>
      <c r="L63" s="132" t="s">
        <v>219</v>
      </c>
      <c r="M63" s="132" t="s">
        <v>109</v>
      </c>
      <c r="N63" s="132" t="s">
        <v>73</v>
      </c>
      <c r="O63" s="132" t="s">
        <v>79</v>
      </c>
      <c r="P63" s="132" t="s">
        <v>88</v>
      </c>
      <c r="Q63" s="132" t="s">
        <v>174</v>
      </c>
      <c r="R63" s="133">
        <v>1</v>
      </c>
    </row>
    <row r="64" spans="1:18" x14ac:dyDescent="0.3">
      <c r="A64" s="132"/>
      <c r="B64" s="132"/>
      <c r="C64" s="132"/>
      <c r="D64" s="132" t="s">
        <v>957</v>
      </c>
      <c r="E64" s="132" t="s">
        <v>958</v>
      </c>
      <c r="F64" s="132" t="s">
        <v>33</v>
      </c>
      <c r="G64" s="132" t="s">
        <v>1560</v>
      </c>
      <c r="H64" s="132" t="s">
        <v>1377</v>
      </c>
      <c r="I64" s="132" t="s">
        <v>1503</v>
      </c>
      <c r="J64" s="132" t="s">
        <v>29</v>
      </c>
      <c r="K64" s="132" t="s">
        <v>48</v>
      </c>
      <c r="L64" s="132" t="s">
        <v>1716</v>
      </c>
      <c r="M64" s="132" t="s">
        <v>109</v>
      </c>
      <c r="N64" s="132" t="s">
        <v>60</v>
      </c>
      <c r="O64" s="132" t="s">
        <v>234</v>
      </c>
      <c r="P64" s="132" t="s">
        <v>88</v>
      </c>
      <c r="Q64" s="132" t="s">
        <v>174</v>
      </c>
      <c r="R64" s="133">
        <v>1</v>
      </c>
    </row>
    <row r="65" spans="1:18" x14ac:dyDescent="0.3">
      <c r="A65" s="132"/>
      <c r="B65" s="132"/>
      <c r="C65" s="132"/>
      <c r="D65" s="132" t="s">
        <v>574</v>
      </c>
      <c r="E65" s="132" t="s">
        <v>575</v>
      </c>
      <c r="F65" s="132" t="s">
        <v>33</v>
      </c>
      <c r="G65" s="132" t="s">
        <v>1656</v>
      </c>
      <c r="H65" s="132" t="s">
        <v>1560</v>
      </c>
      <c r="I65" s="132" t="s">
        <v>1655</v>
      </c>
      <c r="J65" s="132" t="s">
        <v>29</v>
      </c>
      <c r="K65" s="132" t="s">
        <v>46</v>
      </c>
      <c r="L65" s="132" t="s">
        <v>1654</v>
      </c>
      <c r="M65" s="132" t="s">
        <v>109</v>
      </c>
      <c r="N65" s="132" t="s">
        <v>60</v>
      </c>
      <c r="O65" s="132" t="s">
        <v>234</v>
      </c>
      <c r="P65" s="132" t="s">
        <v>88</v>
      </c>
      <c r="Q65" s="132" t="s">
        <v>174</v>
      </c>
      <c r="R65" s="133">
        <v>1</v>
      </c>
    </row>
    <row r="66" spans="1:18" x14ac:dyDescent="0.3">
      <c r="A66" s="132"/>
      <c r="B66" s="132"/>
      <c r="C66" s="132"/>
      <c r="D66" s="132" t="s">
        <v>933</v>
      </c>
      <c r="E66" s="132" t="s">
        <v>525</v>
      </c>
      <c r="F66" s="132" t="s">
        <v>33</v>
      </c>
      <c r="G66" s="132" t="s">
        <v>1560</v>
      </c>
      <c r="H66" s="132" t="s">
        <v>1652</v>
      </c>
      <c r="I66" s="132" t="s">
        <v>1653</v>
      </c>
      <c r="J66" s="132" t="s">
        <v>29</v>
      </c>
      <c r="K66" s="132" t="s">
        <v>46</v>
      </c>
      <c r="L66" s="132" t="s">
        <v>1646</v>
      </c>
      <c r="M66" s="132" t="s">
        <v>109</v>
      </c>
      <c r="N66" s="132" t="s">
        <v>60</v>
      </c>
      <c r="O66" s="132" t="s">
        <v>234</v>
      </c>
      <c r="P66" s="132" t="s">
        <v>88</v>
      </c>
      <c r="Q66" s="132" t="s">
        <v>174</v>
      </c>
      <c r="R66" s="133">
        <v>1</v>
      </c>
    </row>
    <row r="67" spans="1:18" x14ac:dyDescent="0.3">
      <c r="A67" s="132"/>
      <c r="B67" s="132" t="s">
        <v>1368</v>
      </c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3">
        <v>17</v>
      </c>
    </row>
    <row r="68" spans="1:18" x14ac:dyDescent="0.3">
      <c r="A68" s="132"/>
      <c r="B68" s="132" t="s">
        <v>396</v>
      </c>
      <c r="C68" s="132" t="s">
        <v>396</v>
      </c>
      <c r="D68" s="132" t="s">
        <v>577</v>
      </c>
      <c r="E68" s="132" t="s">
        <v>578</v>
      </c>
      <c r="F68" s="132" t="s">
        <v>33</v>
      </c>
      <c r="G68" s="132" t="s">
        <v>1329</v>
      </c>
      <c r="H68" s="132" t="s">
        <v>1329</v>
      </c>
      <c r="I68" s="132" t="s">
        <v>1516</v>
      </c>
      <c r="J68" s="132" t="s">
        <v>29</v>
      </c>
      <c r="K68" s="132" t="s">
        <v>48</v>
      </c>
      <c r="L68" s="132" t="s">
        <v>1330</v>
      </c>
      <c r="M68" s="132" t="s">
        <v>109</v>
      </c>
      <c r="N68" s="132" t="s">
        <v>62</v>
      </c>
      <c r="O68" s="132" t="s">
        <v>78</v>
      </c>
      <c r="P68" s="132" t="s">
        <v>88</v>
      </c>
      <c r="Q68" s="132" t="s">
        <v>174</v>
      </c>
      <c r="R68" s="133">
        <v>1</v>
      </c>
    </row>
    <row r="69" spans="1:18" x14ac:dyDescent="0.3">
      <c r="A69" s="132"/>
      <c r="B69" s="132" t="s">
        <v>1531</v>
      </c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3">
        <v>1</v>
      </c>
    </row>
    <row r="70" spans="1:18" x14ac:dyDescent="0.3">
      <c r="A70" s="132"/>
      <c r="B70" s="132" t="s">
        <v>282</v>
      </c>
      <c r="C70" s="132" t="s">
        <v>282</v>
      </c>
      <c r="D70" s="132" t="s">
        <v>588</v>
      </c>
      <c r="E70" s="132" t="s">
        <v>281</v>
      </c>
      <c r="F70" s="132" t="s">
        <v>33</v>
      </c>
      <c r="G70" s="132" t="s">
        <v>1560</v>
      </c>
      <c r="H70" s="132" t="s">
        <v>1560</v>
      </c>
      <c r="I70" s="132" t="s">
        <v>1560</v>
      </c>
      <c r="J70" s="132" t="s">
        <v>29</v>
      </c>
      <c r="K70" s="132" t="s">
        <v>48</v>
      </c>
      <c r="L70" s="132" t="s">
        <v>1645</v>
      </c>
      <c r="M70" s="132" t="s">
        <v>109</v>
      </c>
      <c r="N70" s="132" t="s">
        <v>58</v>
      </c>
      <c r="O70" s="132" t="s">
        <v>75</v>
      </c>
      <c r="P70" s="132" t="s">
        <v>1174</v>
      </c>
      <c r="Q70" s="132" t="s">
        <v>174</v>
      </c>
      <c r="R70" s="133">
        <v>1</v>
      </c>
    </row>
    <row r="71" spans="1:18" x14ac:dyDescent="0.3">
      <c r="A71" s="132"/>
      <c r="B71" s="132"/>
      <c r="C71" s="132"/>
      <c r="D71" s="132" t="s">
        <v>305</v>
      </c>
      <c r="E71" s="132" t="s">
        <v>306</v>
      </c>
      <c r="F71" s="132" t="s">
        <v>33</v>
      </c>
      <c r="G71" s="132" t="s">
        <v>1560</v>
      </c>
      <c r="H71" s="132" t="s">
        <v>1560</v>
      </c>
      <c r="I71" s="132" t="s">
        <v>1681</v>
      </c>
      <c r="J71" s="132" t="s">
        <v>29</v>
      </c>
      <c r="K71" s="132" t="s">
        <v>46</v>
      </c>
      <c r="L71" s="132" t="s">
        <v>1643</v>
      </c>
      <c r="M71" s="132" t="s">
        <v>109</v>
      </c>
      <c r="N71" s="132" t="s">
        <v>60</v>
      </c>
      <c r="O71" s="132" t="s">
        <v>234</v>
      </c>
      <c r="P71" s="132" t="s">
        <v>88</v>
      </c>
      <c r="Q71" s="132" t="s">
        <v>174</v>
      </c>
      <c r="R71" s="133">
        <v>1</v>
      </c>
    </row>
    <row r="72" spans="1:18" x14ac:dyDescent="0.3">
      <c r="A72" s="132"/>
      <c r="B72" s="132"/>
      <c r="C72" s="132"/>
      <c r="D72" s="132" t="s">
        <v>1827</v>
      </c>
      <c r="E72" s="132" t="s">
        <v>1683</v>
      </c>
      <c r="F72" s="132" t="s">
        <v>33</v>
      </c>
      <c r="G72" s="132" t="s">
        <v>1560</v>
      </c>
      <c r="H72" s="132" t="s">
        <v>1687</v>
      </c>
      <c r="I72" s="132" t="s">
        <v>1690</v>
      </c>
      <c r="J72" s="132" t="s">
        <v>29</v>
      </c>
      <c r="K72" s="132" t="s">
        <v>46</v>
      </c>
      <c r="L72" s="132" t="s">
        <v>201</v>
      </c>
      <c r="M72" s="132" t="s">
        <v>109</v>
      </c>
      <c r="N72" s="132" t="s">
        <v>59</v>
      </c>
      <c r="O72" s="132" t="s">
        <v>234</v>
      </c>
      <c r="P72" s="132" t="s">
        <v>88</v>
      </c>
      <c r="Q72" s="132" t="s">
        <v>175</v>
      </c>
      <c r="R72" s="133">
        <v>1</v>
      </c>
    </row>
    <row r="73" spans="1:18" x14ac:dyDescent="0.3">
      <c r="A73" s="132"/>
      <c r="B73" s="132"/>
      <c r="C73" s="132"/>
      <c r="D73" s="132" t="s">
        <v>1624</v>
      </c>
      <c r="E73" s="132" t="s">
        <v>1625</v>
      </c>
      <c r="F73" s="132" t="s">
        <v>33</v>
      </c>
      <c r="G73" s="132" t="s">
        <v>1560</v>
      </c>
      <c r="H73" s="132" t="s">
        <v>1634</v>
      </c>
      <c r="I73" s="132" t="s">
        <v>1632</v>
      </c>
      <c r="J73" s="132" t="s">
        <v>29</v>
      </c>
      <c r="K73" s="132" t="s">
        <v>46</v>
      </c>
      <c r="L73" s="132" t="s">
        <v>1630</v>
      </c>
      <c r="M73" s="132" t="s">
        <v>109</v>
      </c>
      <c r="N73" s="132" t="s">
        <v>60</v>
      </c>
      <c r="O73" s="132" t="s">
        <v>234</v>
      </c>
      <c r="P73" s="132" t="s">
        <v>88</v>
      </c>
      <c r="Q73" s="132" t="s">
        <v>174</v>
      </c>
      <c r="R73" s="133">
        <v>1</v>
      </c>
    </row>
    <row r="74" spans="1:18" x14ac:dyDescent="0.3">
      <c r="A74" s="132"/>
      <c r="B74" s="132"/>
      <c r="C74" s="132"/>
      <c r="D74" s="132" t="s">
        <v>2111</v>
      </c>
      <c r="E74" s="132" t="s">
        <v>1923</v>
      </c>
      <c r="F74" s="132" t="s">
        <v>33</v>
      </c>
      <c r="G74" s="132" t="s">
        <v>1922</v>
      </c>
      <c r="H74" s="132" t="s">
        <v>1922</v>
      </c>
      <c r="I74" s="132" t="s">
        <v>1921</v>
      </c>
      <c r="J74" s="132" t="s">
        <v>29</v>
      </c>
      <c r="K74" s="132" t="s">
        <v>46</v>
      </c>
      <c r="L74" s="132" t="s">
        <v>1116</v>
      </c>
      <c r="M74" s="132" t="s">
        <v>109</v>
      </c>
      <c r="N74" s="132" t="s">
        <v>59</v>
      </c>
      <c r="O74" s="132" t="s">
        <v>234</v>
      </c>
      <c r="P74" s="132" t="s">
        <v>88</v>
      </c>
      <c r="Q74" s="132" t="s">
        <v>175</v>
      </c>
      <c r="R74" s="133">
        <v>1</v>
      </c>
    </row>
    <row r="75" spans="1:18" x14ac:dyDescent="0.3">
      <c r="A75" s="132"/>
      <c r="B75" s="132" t="s">
        <v>1633</v>
      </c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2"/>
      <c r="Q75" s="132"/>
      <c r="R75" s="133">
        <v>5</v>
      </c>
    </row>
    <row r="76" spans="1:18" x14ac:dyDescent="0.3">
      <c r="A76" s="132"/>
      <c r="B76" s="132" t="s">
        <v>530</v>
      </c>
      <c r="C76" s="132" t="s">
        <v>530</v>
      </c>
      <c r="D76" s="132" t="s">
        <v>1723</v>
      </c>
      <c r="E76" s="132" t="s">
        <v>1722</v>
      </c>
      <c r="F76" s="132" t="s">
        <v>33</v>
      </c>
      <c r="G76" s="132" t="s">
        <v>1560</v>
      </c>
      <c r="H76" s="132" t="s">
        <v>1390</v>
      </c>
      <c r="I76" s="132" t="s">
        <v>1492</v>
      </c>
      <c r="J76" s="132" t="s">
        <v>29</v>
      </c>
      <c r="K76" s="132" t="s">
        <v>46</v>
      </c>
      <c r="L76" s="132" t="s">
        <v>1558</v>
      </c>
      <c r="M76" s="132" t="s">
        <v>109</v>
      </c>
      <c r="N76" s="132" t="s">
        <v>60</v>
      </c>
      <c r="O76" s="132" t="s">
        <v>234</v>
      </c>
      <c r="P76" s="132" t="s">
        <v>88</v>
      </c>
      <c r="Q76" s="132" t="s">
        <v>175</v>
      </c>
      <c r="R76" s="133">
        <v>1</v>
      </c>
    </row>
    <row r="77" spans="1:18" x14ac:dyDescent="0.3">
      <c r="A77" s="132"/>
      <c r="B77" s="132"/>
      <c r="C77" s="132"/>
      <c r="D77" s="132" t="s">
        <v>666</v>
      </c>
      <c r="E77" s="132" t="s">
        <v>667</v>
      </c>
      <c r="F77" s="132" t="s">
        <v>33</v>
      </c>
      <c r="G77" s="132" t="s">
        <v>1560</v>
      </c>
      <c r="H77" s="132" t="s">
        <v>1618</v>
      </c>
      <c r="I77" s="132" t="s">
        <v>1719</v>
      </c>
      <c r="J77" s="132" t="s">
        <v>29</v>
      </c>
      <c r="K77" s="132" t="s">
        <v>46</v>
      </c>
      <c r="L77" s="132" t="s">
        <v>1418</v>
      </c>
      <c r="M77" s="132" t="s">
        <v>109</v>
      </c>
      <c r="N77" s="132" t="s">
        <v>60</v>
      </c>
      <c r="O77" s="132" t="s">
        <v>234</v>
      </c>
      <c r="P77" s="132" t="s">
        <v>88</v>
      </c>
      <c r="Q77" s="132" t="s">
        <v>175</v>
      </c>
      <c r="R77" s="133">
        <v>1</v>
      </c>
    </row>
    <row r="78" spans="1:18" x14ac:dyDescent="0.3">
      <c r="A78" s="132"/>
      <c r="B78" s="132"/>
      <c r="C78" s="132"/>
      <c r="D78" s="132" t="s">
        <v>865</v>
      </c>
      <c r="E78" s="132" t="s">
        <v>866</v>
      </c>
      <c r="F78" s="132" t="s">
        <v>33</v>
      </c>
      <c r="G78" s="132" t="s">
        <v>1317</v>
      </c>
      <c r="H78" s="132" t="s">
        <v>1389</v>
      </c>
      <c r="I78" s="132" t="s">
        <v>1502</v>
      </c>
      <c r="J78" s="132" t="s">
        <v>29</v>
      </c>
      <c r="K78" s="132" t="s">
        <v>48</v>
      </c>
      <c r="L78" s="132" t="s">
        <v>1316</v>
      </c>
      <c r="M78" s="132" t="s">
        <v>109</v>
      </c>
      <c r="N78" s="132" t="s">
        <v>61</v>
      </c>
      <c r="O78" s="132" t="s">
        <v>234</v>
      </c>
      <c r="P78" s="132" t="s">
        <v>88</v>
      </c>
      <c r="Q78" s="132" t="s">
        <v>175</v>
      </c>
      <c r="R78" s="133">
        <v>1</v>
      </c>
    </row>
    <row r="79" spans="1:18" x14ac:dyDescent="0.3">
      <c r="A79" s="132"/>
      <c r="B79" s="132"/>
      <c r="C79" s="132"/>
      <c r="D79" s="132" t="s">
        <v>528</v>
      </c>
      <c r="E79" s="132" t="s">
        <v>529</v>
      </c>
      <c r="F79" s="132" t="s">
        <v>33</v>
      </c>
      <c r="G79" s="132" t="s">
        <v>1294</v>
      </c>
      <c r="H79" s="132" t="s">
        <v>1386</v>
      </c>
      <c r="I79" s="132" t="s">
        <v>1467</v>
      </c>
      <c r="J79" s="132" t="s">
        <v>29</v>
      </c>
      <c r="K79" s="132" t="s">
        <v>46</v>
      </c>
      <c r="L79" s="132" t="s">
        <v>1296</v>
      </c>
      <c r="M79" s="132" t="s">
        <v>109</v>
      </c>
      <c r="N79" s="132" t="s">
        <v>60</v>
      </c>
      <c r="O79" s="132" t="s">
        <v>234</v>
      </c>
      <c r="P79" s="132" t="s">
        <v>88</v>
      </c>
      <c r="Q79" s="132" t="s">
        <v>175</v>
      </c>
      <c r="R79" s="133">
        <v>1</v>
      </c>
    </row>
    <row r="80" spans="1:18" x14ac:dyDescent="0.3">
      <c r="A80" s="132"/>
      <c r="B80" s="132"/>
      <c r="C80" s="132"/>
      <c r="D80" s="132" t="s">
        <v>828</v>
      </c>
      <c r="E80" s="132" t="s">
        <v>829</v>
      </c>
      <c r="F80" s="132" t="s">
        <v>33</v>
      </c>
      <c r="G80" s="132" t="s">
        <v>1363</v>
      </c>
      <c r="H80" s="132" t="s">
        <v>1363</v>
      </c>
      <c r="I80" s="132" t="s">
        <v>1759</v>
      </c>
      <c r="J80" s="132" t="s">
        <v>29</v>
      </c>
      <c r="K80" s="132" t="s">
        <v>46</v>
      </c>
      <c r="L80" s="132" t="s">
        <v>1361</v>
      </c>
      <c r="M80" s="132" t="s">
        <v>109</v>
      </c>
      <c r="N80" s="132" t="s">
        <v>73</v>
      </c>
      <c r="O80" s="132" t="s">
        <v>1364</v>
      </c>
      <c r="P80" s="132" t="s">
        <v>88</v>
      </c>
      <c r="Q80" s="132" t="s">
        <v>175</v>
      </c>
      <c r="R80" s="133">
        <v>1</v>
      </c>
    </row>
    <row r="81" spans="1:18" x14ac:dyDescent="0.3">
      <c r="A81" s="132"/>
      <c r="B81" s="132" t="s">
        <v>1532</v>
      </c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3">
        <v>5</v>
      </c>
    </row>
    <row r="82" spans="1:18" x14ac:dyDescent="0.3">
      <c r="A82" s="132"/>
      <c r="B82" s="132" t="s">
        <v>593</v>
      </c>
      <c r="C82" s="132" t="s">
        <v>593</v>
      </c>
      <c r="D82" s="132" t="s">
        <v>1024</v>
      </c>
      <c r="E82" s="132" t="s">
        <v>1025</v>
      </c>
      <c r="F82" s="132" t="s">
        <v>34</v>
      </c>
      <c r="G82" s="132" t="s">
        <v>1915</v>
      </c>
      <c r="H82" s="132" t="s">
        <v>1560</v>
      </c>
      <c r="I82" s="132" t="s">
        <v>1916</v>
      </c>
      <c r="J82" s="132" t="s">
        <v>29</v>
      </c>
      <c r="K82" s="132" t="s">
        <v>48</v>
      </c>
      <c r="L82" s="132" t="s">
        <v>120</v>
      </c>
      <c r="M82" s="132" t="s">
        <v>109</v>
      </c>
      <c r="N82" s="132" t="s">
        <v>68</v>
      </c>
      <c r="O82" s="132" t="s">
        <v>234</v>
      </c>
      <c r="P82" s="132" t="s">
        <v>88</v>
      </c>
      <c r="Q82" s="132" t="s">
        <v>174</v>
      </c>
      <c r="R82" s="133">
        <v>1</v>
      </c>
    </row>
    <row r="83" spans="1:18" x14ac:dyDescent="0.3">
      <c r="A83" s="132"/>
      <c r="B83" s="132"/>
      <c r="C83" s="132"/>
      <c r="D83" s="132" t="s">
        <v>593</v>
      </c>
      <c r="E83" s="132" t="s">
        <v>593</v>
      </c>
      <c r="F83" s="132" t="s">
        <v>33</v>
      </c>
      <c r="G83" s="132" t="s">
        <v>1372</v>
      </c>
      <c r="H83" s="132" t="s">
        <v>1372</v>
      </c>
      <c r="I83" s="132" t="s">
        <v>1175</v>
      </c>
      <c r="J83" s="132" t="s">
        <v>38</v>
      </c>
      <c r="K83" s="132" t="s">
        <v>46</v>
      </c>
      <c r="L83" s="132" t="s">
        <v>1370</v>
      </c>
      <c r="M83" s="132" t="s">
        <v>109</v>
      </c>
      <c r="N83" s="132" t="s">
        <v>58</v>
      </c>
      <c r="O83" s="132" t="s">
        <v>75</v>
      </c>
      <c r="P83" s="132" t="s">
        <v>1210</v>
      </c>
      <c r="Q83" s="132" t="s">
        <v>174</v>
      </c>
      <c r="R83" s="133">
        <v>1</v>
      </c>
    </row>
    <row r="84" spans="1:18" x14ac:dyDescent="0.3">
      <c r="A84" s="132"/>
      <c r="B84" s="132"/>
      <c r="C84" s="132"/>
      <c r="D84" s="132"/>
      <c r="E84" s="132"/>
      <c r="F84" s="132"/>
      <c r="G84" s="132" t="s">
        <v>1243</v>
      </c>
      <c r="H84" s="132" t="s">
        <v>1243</v>
      </c>
      <c r="I84" s="132" t="s">
        <v>2071</v>
      </c>
      <c r="J84" s="132" t="s">
        <v>38</v>
      </c>
      <c r="K84" s="132" t="s">
        <v>46</v>
      </c>
      <c r="L84" s="132" t="s">
        <v>1241</v>
      </c>
      <c r="M84" s="132" t="s">
        <v>109</v>
      </c>
      <c r="N84" s="132" t="s">
        <v>58</v>
      </c>
      <c r="O84" s="132" t="s">
        <v>75</v>
      </c>
      <c r="P84" s="132" t="s">
        <v>1210</v>
      </c>
      <c r="Q84" s="132" t="s">
        <v>174</v>
      </c>
      <c r="R84" s="133">
        <v>1</v>
      </c>
    </row>
    <row r="85" spans="1:18" x14ac:dyDescent="0.3">
      <c r="A85" s="132"/>
      <c r="B85" s="132"/>
      <c r="C85" s="132"/>
      <c r="D85" s="132"/>
      <c r="E85" s="132"/>
      <c r="F85" s="132"/>
      <c r="G85" s="132" t="s">
        <v>1560</v>
      </c>
      <c r="H85" s="132" t="s">
        <v>1905</v>
      </c>
      <c r="I85" s="132" t="s">
        <v>1996</v>
      </c>
      <c r="J85" s="132" t="s">
        <v>38</v>
      </c>
      <c r="K85" s="132" t="s">
        <v>46</v>
      </c>
      <c r="L85" s="132" t="s">
        <v>1904</v>
      </c>
      <c r="M85" s="132" t="s">
        <v>109</v>
      </c>
      <c r="N85" s="132" t="s">
        <v>58</v>
      </c>
      <c r="O85" s="132" t="s">
        <v>234</v>
      </c>
      <c r="P85" s="132" t="s">
        <v>88</v>
      </c>
      <c r="Q85" s="132" t="s">
        <v>1560</v>
      </c>
      <c r="R85" s="133">
        <v>1</v>
      </c>
    </row>
    <row r="86" spans="1:18" x14ac:dyDescent="0.3">
      <c r="A86" s="132"/>
      <c r="B86" s="132"/>
      <c r="C86" s="132"/>
      <c r="D86" s="132"/>
      <c r="E86" s="132"/>
      <c r="F86" s="132"/>
      <c r="G86" s="132"/>
      <c r="H86" s="132" t="s">
        <v>1669</v>
      </c>
      <c r="I86" s="132" t="s">
        <v>1670</v>
      </c>
      <c r="J86" s="132" t="s">
        <v>38</v>
      </c>
      <c r="K86" s="132" t="s">
        <v>46</v>
      </c>
      <c r="L86" s="132" t="s">
        <v>198</v>
      </c>
      <c r="M86" s="132" t="s">
        <v>109</v>
      </c>
      <c r="N86" s="132" t="s">
        <v>59</v>
      </c>
      <c r="O86" s="132" t="s">
        <v>234</v>
      </c>
      <c r="P86" s="132" t="s">
        <v>88</v>
      </c>
      <c r="Q86" s="132" t="s">
        <v>174</v>
      </c>
      <c r="R86" s="133">
        <v>1</v>
      </c>
    </row>
    <row r="87" spans="1:18" x14ac:dyDescent="0.3">
      <c r="A87" s="132"/>
      <c r="B87" s="132"/>
      <c r="C87" s="132"/>
      <c r="D87" s="132"/>
      <c r="E87" s="132"/>
      <c r="F87" s="132"/>
      <c r="G87" s="132"/>
      <c r="H87" s="132" t="s">
        <v>2001</v>
      </c>
      <c r="I87" s="132" t="s">
        <v>1169</v>
      </c>
      <c r="J87" s="132" t="s">
        <v>38</v>
      </c>
      <c r="K87" s="132" t="s">
        <v>46</v>
      </c>
      <c r="L87" s="132" t="s">
        <v>2000</v>
      </c>
      <c r="M87" s="132" t="s">
        <v>109</v>
      </c>
      <c r="N87" s="132" t="s">
        <v>58</v>
      </c>
      <c r="O87" s="132" t="s">
        <v>75</v>
      </c>
      <c r="P87" s="132" t="s">
        <v>1210</v>
      </c>
      <c r="Q87" s="132" t="s">
        <v>1560</v>
      </c>
      <c r="R87" s="133">
        <v>1</v>
      </c>
    </row>
    <row r="88" spans="1:18" x14ac:dyDescent="0.3">
      <c r="A88" s="132"/>
      <c r="B88" s="132"/>
      <c r="C88" s="132"/>
      <c r="D88" s="132"/>
      <c r="E88" s="132"/>
      <c r="F88" s="132"/>
      <c r="G88" s="132"/>
      <c r="H88" s="132" t="s">
        <v>1911</v>
      </c>
      <c r="I88" s="132" t="s">
        <v>1912</v>
      </c>
      <c r="J88" s="132" t="s">
        <v>38</v>
      </c>
      <c r="K88" s="132" t="s">
        <v>48</v>
      </c>
      <c r="L88" s="132" t="s">
        <v>2046</v>
      </c>
      <c r="M88" s="132" t="s">
        <v>109</v>
      </c>
      <c r="N88" s="132" t="s">
        <v>71</v>
      </c>
      <c r="O88" s="132" t="s">
        <v>2008</v>
      </c>
      <c r="P88" s="132" t="s">
        <v>88</v>
      </c>
      <c r="Q88" s="132" t="s">
        <v>1560</v>
      </c>
      <c r="R88" s="133">
        <v>1</v>
      </c>
    </row>
    <row r="89" spans="1:18" x14ac:dyDescent="0.3">
      <c r="A89" s="132"/>
      <c r="B89" s="132"/>
      <c r="C89" s="132"/>
      <c r="D89" s="132"/>
      <c r="E89" s="132"/>
      <c r="F89" s="132"/>
      <c r="G89" s="132"/>
      <c r="H89" s="132" t="s">
        <v>2069</v>
      </c>
      <c r="I89" s="132" t="s">
        <v>1164</v>
      </c>
      <c r="J89" s="132" t="s">
        <v>38</v>
      </c>
      <c r="K89" s="132" t="s">
        <v>46</v>
      </c>
      <c r="L89" s="132" t="s">
        <v>2067</v>
      </c>
      <c r="M89" s="132" t="s">
        <v>109</v>
      </c>
      <c r="N89" s="132" t="s">
        <v>58</v>
      </c>
      <c r="O89" s="132" t="s">
        <v>75</v>
      </c>
      <c r="P89" s="132" t="s">
        <v>159</v>
      </c>
      <c r="Q89" s="132" t="s">
        <v>1560</v>
      </c>
      <c r="R89" s="133">
        <v>1</v>
      </c>
    </row>
    <row r="90" spans="1:18" x14ac:dyDescent="0.3">
      <c r="A90" s="132"/>
      <c r="B90" s="132"/>
      <c r="C90" s="132"/>
      <c r="D90" s="132"/>
      <c r="E90" s="132"/>
      <c r="F90" s="132"/>
      <c r="G90" s="132"/>
      <c r="H90" s="132" t="s">
        <v>1946</v>
      </c>
      <c r="I90" s="132" t="s">
        <v>1945</v>
      </c>
      <c r="J90" s="132" t="s">
        <v>38</v>
      </c>
      <c r="K90" s="132" t="s">
        <v>46</v>
      </c>
      <c r="L90" s="132" t="s">
        <v>2072</v>
      </c>
      <c r="M90" s="132" t="s">
        <v>109</v>
      </c>
      <c r="N90" s="132" t="s">
        <v>58</v>
      </c>
      <c r="O90" s="132" t="s">
        <v>75</v>
      </c>
      <c r="P90" s="132" t="s">
        <v>1174</v>
      </c>
      <c r="Q90" s="132" t="s">
        <v>1560</v>
      </c>
      <c r="R90" s="133">
        <v>1</v>
      </c>
    </row>
    <row r="91" spans="1:18" x14ac:dyDescent="0.3">
      <c r="A91" s="132"/>
      <c r="B91" s="132"/>
      <c r="C91" s="132"/>
      <c r="D91" s="132"/>
      <c r="E91" s="132"/>
      <c r="F91" s="132"/>
      <c r="G91" s="132" t="s">
        <v>1869</v>
      </c>
      <c r="H91" s="132" t="s">
        <v>1869</v>
      </c>
      <c r="I91" s="132" t="s">
        <v>1560</v>
      </c>
      <c r="J91" s="132" t="s">
        <v>29</v>
      </c>
      <c r="K91" s="132" t="s">
        <v>47</v>
      </c>
      <c r="L91" s="132" t="s">
        <v>1867</v>
      </c>
      <c r="M91" s="132" t="s">
        <v>109</v>
      </c>
      <c r="N91" s="132" t="s">
        <v>65</v>
      </c>
      <c r="O91" s="132" t="s">
        <v>79</v>
      </c>
      <c r="P91" s="132" t="s">
        <v>88</v>
      </c>
      <c r="Q91" s="132" t="s">
        <v>175</v>
      </c>
      <c r="R91" s="133">
        <v>1</v>
      </c>
    </row>
    <row r="92" spans="1:18" x14ac:dyDescent="0.3">
      <c r="A92" s="132"/>
      <c r="B92" s="132"/>
      <c r="C92" s="132"/>
      <c r="D92" s="132"/>
      <c r="E92" s="132"/>
      <c r="F92" s="132"/>
      <c r="G92" s="132" t="s">
        <v>1874</v>
      </c>
      <c r="H92" s="132" t="s">
        <v>1874</v>
      </c>
      <c r="I92" s="132" t="s">
        <v>1560</v>
      </c>
      <c r="J92" s="132" t="s">
        <v>29</v>
      </c>
      <c r="K92" s="132" t="s">
        <v>47</v>
      </c>
      <c r="L92" s="132" t="s">
        <v>1873</v>
      </c>
      <c r="M92" s="132" t="s">
        <v>109</v>
      </c>
      <c r="N92" s="132" t="s">
        <v>65</v>
      </c>
      <c r="O92" s="132" t="s">
        <v>79</v>
      </c>
      <c r="P92" s="132" t="s">
        <v>88</v>
      </c>
      <c r="Q92" s="132" t="s">
        <v>175</v>
      </c>
      <c r="R92" s="133">
        <v>1</v>
      </c>
    </row>
    <row r="93" spans="1:18" x14ac:dyDescent="0.3">
      <c r="A93" s="132"/>
      <c r="B93" s="132"/>
      <c r="C93" s="132"/>
      <c r="D93" s="132" t="s">
        <v>591</v>
      </c>
      <c r="E93" s="132" t="s">
        <v>592</v>
      </c>
      <c r="F93" s="132" t="s">
        <v>33</v>
      </c>
      <c r="G93" s="132" t="s">
        <v>1311</v>
      </c>
      <c r="H93" s="132" t="s">
        <v>1560</v>
      </c>
      <c r="I93" s="132" t="s">
        <v>1310</v>
      </c>
      <c r="J93" s="132" t="s">
        <v>29</v>
      </c>
      <c r="K93" s="132" t="s">
        <v>46</v>
      </c>
      <c r="L93" s="132" t="s">
        <v>1309</v>
      </c>
      <c r="M93" s="132" t="s">
        <v>109</v>
      </c>
      <c r="N93" s="132" t="s">
        <v>58</v>
      </c>
      <c r="O93" s="132" t="s">
        <v>234</v>
      </c>
      <c r="P93" s="132" t="s">
        <v>1210</v>
      </c>
      <c r="Q93" s="132" t="s">
        <v>174</v>
      </c>
      <c r="R93" s="133">
        <v>1</v>
      </c>
    </row>
    <row r="94" spans="1:18" x14ac:dyDescent="0.3">
      <c r="A94" s="132"/>
      <c r="B94" s="132"/>
      <c r="C94" s="132"/>
      <c r="D94" s="132"/>
      <c r="E94" s="132"/>
      <c r="F94" s="132"/>
      <c r="G94" s="132" t="s">
        <v>1344</v>
      </c>
      <c r="H94" s="132" t="s">
        <v>1560</v>
      </c>
      <c r="I94" s="132" t="s">
        <v>1560</v>
      </c>
      <c r="J94" s="132" t="s">
        <v>29</v>
      </c>
      <c r="K94" s="132" t="s">
        <v>48</v>
      </c>
      <c r="L94" s="132" t="s">
        <v>1115</v>
      </c>
      <c r="M94" s="132" t="s">
        <v>109</v>
      </c>
      <c r="N94" s="132" t="s">
        <v>62</v>
      </c>
      <c r="O94" s="132" t="s">
        <v>1345</v>
      </c>
      <c r="P94" s="132" t="s">
        <v>88</v>
      </c>
      <c r="Q94" s="132" t="s">
        <v>174</v>
      </c>
      <c r="R94" s="133">
        <v>1</v>
      </c>
    </row>
    <row r="95" spans="1:18" x14ac:dyDescent="0.3">
      <c r="A95" s="132"/>
      <c r="B95" s="132" t="s">
        <v>1562</v>
      </c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3">
        <v>13</v>
      </c>
    </row>
    <row r="96" spans="1:18" x14ac:dyDescent="0.3">
      <c r="A96" s="132"/>
      <c r="B96" s="132" t="s">
        <v>350</v>
      </c>
      <c r="C96" s="132" t="s">
        <v>951</v>
      </c>
      <c r="D96" s="132" t="s">
        <v>949</v>
      </c>
      <c r="E96" s="132" t="s">
        <v>950</v>
      </c>
      <c r="F96" s="132" t="s">
        <v>33</v>
      </c>
      <c r="G96" s="132" t="s">
        <v>1222</v>
      </c>
      <c r="H96" s="132" t="s">
        <v>1222</v>
      </c>
      <c r="I96" s="132" t="s">
        <v>1445</v>
      </c>
      <c r="J96" s="132" t="s">
        <v>29</v>
      </c>
      <c r="K96" s="132" t="s">
        <v>46</v>
      </c>
      <c r="L96" s="132" t="s">
        <v>1225</v>
      </c>
      <c r="M96" s="132" t="s">
        <v>109</v>
      </c>
      <c r="N96" s="132" t="s">
        <v>73</v>
      </c>
      <c r="O96" s="132" t="s">
        <v>79</v>
      </c>
      <c r="P96" s="132" t="s">
        <v>88</v>
      </c>
      <c r="Q96" s="132" t="s">
        <v>174</v>
      </c>
      <c r="R96" s="133">
        <v>1</v>
      </c>
    </row>
    <row r="97" spans="1:18" x14ac:dyDescent="0.3">
      <c r="A97" s="132"/>
      <c r="B97" s="132"/>
      <c r="C97" s="132"/>
      <c r="D97" s="132"/>
      <c r="E97" s="132"/>
      <c r="F97" s="132"/>
      <c r="G97" s="132" t="s">
        <v>1358</v>
      </c>
      <c r="H97" s="132" t="s">
        <v>1358</v>
      </c>
      <c r="I97" s="132" t="s">
        <v>1758</v>
      </c>
      <c r="J97" s="132" t="s">
        <v>29</v>
      </c>
      <c r="K97" s="132" t="s">
        <v>46</v>
      </c>
      <c r="L97" s="132" t="s">
        <v>1356</v>
      </c>
      <c r="M97" s="132" t="s">
        <v>109</v>
      </c>
      <c r="N97" s="132" t="s">
        <v>60</v>
      </c>
      <c r="O97" s="132" t="s">
        <v>234</v>
      </c>
      <c r="P97" s="132" t="s">
        <v>88</v>
      </c>
      <c r="Q97" s="132" t="s">
        <v>174</v>
      </c>
      <c r="R97" s="133">
        <v>1</v>
      </c>
    </row>
    <row r="98" spans="1:18" x14ac:dyDescent="0.3">
      <c r="A98" s="132"/>
      <c r="B98" s="132"/>
      <c r="C98" s="132" t="s">
        <v>383</v>
      </c>
      <c r="D98" s="132" t="s">
        <v>890</v>
      </c>
      <c r="E98" s="132" t="s">
        <v>617</v>
      </c>
      <c r="F98" s="132" t="s">
        <v>33</v>
      </c>
      <c r="G98" s="132" t="s">
        <v>1560</v>
      </c>
      <c r="H98" s="132" t="s">
        <v>1436</v>
      </c>
      <c r="I98" s="132" t="s">
        <v>1457</v>
      </c>
      <c r="J98" s="132" t="s">
        <v>29</v>
      </c>
      <c r="K98" s="132" t="s">
        <v>46</v>
      </c>
      <c r="L98" s="132" t="s">
        <v>1434</v>
      </c>
      <c r="M98" s="132" t="s">
        <v>109</v>
      </c>
      <c r="N98" s="132" t="s">
        <v>60</v>
      </c>
      <c r="O98" s="132" t="s">
        <v>234</v>
      </c>
      <c r="P98" s="132" t="s">
        <v>88</v>
      </c>
      <c r="Q98" s="132" t="s">
        <v>174</v>
      </c>
      <c r="R98" s="133">
        <v>1</v>
      </c>
    </row>
    <row r="99" spans="1:18" x14ac:dyDescent="0.3">
      <c r="A99" s="132"/>
      <c r="B99" s="132"/>
      <c r="C99" s="132"/>
      <c r="D99" s="132" t="s">
        <v>381</v>
      </c>
      <c r="E99" s="132" t="s">
        <v>382</v>
      </c>
      <c r="F99" s="132" t="s">
        <v>33</v>
      </c>
      <c r="G99" s="132" t="s">
        <v>1231</v>
      </c>
      <c r="H99" s="132" t="s">
        <v>1500</v>
      </c>
      <c r="I99" s="132" t="s">
        <v>1621</v>
      </c>
      <c r="J99" s="132" t="s">
        <v>29</v>
      </c>
      <c r="K99" s="132" t="s">
        <v>46</v>
      </c>
      <c r="L99" s="132" t="s">
        <v>1190</v>
      </c>
      <c r="M99" s="132" t="s">
        <v>109</v>
      </c>
      <c r="N99" s="132" t="s">
        <v>60</v>
      </c>
      <c r="O99" s="132" t="s">
        <v>234</v>
      </c>
      <c r="P99" s="132" t="s">
        <v>88</v>
      </c>
      <c r="Q99" s="132" t="s">
        <v>174</v>
      </c>
      <c r="R99" s="133">
        <v>1</v>
      </c>
    </row>
    <row r="100" spans="1:18" x14ac:dyDescent="0.3">
      <c r="A100" s="132"/>
      <c r="B100" s="132"/>
      <c r="C100" s="132"/>
      <c r="D100" s="132" t="s">
        <v>616</v>
      </c>
      <c r="E100" s="132" t="s">
        <v>617</v>
      </c>
      <c r="F100" s="132" t="s">
        <v>33</v>
      </c>
      <c r="G100" s="132" t="s">
        <v>1232</v>
      </c>
      <c r="H100" s="132" t="s">
        <v>1430</v>
      </c>
      <c r="I100" s="132" t="s">
        <v>1449</v>
      </c>
      <c r="J100" s="132" t="s">
        <v>29</v>
      </c>
      <c r="K100" s="132" t="s">
        <v>46</v>
      </c>
      <c r="L100" s="132" t="s">
        <v>1233</v>
      </c>
      <c r="M100" s="132" t="s">
        <v>109</v>
      </c>
      <c r="N100" s="132" t="s">
        <v>60</v>
      </c>
      <c r="O100" s="132" t="s">
        <v>234</v>
      </c>
      <c r="P100" s="132" t="s">
        <v>88</v>
      </c>
      <c r="Q100" s="132" t="s">
        <v>174</v>
      </c>
      <c r="R100" s="133">
        <v>1</v>
      </c>
    </row>
    <row r="101" spans="1:18" x14ac:dyDescent="0.3">
      <c r="A101" s="132"/>
      <c r="B101" s="132"/>
      <c r="C101" s="132" t="s">
        <v>568</v>
      </c>
      <c r="D101" s="132" t="s">
        <v>687</v>
      </c>
      <c r="E101" s="132" t="s">
        <v>688</v>
      </c>
      <c r="F101" s="132" t="s">
        <v>33</v>
      </c>
      <c r="G101" s="132" t="s">
        <v>1236</v>
      </c>
      <c r="H101" s="132" t="s">
        <v>1437</v>
      </c>
      <c r="I101" s="132" t="s">
        <v>1450</v>
      </c>
      <c r="J101" s="132" t="s">
        <v>29</v>
      </c>
      <c r="K101" s="132" t="s">
        <v>46</v>
      </c>
      <c r="L101" s="132" t="s">
        <v>1237</v>
      </c>
      <c r="M101" s="132" t="s">
        <v>109</v>
      </c>
      <c r="N101" s="132" t="s">
        <v>60</v>
      </c>
      <c r="O101" s="132" t="s">
        <v>234</v>
      </c>
      <c r="P101" s="132" t="s">
        <v>88</v>
      </c>
      <c r="Q101" s="132" t="s">
        <v>174</v>
      </c>
      <c r="R101" s="133">
        <v>1</v>
      </c>
    </row>
    <row r="102" spans="1:18" x14ac:dyDescent="0.3">
      <c r="A102" s="132"/>
      <c r="B102" s="132"/>
      <c r="C102" s="132"/>
      <c r="D102" s="132" t="s">
        <v>565</v>
      </c>
      <c r="E102" s="132" t="s">
        <v>567</v>
      </c>
      <c r="F102" s="132" t="s">
        <v>34</v>
      </c>
      <c r="G102" s="132" t="s">
        <v>1560</v>
      </c>
      <c r="H102" s="132" t="s">
        <v>1560</v>
      </c>
      <c r="I102" s="132" t="s">
        <v>1560</v>
      </c>
      <c r="J102" s="132" t="s">
        <v>29</v>
      </c>
      <c r="K102" s="132" t="s">
        <v>47</v>
      </c>
      <c r="L102" s="132" t="s">
        <v>1560</v>
      </c>
      <c r="M102" s="132" t="s">
        <v>109</v>
      </c>
      <c r="N102" s="132" t="s">
        <v>63</v>
      </c>
      <c r="O102" s="132" t="s">
        <v>77</v>
      </c>
      <c r="P102" s="132" t="s">
        <v>88</v>
      </c>
      <c r="Q102" s="132" t="s">
        <v>175</v>
      </c>
      <c r="R102" s="133">
        <v>1</v>
      </c>
    </row>
    <row r="103" spans="1:18" x14ac:dyDescent="0.3">
      <c r="A103" s="132"/>
      <c r="B103" s="132"/>
      <c r="C103" s="132" t="s">
        <v>349</v>
      </c>
      <c r="D103" s="132" t="s">
        <v>921</v>
      </c>
      <c r="E103" s="132" t="s">
        <v>922</v>
      </c>
      <c r="F103" s="132" t="s">
        <v>33</v>
      </c>
      <c r="G103" s="132" t="s">
        <v>1560</v>
      </c>
      <c r="H103" s="132" t="s">
        <v>1629</v>
      </c>
      <c r="I103" s="132" t="s">
        <v>1552</v>
      </c>
      <c r="J103" s="132" t="s">
        <v>29</v>
      </c>
      <c r="K103" s="132" t="s">
        <v>46</v>
      </c>
      <c r="L103" s="132" t="s">
        <v>1553</v>
      </c>
      <c r="M103" s="132" t="s">
        <v>109</v>
      </c>
      <c r="N103" s="132" t="s">
        <v>60</v>
      </c>
      <c r="O103" s="132" t="s">
        <v>234</v>
      </c>
      <c r="P103" s="132" t="s">
        <v>88</v>
      </c>
      <c r="Q103" s="132" t="s">
        <v>174</v>
      </c>
      <c r="R103" s="133">
        <v>1</v>
      </c>
    </row>
    <row r="104" spans="1:18" x14ac:dyDescent="0.3">
      <c r="A104" s="132"/>
      <c r="B104" s="132"/>
      <c r="C104" s="132"/>
      <c r="D104" s="132" t="s">
        <v>600</v>
      </c>
      <c r="E104" s="132" t="s">
        <v>348</v>
      </c>
      <c r="F104" s="132" t="s">
        <v>33</v>
      </c>
      <c r="G104" s="132" t="s">
        <v>1227</v>
      </c>
      <c r="H104" s="132" t="s">
        <v>1442</v>
      </c>
      <c r="I104" s="132" t="s">
        <v>1443</v>
      </c>
      <c r="J104" s="132" t="s">
        <v>29</v>
      </c>
      <c r="K104" s="132" t="s">
        <v>46</v>
      </c>
      <c r="L104" s="132" t="s">
        <v>1226</v>
      </c>
      <c r="M104" s="132" t="s">
        <v>109</v>
      </c>
      <c r="N104" s="132" t="s">
        <v>60</v>
      </c>
      <c r="O104" s="132" t="s">
        <v>234</v>
      </c>
      <c r="P104" s="132" t="s">
        <v>88</v>
      </c>
      <c r="Q104" s="132" t="s">
        <v>174</v>
      </c>
      <c r="R104" s="133">
        <v>1</v>
      </c>
    </row>
    <row r="105" spans="1:18" x14ac:dyDescent="0.3">
      <c r="A105" s="132"/>
      <c r="B105" s="132"/>
      <c r="C105" s="132"/>
      <c r="D105" s="132" t="s">
        <v>655</v>
      </c>
      <c r="E105" s="132" t="s">
        <v>656</v>
      </c>
      <c r="F105" s="132" t="s">
        <v>33</v>
      </c>
      <c r="G105" s="132" t="s">
        <v>1697</v>
      </c>
      <c r="H105" s="132" t="s">
        <v>1560</v>
      </c>
      <c r="I105" s="132" t="s">
        <v>1665</v>
      </c>
      <c r="J105" s="132" t="s">
        <v>29</v>
      </c>
      <c r="K105" s="132" t="s">
        <v>46</v>
      </c>
      <c r="L105" s="132" t="s">
        <v>1549</v>
      </c>
      <c r="M105" s="132" t="s">
        <v>109</v>
      </c>
      <c r="N105" s="132" t="s">
        <v>60</v>
      </c>
      <c r="O105" s="132" t="s">
        <v>234</v>
      </c>
      <c r="P105" s="132" t="s">
        <v>88</v>
      </c>
      <c r="Q105" s="132" t="s">
        <v>174</v>
      </c>
      <c r="R105" s="133">
        <v>1</v>
      </c>
    </row>
    <row r="106" spans="1:18" x14ac:dyDescent="0.3">
      <c r="A106" s="132"/>
      <c r="B106" s="132"/>
      <c r="C106" s="132"/>
      <c r="D106" s="132" t="s">
        <v>520</v>
      </c>
      <c r="E106" s="132" t="s">
        <v>521</v>
      </c>
      <c r="F106" s="132" t="s">
        <v>33</v>
      </c>
      <c r="G106" s="132" t="s">
        <v>1352</v>
      </c>
      <c r="H106" s="132" t="s">
        <v>1352</v>
      </c>
      <c r="I106" s="132" t="s">
        <v>1664</v>
      </c>
      <c r="J106" s="132" t="s">
        <v>29</v>
      </c>
      <c r="K106" s="132" t="s">
        <v>46</v>
      </c>
      <c r="L106" s="132" t="s">
        <v>1350</v>
      </c>
      <c r="M106" s="132" t="s">
        <v>109</v>
      </c>
      <c r="N106" s="132" t="s">
        <v>60</v>
      </c>
      <c r="O106" s="132" t="s">
        <v>234</v>
      </c>
      <c r="P106" s="132" t="s">
        <v>88</v>
      </c>
      <c r="Q106" s="132" t="s">
        <v>174</v>
      </c>
      <c r="R106" s="133">
        <v>1</v>
      </c>
    </row>
    <row r="107" spans="1:18" x14ac:dyDescent="0.3">
      <c r="A107" s="132"/>
      <c r="B107" s="132"/>
      <c r="C107" s="132"/>
      <c r="D107" s="132" t="s">
        <v>627</v>
      </c>
      <c r="E107" s="132" t="s">
        <v>521</v>
      </c>
      <c r="F107" s="132" t="s">
        <v>33</v>
      </c>
      <c r="G107" s="132" t="s">
        <v>1842</v>
      </c>
      <c r="H107" s="132" t="s">
        <v>1842</v>
      </c>
      <c r="I107" s="132" t="s">
        <v>1503</v>
      </c>
      <c r="J107" s="132" t="s">
        <v>29</v>
      </c>
      <c r="K107" s="132" t="s">
        <v>46</v>
      </c>
      <c r="L107" s="132" t="s">
        <v>1544</v>
      </c>
      <c r="M107" s="132" t="s">
        <v>109</v>
      </c>
      <c r="N107" s="132" t="s">
        <v>60</v>
      </c>
      <c r="O107" s="132" t="s">
        <v>234</v>
      </c>
      <c r="P107" s="132" t="s">
        <v>88</v>
      </c>
      <c r="Q107" s="132" t="s">
        <v>174</v>
      </c>
      <c r="R107" s="133">
        <v>1</v>
      </c>
    </row>
    <row r="108" spans="1:18" x14ac:dyDescent="0.3">
      <c r="A108" s="132"/>
      <c r="B108" s="132"/>
      <c r="C108" s="132"/>
      <c r="D108" s="132" t="s">
        <v>347</v>
      </c>
      <c r="E108" s="132" t="s">
        <v>348</v>
      </c>
      <c r="F108" s="132" t="s">
        <v>33</v>
      </c>
      <c r="G108" s="132" t="s">
        <v>1560</v>
      </c>
      <c r="H108" s="132" t="s">
        <v>1599</v>
      </c>
      <c r="I108" s="132" t="s">
        <v>1691</v>
      </c>
      <c r="J108" s="132" t="s">
        <v>29</v>
      </c>
      <c r="K108" s="132" t="s">
        <v>46</v>
      </c>
      <c r="L108" s="132" t="s">
        <v>1551</v>
      </c>
      <c r="M108" s="132" t="s">
        <v>109</v>
      </c>
      <c r="N108" s="132" t="s">
        <v>60</v>
      </c>
      <c r="O108" s="132" t="s">
        <v>234</v>
      </c>
      <c r="P108" s="132" t="s">
        <v>88</v>
      </c>
      <c r="Q108" s="132" t="s">
        <v>174</v>
      </c>
      <c r="R108" s="133">
        <v>1</v>
      </c>
    </row>
    <row r="109" spans="1:18" x14ac:dyDescent="0.3">
      <c r="A109" s="132"/>
      <c r="B109" s="132"/>
      <c r="C109" s="132"/>
      <c r="D109" s="132" t="s">
        <v>649</v>
      </c>
      <c r="E109" s="132" t="s">
        <v>521</v>
      </c>
      <c r="F109" s="132" t="s">
        <v>33</v>
      </c>
      <c r="G109" s="132" t="s">
        <v>1745</v>
      </c>
      <c r="H109" s="132" t="s">
        <v>1745</v>
      </c>
      <c r="I109" s="132" t="s">
        <v>1744</v>
      </c>
      <c r="J109" s="132" t="s">
        <v>29</v>
      </c>
      <c r="K109" s="132" t="s">
        <v>46</v>
      </c>
      <c r="L109" s="132" t="s">
        <v>1416</v>
      </c>
      <c r="M109" s="132" t="s">
        <v>109</v>
      </c>
      <c r="N109" s="132" t="s">
        <v>60</v>
      </c>
      <c r="O109" s="132" t="s">
        <v>234</v>
      </c>
      <c r="P109" s="132" t="s">
        <v>88</v>
      </c>
      <c r="Q109" s="132" t="s">
        <v>175</v>
      </c>
      <c r="R109" s="133">
        <v>1</v>
      </c>
    </row>
    <row r="110" spans="1:18" x14ac:dyDescent="0.3">
      <c r="A110" s="132"/>
      <c r="B110" s="132"/>
      <c r="C110" s="132"/>
      <c r="D110" s="132" t="s">
        <v>967</v>
      </c>
      <c r="E110" s="132" t="s">
        <v>419</v>
      </c>
      <c r="F110" s="132" t="s">
        <v>33</v>
      </c>
      <c r="G110" s="132" t="s">
        <v>1876</v>
      </c>
      <c r="H110" s="132" t="s">
        <v>1836</v>
      </c>
      <c r="I110" s="132" t="s">
        <v>1556</v>
      </c>
      <c r="J110" s="132" t="s">
        <v>29</v>
      </c>
      <c r="K110" s="132" t="s">
        <v>46</v>
      </c>
      <c r="L110" s="132" t="s">
        <v>1555</v>
      </c>
      <c r="M110" s="132" t="s">
        <v>109</v>
      </c>
      <c r="N110" s="132" t="s">
        <v>60</v>
      </c>
      <c r="O110" s="132" t="s">
        <v>234</v>
      </c>
      <c r="P110" s="132" t="s">
        <v>88</v>
      </c>
      <c r="Q110" s="132" t="s">
        <v>174</v>
      </c>
      <c r="R110" s="133">
        <v>1</v>
      </c>
    </row>
    <row r="111" spans="1:18" x14ac:dyDescent="0.3">
      <c r="A111" s="132"/>
      <c r="B111" s="132"/>
      <c r="C111" s="132"/>
      <c r="D111" s="132" t="s">
        <v>705</v>
      </c>
      <c r="E111" s="132" t="s">
        <v>1840</v>
      </c>
      <c r="F111" s="132" t="s">
        <v>33</v>
      </c>
      <c r="G111" s="132" t="s">
        <v>1560</v>
      </c>
      <c r="H111" s="132" t="s">
        <v>1837</v>
      </c>
      <c r="I111" s="132" t="s">
        <v>1832</v>
      </c>
      <c r="J111" s="132" t="s">
        <v>29</v>
      </c>
      <c r="K111" s="132" t="s">
        <v>46</v>
      </c>
      <c r="L111" s="132" t="s">
        <v>196</v>
      </c>
      <c r="M111" s="132" t="s">
        <v>109</v>
      </c>
      <c r="N111" s="132" t="s">
        <v>58</v>
      </c>
      <c r="O111" s="132" t="s">
        <v>234</v>
      </c>
      <c r="P111" s="132" t="s">
        <v>88</v>
      </c>
      <c r="Q111" s="132" t="s">
        <v>174</v>
      </c>
      <c r="R111" s="133">
        <v>1</v>
      </c>
    </row>
    <row r="112" spans="1:18" x14ac:dyDescent="0.3">
      <c r="A112" s="132"/>
      <c r="B112" s="132"/>
      <c r="C112" s="132"/>
      <c r="D112" s="132" t="s">
        <v>418</v>
      </c>
      <c r="E112" s="132" t="s">
        <v>419</v>
      </c>
      <c r="F112" s="132" t="s">
        <v>33</v>
      </c>
      <c r="G112" s="132" t="s">
        <v>1355</v>
      </c>
      <c r="H112" s="132" t="s">
        <v>1834</v>
      </c>
      <c r="I112" s="132" t="s">
        <v>1617</v>
      </c>
      <c r="J112" s="132" t="s">
        <v>29</v>
      </c>
      <c r="K112" s="132" t="s">
        <v>46</v>
      </c>
      <c r="L112" s="132" t="s">
        <v>1353</v>
      </c>
      <c r="M112" s="132" t="s">
        <v>109</v>
      </c>
      <c r="N112" s="132" t="s">
        <v>60</v>
      </c>
      <c r="O112" s="132" t="s">
        <v>234</v>
      </c>
      <c r="P112" s="132" t="s">
        <v>88</v>
      </c>
      <c r="Q112" s="132" t="s">
        <v>174</v>
      </c>
      <c r="R112" s="133">
        <v>1</v>
      </c>
    </row>
    <row r="113" spans="1:18" x14ac:dyDescent="0.3">
      <c r="A113" s="132"/>
      <c r="B113" s="132"/>
      <c r="C113" s="132"/>
      <c r="D113" s="132" t="s">
        <v>360</v>
      </c>
      <c r="E113" s="132" t="s">
        <v>361</v>
      </c>
      <c r="F113" s="132" t="s">
        <v>33</v>
      </c>
      <c r="G113" s="132" t="s">
        <v>1560</v>
      </c>
      <c r="H113" s="132" t="s">
        <v>1026</v>
      </c>
      <c r="I113" s="132" t="s">
        <v>1445</v>
      </c>
      <c r="J113" s="132" t="s">
        <v>29</v>
      </c>
      <c r="K113" s="132" t="s">
        <v>46</v>
      </c>
      <c r="L113" s="132" t="s">
        <v>204</v>
      </c>
      <c r="M113" s="132" t="s">
        <v>109</v>
      </c>
      <c r="N113" s="132" t="s">
        <v>60</v>
      </c>
      <c r="O113" s="132" t="s">
        <v>234</v>
      </c>
      <c r="P113" s="132" t="s">
        <v>88</v>
      </c>
      <c r="Q113" s="132" t="s">
        <v>174</v>
      </c>
      <c r="R113" s="133">
        <v>1</v>
      </c>
    </row>
    <row r="114" spans="1:18" x14ac:dyDescent="0.3">
      <c r="A114" s="132"/>
      <c r="B114" s="132"/>
      <c r="C114" s="132"/>
      <c r="D114" s="132" t="s">
        <v>1860</v>
      </c>
      <c r="E114" s="132" t="s">
        <v>521</v>
      </c>
      <c r="F114" s="132" t="s">
        <v>33</v>
      </c>
      <c r="G114" s="132" t="s">
        <v>1862</v>
      </c>
      <c r="H114" s="132" t="s">
        <v>1862</v>
      </c>
      <c r="I114" s="132" t="s">
        <v>1861</v>
      </c>
      <c r="J114" s="132" t="s">
        <v>29</v>
      </c>
      <c r="K114" s="132" t="s">
        <v>46</v>
      </c>
      <c r="L114" s="132" t="s">
        <v>1548</v>
      </c>
      <c r="M114" s="132" t="s">
        <v>109</v>
      </c>
      <c r="N114" s="132" t="s">
        <v>60</v>
      </c>
      <c r="O114" s="132" t="s">
        <v>234</v>
      </c>
      <c r="P114" s="132" t="s">
        <v>88</v>
      </c>
      <c r="Q114" s="132" t="s">
        <v>174</v>
      </c>
      <c r="R114" s="133">
        <v>1</v>
      </c>
    </row>
    <row r="115" spans="1:18" x14ac:dyDescent="0.3">
      <c r="A115" s="132"/>
      <c r="B115" s="132"/>
      <c r="C115" s="132"/>
      <c r="D115" s="132" t="s">
        <v>422</v>
      </c>
      <c r="E115" s="132" t="s">
        <v>423</v>
      </c>
      <c r="F115" s="132" t="s">
        <v>33</v>
      </c>
      <c r="G115" s="132" t="s">
        <v>1240</v>
      </c>
      <c r="H115" s="132" t="s">
        <v>1441</v>
      </c>
      <c r="I115" s="132" t="s">
        <v>1452</v>
      </c>
      <c r="J115" s="132" t="s">
        <v>29</v>
      </c>
      <c r="K115" s="132" t="s">
        <v>46</v>
      </c>
      <c r="L115" s="132" t="s">
        <v>1238</v>
      </c>
      <c r="M115" s="132" t="s">
        <v>109</v>
      </c>
      <c r="N115" s="132" t="s">
        <v>60</v>
      </c>
      <c r="O115" s="132" t="s">
        <v>234</v>
      </c>
      <c r="P115" s="132" t="s">
        <v>88</v>
      </c>
      <c r="Q115" s="132" t="s">
        <v>175</v>
      </c>
      <c r="R115" s="133">
        <v>1</v>
      </c>
    </row>
    <row r="116" spans="1:18" x14ac:dyDescent="0.3">
      <c r="A116" s="132"/>
      <c r="B116" s="132"/>
      <c r="C116" s="132"/>
      <c r="D116" s="132" t="s">
        <v>979</v>
      </c>
      <c r="E116" s="132" t="s">
        <v>419</v>
      </c>
      <c r="F116" s="132" t="s">
        <v>33</v>
      </c>
      <c r="G116" s="132" t="s">
        <v>1536</v>
      </c>
      <c r="H116" s="132" t="s">
        <v>1835</v>
      </c>
      <c r="I116" s="132" t="s">
        <v>1538</v>
      </c>
      <c r="J116" s="132" t="s">
        <v>29</v>
      </c>
      <c r="K116" s="132" t="s">
        <v>46</v>
      </c>
      <c r="L116" s="132" t="s">
        <v>1534</v>
      </c>
      <c r="M116" s="132" t="s">
        <v>109</v>
      </c>
      <c r="N116" s="132" t="s">
        <v>60</v>
      </c>
      <c r="O116" s="132" t="s">
        <v>234</v>
      </c>
      <c r="P116" s="132" t="s">
        <v>88</v>
      </c>
      <c r="Q116" s="132" t="s">
        <v>174</v>
      </c>
      <c r="R116" s="133">
        <v>1</v>
      </c>
    </row>
    <row r="117" spans="1:18" x14ac:dyDescent="0.3">
      <c r="A117" s="132"/>
      <c r="B117" s="132"/>
      <c r="C117" s="132"/>
      <c r="D117" s="132" t="s">
        <v>1907</v>
      </c>
      <c r="E117" s="132" t="s">
        <v>521</v>
      </c>
      <c r="F117" s="132" t="s">
        <v>33</v>
      </c>
      <c r="G117" s="132" t="s">
        <v>1560</v>
      </c>
      <c r="H117" s="132" t="s">
        <v>1186</v>
      </c>
      <c r="I117" s="132" t="s">
        <v>1448</v>
      </c>
      <c r="J117" s="132" t="s">
        <v>29</v>
      </c>
      <c r="K117" s="132" t="s">
        <v>46</v>
      </c>
      <c r="L117" s="132" t="s">
        <v>1180</v>
      </c>
      <c r="M117" s="132" t="s">
        <v>109</v>
      </c>
      <c r="N117" s="132" t="s">
        <v>60</v>
      </c>
      <c r="O117" s="132" t="s">
        <v>234</v>
      </c>
      <c r="P117" s="132" t="s">
        <v>88</v>
      </c>
      <c r="Q117" s="132" t="s">
        <v>174</v>
      </c>
      <c r="R117" s="133">
        <v>1</v>
      </c>
    </row>
    <row r="118" spans="1:18" x14ac:dyDescent="0.3">
      <c r="A118" s="132"/>
      <c r="B118" s="132"/>
      <c r="C118" s="132"/>
      <c r="D118" s="132" t="s">
        <v>1919</v>
      </c>
      <c r="E118" s="132" t="s">
        <v>1920</v>
      </c>
      <c r="F118" s="132" t="s">
        <v>34</v>
      </c>
      <c r="G118" s="132" t="s">
        <v>1560</v>
      </c>
      <c r="H118" s="132" t="s">
        <v>1963</v>
      </c>
      <c r="I118" s="132" t="s">
        <v>1560</v>
      </c>
      <c r="J118" s="132" t="s">
        <v>29</v>
      </c>
      <c r="K118" s="132" t="s">
        <v>47</v>
      </c>
      <c r="L118" s="132" t="s">
        <v>1962</v>
      </c>
      <c r="M118" s="132" t="s">
        <v>109</v>
      </c>
      <c r="N118" s="132" t="s">
        <v>71</v>
      </c>
      <c r="O118" s="132" t="s">
        <v>79</v>
      </c>
      <c r="P118" s="132" t="s">
        <v>88</v>
      </c>
      <c r="Q118" s="132" t="s">
        <v>175</v>
      </c>
      <c r="R118" s="133">
        <v>1</v>
      </c>
    </row>
    <row r="119" spans="1:18" x14ac:dyDescent="0.3">
      <c r="A119" s="132"/>
      <c r="B119" s="132"/>
      <c r="C119" s="132"/>
      <c r="D119" s="132" t="s">
        <v>1928</v>
      </c>
      <c r="E119" s="132" t="s">
        <v>1929</v>
      </c>
      <c r="F119" s="132" t="s">
        <v>33</v>
      </c>
      <c r="G119" s="132" t="s">
        <v>1560</v>
      </c>
      <c r="H119" s="132" t="s">
        <v>1931</v>
      </c>
      <c r="I119" s="132" t="s">
        <v>1930</v>
      </c>
      <c r="J119" s="132" t="s">
        <v>29</v>
      </c>
      <c r="K119" s="132" t="s">
        <v>46</v>
      </c>
      <c r="L119" s="132" t="s">
        <v>194</v>
      </c>
      <c r="M119" s="132" t="s">
        <v>109</v>
      </c>
      <c r="N119" s="132" t="s">
        <v>59</v>
      </c>
      <c r="O119" s="132" t="s">
        <v>234</v>
      </c>
      <c r="P119" s="132" t="s">
        <v>88</v>
      </c>
      <c r="Q119" s="132" t="s">
        <v>174</v>
      </c>
      <c r="R119" s="133">
        <v>1</v>
      </c>
    </row>
    <row r="120" spans="1:18" x14ac:dyDescent="0.3">
      <c r="A120" s="132"/>
      <c r="B120" s="132"/>
      <c r="C120" s="132"/>
      <c r="D120" s="132" t="s">
        <v>2114</v>
      </c>
      <c r="E120" s="132" t="s">
        <v>521</v>
      </c>
      <c r="F120" s="132" t="s">
        <v>33</v>
      </c>
      <c r="G120" s="132" t="s">
        <v>2106</v>
      </c>
      <c r="H120" s="132" t="s">
        <v>2108</v>
      </c>
      <c r="I120" s="132" t="s">
        <v>1560</v>
      </c>
      <c r="J120" s="132" t="s">
        <v>29</v>
      </c>
      <c r="K120" s="132" t="s">
        <v>46</v>
      </c>
      <c r="L120" s="132" t="s">
        <v>1261</v>
      </c>
      <c r="M120" s="132" t="s">
        <v>109</v>
      </c>
      <c r="N120" s="132" t="s">
        <v>59</v>
      </c>
      <c r="O120" s="132" t="s">
        <v>77</v>
      </c>
      <c r="P120" s="132" t="s">
        <v>88</v>
      </c>
      <c r="Q120" s="132" t="s">
        <v>174</v>
      </c>
      <c r="R120" s="133">
        <v>1</v>
      </c>
    </row>
    <row r="121" spans="1:18" x14ac:dyDescent="0.3">
      <c r="A121" s="132"/>
      <c r="B121" s="132" t="s">
        <v>1533</v>
      </c>
      <c r="C121" s="132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3">
        <v>25</v>
      </c>
    </row>
    <row r="122" spans="1:18" x14ac:dyDescent="0.3">
      <c r="A122" s="132" t="s">
        <v>1360</v>
      </c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132"/>
      <c r="Q122" s="132"/>
      <c r="R122" s="133">
        <v>107</v>
      </c>
    </row>
    <row r="123" spans="1:18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1:18" x14ac:dyDescent="0.3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1:18" x14ac:dyDescent="0.3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1:18" x14ac:dyDescent="0.3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1:18" x14ac:dyDescent="0.3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1:18" x14ac:dyDescent="0.3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 spans="1:18" x14ac:dyDescent="0.3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 spans="1:18" x14ac:dyDescent="0.3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 spans="1:18" x14ac:dyDescent="0.3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1:18" x14ac:dyDescent="0.3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 spans="1:18" x14ac:dyDescent="0.3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 spans="1:18" x14ac:dyDescent="0.3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 spans="1:18" x14ac:dyDescent="0.3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 spans="1:18" x14ac:dyDescent="0.3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 spans="1:18" x14ac:dyDescent="0.3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 spans="1:18" x14ac:dyDescent="0.3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 spans="1:18" x14ac:dyDescent="0.3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1:18" x14ac:dyDescent="0.3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 spans="1:18" x14ac:dyDescent="0.3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 spans="1:18" x14ac:dyDescent="0.3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 spans="1:18" x14ac:dyDescent="0.3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 spans="1:18" x14ac:dyDescent="0.3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 spans="1:18" x14ac:dyDescent="0.3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 spans="1:18" x14ac:dyDescent="0.3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1:18" x14ac:dyDescent="0.3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 spans="1:18" x14ac:dyDescent="0.3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1:18" x14ac:dyDescent="0.3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1:18" x14ac:dyDescent="0.3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1:18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1:18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1:18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1:18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1:18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1:18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1:18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1:18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1:18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1:18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1:18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1:18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 spans="1:18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 spans="1:18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1:18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1:18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  <row r="167" spans="1:18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</row>
    <row r="168" spans="1:18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</row>
    <row r="169" spans="1:18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 spans="1:18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</row>
    <row r="171" spans="1:18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1:18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1:18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1:18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1:18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1:18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1:18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1:18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1:18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1:18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1:18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1:18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1:18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1:18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1:18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1:18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1:18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1:18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1:18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1:18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1:18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1:18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1:18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1:18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1:18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1:18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1:18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1:18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1:18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1:18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1:18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1:18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1:18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1:18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1:18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1:18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</row>
    <row r="207" spans="1:18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</row>
    <row r="208" spans="1:18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</row>
    <row r="209" spans="1:16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</row>
    <row r="210" spans="1:16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</row>
    <row r="211" spans="1:16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</row>
    <row r="212" spans="1:16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</row>
    <row r="213" spans="1:16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</row>
    <row r="214" spans="1:16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</row>
    <row r="215" spans="1:16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</row>
    <row r="216" spans="1:16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</row>
    <row r="217" spans="1:16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</row>
    <row r="218" spans="1:16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</row>
    <row r="219" spans="1:16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</row>
    <row r="220" spans="1:16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</row>
    <row r="221" spans="1:16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</row>
    <row r="222" spans="1:16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</row>
    <row r="223" spans="1:16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</row>
    <row r="224" spans="1:16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</row>
    <row r="225" spans="1:16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</row>
    <row r="226" spans="1:16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</row>
    <row r="227" spans="1:16" x14ac:dyDescent="0.3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</row>
    <row r="228" spans="1:16" x14ac:dyDescent="0.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</row>
    <row r="229" spans="1:16" x14ac:dyDescent="0.3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</row>
    <row r="230" spans="1:16" x14ac:dyDescent="0.3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</row>
    <row r="231" spans="1:16" x14ac:dyDescent="0.3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</row>
    <row r="232" spans="1:16" x14ac:dyDescent="0.3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</row>
    <row r="233" spans="1:16" x14ac:dyDescent="0.3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</row>
    <row r="234" spans="1:16" x14ac:dyDescent="0.3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</row>
    <row r="235" spans="1:16" x14ac:dyDescent="0.3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</row>
    <row r="236" spans="1:16" x14ac:dyDescent="0.3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</row>
    <row r="237" spans="1:16" x14ac:dyDescent="0.3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</row>
    <row r="238" spans="1:16" x14ac:dyDescent="0.3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</row>
    <row r="239" spans="1:16" x14ac:dyDescent="0.3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9874-7261-4B00-B7F1-1EA49231B6DF}">
  <sheetPr codeName="Hoja4">
    <tabColor theme="7"/>
    <pageSetUpPr fitToPage="1"/>
  </sheetPr>
  <dimension ref="A3:L25"/>
  <sheetViews>
    <sheetView topLeftCell="A8" zoomScaleNormal="100" workbookViewId="0">
      <selection activeCell="G27" sqref="G27"/>
    </sheetView>
  </sheetViews>
  <sheetFormatPr baseColWidth="10" defaultColWidth="11.42578125" defaultRowHeight="15" x14ac:dyDescent="0.25"/>
  <cols>
    <col min="1" max="1" width="17.7109375" bestFit="1" customWidth="1"/>
    <col min="2" max="2" width="11.85546875" bestFit="1" customWidth="1"/>
    <col min="3" max="3" width="8.7109375" bestFit="1" customWidth="1"/>
    <col min="4" max="4" width="24.42578125" bestFit="1" customWidth="1"/>
    <col min="5" max="5" width="13.140625" bestFit="1" customWidth="1"/>
    <col min="6" max="6" width="12.5703125" bestFit="1" customWidth="1"/>
    <col min="7" max="7" width="34.5703125" bestFit="1" customWidth="1"/>
    <col min="8" max="8" width="10" bestFit="1" customWidth="1"/>
    <col min="9" max="9" width="11.140625" customWidth="1"/>
    <col min="10" max="10" width="14.5703125" bestFit="1" customWidth="1"/>
    <col min="11" max="11" width="14.28515625" bestFit="1" customWidth="1"/>
    <col min="12" max="12" width="11.85546875" bestFit="1" customWidth="1"/>
  </cols>
  <sheetData>
    <row r="3" spans="1:12" s="69" customFormat="1" ht="45" x14ac:dyDescent="0.25">
      <c r="A3" s="68" t="s">
        <v>25</v>
      </c>
      <c r="B3" s="68" t="s">
        <v>1</v>
      </c>
      <c r="C3" s="68" t="s">
        <v>3</v>
      </c>
      <c r="D3" s="68" t="s">
        <v>4</v>
      </c>
      <c r="E3" s="68" t="s">
        <v>5</v>
      </c>
      <c r="F3" s="68" t="s">
        <v>19</v>
      </c>
      <c r="G3" s="68" t="s">
        <v>130</v>
      </c>
      <c r="H3" s="69" t="s">
        <v>1668</v>
      </c>
      <c r="J3"/>
      <c r="K3"/>
      <c r="L3"/>
    </row>
    <row r="4" spans="1:12" x14ac:dyDescent="0.25">
      <c r="A4" t="s">
        <v>108</v>
      </c>
      <c r="B4" t="s">
        <v>37</v>
      </c>
      <c r="C4" t="s">
        <v>1058</v>
      </c>
      <c r="D4" t="s">
        <v>1802</v>
      </c>
      <c r="E4" t="s">
        <v>1060</v>
      </c>
      <c r="F4" t="s">
        <v>1057</v>
      </c>
      <c r="G4" t="s">
        <v>1470</v>
      </c>
      <c r="H4" s="108">
        <v>1</v>
      </c>
    </row>
    <row r="5" spans="1:12" x14ac:dyDescent="0.25">
      <c r="D5" t="s">
        <v>1803</v>
      </c>
      <c r="E5" t="s">
        <v>1726</v>
      </c>
      <c r="F5" t="s">
        <v>1062</v>
      </c>
      <c r="G5" t="s">
        <v>1107</v>
      </c>
      <c r="H5" s="108">
        <v>1</v>
      </c>
    </row>
    <row r="6" spans="1:12" x14ac:dyDescent="0.25">
      <c r="E6" t="s">
        <v>1727</v>
      </c>
      <c r="F6" t="s">
        <v>1065</v>
      </c>
      <c r="G6" s="109" t="s">
        <v>1107</v>
      </c>
      <c r="H6" s="108">
        <v>1</v>
      </c>
    </row>
    <row r="7" spans="1:12" x14ac:dyDescent="0.25">
      <c r="C7" t="s">
        <v>1027</v>
      </c>
      <c r="D7" s="109" t="s">
        <v>1034</v>
      </c>
      <c r="E7" s="109" t="s">
        <v>1094</v>
      </c>
      <c r="F7" s="109" t="s">
        <v>1051</v>
      </c>
      <c r="G7" s="109" t="s">
        <v>1106</v>
      </c>
      <c r="H7" s="108">
        <v>1</v>
      </c>
    </row>
    <row r="8" spans="1:12" x14ac:dyDescent="0.25">
      <c r="D8" s="109"/>
      <c r="E8" s="109" t="s">
        <v>1092</v>
      </c>
      <c r="F8" s="109" t="s">
        <v>1045</v>
      </c>
      <c r="G8" s="109" t="s">
        <v>1432</v>
      </c>
      <c r="H8" s="108">
        <v>1</v>
      </c>
    </row>
    <row r="9" spans="1:12" x14ac:dyDescent="0.25">
      <c r="D9" s="109"/>
      <c r="E9" s="109" t="s">
        <v>1080</v>
      </c>
      <c r="F9" s="109" t="s">
        <v>1069</v>
      </c>
      <c r="G9" s="109" t="s">
        <v>1109</v>
      </c>
      <c r="H9" s="108">
        <v>1</v>
      </c>
    </row>
    <row r="10" spans="1:12" x14ac:dyDescent="0.25">
      <c r="D10" s="109"/>
      <c r="E10" s="109" t="s">
        <v>1037</v>
      </c>
      <c r="F10" s="109" t="s">
        <v>1033</v>
      </c>
      <c r="G10" s="109" t="s">
        <v>1104</v>
      </c>
      <c r="H10" s="108">
        <v>1</v>
      </c>
    </row>
    <row r="11" spans="1:12" x14ac:dyDescent="0.25">
      <c r="D11" s="109"/>
      <c r="E11" s="109" t="s">
        <v>1097</v>
      </c>
      <c r="F11" s="109" t="s">
        <v>1067</v>
      </c>
      <c r="G11" s="109" t="s">
        <v>1479</v>
      </c>
      <c r="H11" s="108">
        <v>1</v>
      </c>
    </row>
    <row r="12" spans="1:12" x14ac:dyDescent="0.25">
      <c r="D12" s="109"/>
      <c r="E12" s="109" t="s">
        <v>1093</v>
      </c>
      <c r="F12" s="109" t="s">
        <v>1048</v>
      </c>
      <c r="G12" s="109" t="s">
        <v>1480</v>
      </c>
      <c r="H12" s="108">
        <v>1</v>
      </c>
    </row>
    <row r="13" spans="1:12" x14ac:dyDescent="0.25">
      <c r="D13" s="109"/>
      <c r="E13" s="109" t="s">
        <v>1095</v>
      </c>
      <c r="F13" s="109" t="s">
        <v>1061</v>
      </c>
      <c r="G13" s="109" t="s">
        <v>1472</v>
      </c>
      <c r="H13" s="108">
        <v>1</v>
      </c>
    </row>
    <row r="14" spans="1:12" x14ac:dyDescent="0.25">
      <c r="D14" s="109"/>
      <c r="E14" s="109" t="s">
        <v>1099</v>
      </c>
      <c r="F14" s="109" t="s">
        <v>1071</v>
      </c>
      <c r="G14" s="109" t="s">
        <v>1439</v>
      </c>
      <c r="H14" s="108">
        <v>1</v>
      </c>
    </row>
    <row r="15" spans="1:12" x14ac:dyDescent="0.25">
      <c r="D15" s="109"/>
      <c r="E15" s="109" t="s">
        <v>1098</v>
      </c>
      <c r="F15" s="112" t="s">
        <v>1070</v>
      </c>
      <c r="G15" s="109" t="s">
        <v>1110</v>
      </c>
      <c r="H15" s="108">
        <v>1</v>
      </c>
    </row>
    <row r="16" spans="1:12" x14ac:dyDescent="0.25">
      <c r="D16" s="109" t="s">
        <v>1032</v>
      </c>
      <c r="E16" s="109" t="s">
        <v>1089</v>
      </c>
      <c r="F16" s="109" t="s">
        <v>1038</v>
      </c>
      <c r="G16" s="109" t="s">
        <v>1105</v>
      </c>
      <c r="H16" s="108">
        <v>1</v>
      </c>
    </row>
    <row r="17" spans="1:11" x14ac:dyDescent="0.25">
      <c r="D17" s="109"/>
      <c r="E17" s="109" t="s">
        <v>1028</v>
      </c>
      <c r="F17" t="s">
        <v>1074</v>
      </c>
      <c r="G17" s="109" t="s">
        <v>1476</v>
      </c>
      <c r="H17" s="108">
        <v>1</v>
      </c>
    </row>
    <row r="18" spans="1:11" x14ac:dyDescent="0.25">
      <c r="D18" s="109"/>
      <c r="E18" s="109" t="s">
        <v>1096</v>
      </c>
      <c r="F18" s="109" t="s">
        <v>1066</v>
      </c>
      <c r="G18" s="109" t="s">
        <v>1477</v>
      </c>
      <c r="H18" s="108">
        <v>1</v>
      </c>
    </row>
    <row r="19" spans="1:11" x14ac:dyDescent="0.25">
      <c r="D19" s="109"/>
      <c r="E19" s="109" t="s">
        <v>1485</v>
      </c>
      <c r="F19" s="109" t="s">
        <v>1068</v>
      </c>
      <c r="G19" s="109" t="s">
        <v>1108</v>
      </c>
      <c r="H19" s="108">
        <v>1</v>
      </c>
    </row>
    <row r="20" spans="1:11" x14ac:dyDescent="0.25">
      <c r="D20" s="109"/>
      <c r="E20" s="109" t="s">
        <v>1487</v>
      </c>
      <c r="F20" s="109" t="s">
        <v>1041</v>
      </c>
      <c r="G20" s="109" t="s">
        <v>1475</v>
      </c>
      <c r="H20" s="108">
        <v>1</v>
      </c>
    </row>
    <row r="21" spans="1:11" x14ac:dyDescent="0.25">
      <c r="D21" s="109"/>
      <c r="E21" s="109" t="s">
        <v>1091</v>
      </c>
      <c r="F21" s="109" t="s">
        <v>1043</v>
      </c>
      <c r="G21" s="109" t="s">
        <v>1474</v>
      </c>
      <c r="H21" s="108">
        <v>1</v>
      </c>
    </row>
    <row r="22" spans="1:11" x14ac:dyDescent="0.25">
      <c r="C22" t="s">
        <v>1724</v>
      </c>
      <c r="D22" t="s">
        <v>1725</v>
      </c>
      <c r="E22" s="84">
        <v>3500930400</v>
      </c>
      <c r="F22" t="s">
        <v>1029</v>
      </c>
      <c r="G22" s="109" t="s">
        <v>1103</v>
      </c>
      <c r="H22" s="108">
        <v>1</v>
      </c>
      <c r="K22" s="73"/>
    </row>
    <row r="23" spans="1:11" x14ac:dyDescent="0.25">
      <c r="D23" t="s">
        <v>1729</v>
      </c>
      <c r="E23" t="s">
        <v>1728</v>
      </c>
      <c r="F23" t="s">
        <v>1090</v>
      </c>
      <c r="G23" t="s">
        <v>1471</v>
      </c>
      <c r="H23" s="108">
        <v>1</v>
      </c>
      <c r="K23" s="73"/>
    </row>
    <row r="24" spans="1:11" x14ac:dyDescent="0.25">
      <c r="E24">
        <v>15064216</v>
      </c>
      <c r="F24" t="s">
        <v>1054</v>
      </c>
      <c r="G24" t="s">
        <v>1478</v>
      </c>
      <c r="H24" s="108">
        <v>1</v>
      </c>
      <c r="K24" s="73"/>
    </row>
    <row r="25" spans="1:11" x14ac:dyDescent="0.25">
      <c r="A25" t="s">
        <v>1360</v>
      </c>
      <c r="H25" s="108">
        <v>21</v>
      </c>
    </row>
  </sheetData>
  <pageMargins left="0.70866141732283472" right="0.70866141732283472" top="0.74803149606299213" bottom="0.74803149606299213" header="0.31496062992125984" footer="0.31496062992125984"/>
  <pageSetup paperSize="9" scale="66" orientation="portrait" horizontalDpi="4294967293" verticalDpi="4294967293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DE480-6C7F-4B0F-BF45-6BBF265383E0}">
  <dimension ref="A3:L12"/>
  <sheetViews>
    <sheetView workbookViewId="0">
      <selection activeCell="J16" sqref="J16"/>
    </sheetView>
  </sheetViews>
  <sheetFormatPr baseColWidth="10" defaultRowHeight="15" x14ac:dyDescent="0.25"/>
  <cols>
    <col min="1" max="1" width="30.85546875" bestFit="1" customWidth="1"/>
    <col min="2" max="2" width="27.85546875" bestFit="1" customWidth="1"/>
    <col min="3" max="3" width="17.42578125" bestFit="1" customWidth="1"/>
    <col min="4" max="4" width="19.140625" bestFit="1" customWidth="1"/>
    <col min="5" max="5" width="27.85546875" bestFit="1" customWidth="1"/>
    <col min="6" max="6" width="9.42578125" bestFit="1" customWidth="1"/>
    <col min="7" max="7" width="8.7109375" bestFit="1" customWidth="1"/>
    <col min="8" max="8" width="15.28515625" bestFit="1" customWidth="1"/>
    <col min="9" max="9" width="18.28515625" bestFit="1" customWidth="1"/>
    <col min="10" max="10" width="14.5703125" bestFit="1" customWidth="1"/>
    <col min="11" max="11" width="19.28515625" bestFit="1" customWidth="1"/>
    <col min="12" max="12" width="9.85546875" bestFit="1" customWidth="1"/>
    <col min="13" max="13" width="16.7109375" bestFit="1" customWidth="1"/>
  </cols>
  <sheetData>
    <row r="3" spans="1:12" s="69" customFormat="1" ht="30" x14ac:dyDescent="0.25">
      <c r="A3" s="68" t="s">
        <v>25</v>
      </c>
      <c r="B3" s="68" t="s">
        <v>32</v>
      </c>
      <c r="C3" s="68" t="s">
        <v>1619</v>
      </c>
      <c r="D3" s="68" t="s">
        <v>30</v>
      </c>
      <c r="E3" s="68" t="s">
        <v>29</v>
      </c>
      <c r="F3" s="68" t="s">
        <v>1</v>
      </c>
      <c r="G3" s="68" t="s">
        <v>3</v>
      </c>
      <c r="H3" s="68" t="s">
        <v>4</v>
      </c>
      <c r="I3" s="68" t="s">
        <v>5</v>
      </c>
      <c r="J3" s="68" t="s">
        <v>19</v>
      </c>
      <c r="K3" s="68" t="s">
        <v>26</v>
      </c>
      <c r="L3" s="69" t="s">
        <v>1756</v>
      </c>
    </row>
    <row r="4" spans="1:12" x14ac:dyDescent="0.25">
      <c r="A4" t="s">
        <v>107</v>
      </c>
      <c r="B4" t="s">
        <v>259</v>
      </c>
      <c r="C4" t="s">
        <v>387</v>
      </c>
      <c r="D4" t="s">
        <v>387</v>
      </c>
      <c r="E4" t="s">
        <v>387</v>
      </c>
      <c r="F4" t="s">
        <v>1671</v>
      </c>
      <c r="G4" t="s">
        <v>1672</v>
      </c>
      <c r="H4" t="s">
        <v>1890</v>
      </c>
      <c r="I4" t="s">
        <v>1898</v>
      </c>
      <c r="J4" t="s">
        <v>1968</v>
      </c>
      <c r="K4" t="s">
        <v>109</v>
      </c>
      <c r="L4" s="108">
        <v>1</v>
      </c>
    </row>
    <row r="5" spans="1:12" x14ac:dyDescent="0.25">
      <c r="C5" t="s">
        <v>535</v>
      </c>
      <c r="D5" t="s">
        <v>2038</v>
      </c>
      <c r="E5" t="s">
        <v>2038</v>
      </c>
      <c r="F5" t="s">
        <v>1671</v>
      </c>
      <c r="G5" t="s">
        <v>1672</v>
      </c>
      <c r="H5" t="s">
        <v>1890</v>
      </c>
      <c r="I5" t="s">
        <v>1891</v>
      </c>
      <c r="J5" t="s">
        <v>2037</v>
      </c>
      <c r="K5" t="s">
        <v>109</v>
      </c>
      <c r="L5" s="108">
        <v>1</v>
      </c>
    </row>
    <row r="6" spans="1:12" x14ac:dyDescent="0.25">
      <c r="C6" t="s">
        <v>453</v>
      </c>
      <c r="D6" t="s">
        <v>1967</v>
      </c>
      <c r="E6" t="s">
        <v>1967</v>
      </c>
      <c r="F6" t="s">
        <v>1671</v>
      </c>
      <c r="G6" t="s">
        <v>1672</v>
      </c>
      <c r="H6" t="s">
        <v>1890</v>
      </c>
      <c r="I6" t="s">
        <v>1897</v>
      </c>
      <c r="J6" t="s">
        <v>2036</v>
      </c>
      <c r="K6" t="s">
        <v>109</v>
      </c>
      <c r="L6" s="108">
        <v>1</v>
      </c>
    </row>
    <row r="7" spans="1:12" x14ac:dyDescent="0.25">
      <c r="C7" t="s">
        <v>1893</v>
      </c>
      <c r="D7" t="s">
        <v>2039</v>
      </c>
      <c r="E7" t="s">
        <v>2039</v>
      </c>
      <c r="F7" t="s">
        <v>1671</v>
      </c>
      <c r="G7" t="s">
        <v>1672</v>
      </c>
      <c r="H7" t="s">
        <v>1890</v>
      </c>
      <c r="I7" t="s">
        <v>1892</v>
      </c>
      <c r="J7" t="s">
        <v>1894</v>
      </c>
      <c r="K7" t="s">
        <v>109</v>
      </c>
      <c r="L7" s="108">
        <v>1</v>
      </c>
    </row>
    <row r="8" spans="1:12" x14ac:dyDescent="0.25">
      <c r="C8" t="s">
        <v>2034</v>
      </c>
      <c r="D8" t="s">
        <v>2040</v>
      </c>
      <c r="E8" t="s">
        <v>2040</v>
      </c>
      <c r="F8" t="s">
        <v>1671</v>
      </c>
      <c r="G8" t="s">
        <v>1672</v>
      </c>
      <c r="H8" t="s">
        <v>1890</v>
      </c>
      <c r="I8" t="s">
        <v>1900</v>
      </c>
      <c r="J8" t="s">
        <v>2033</v>
      </c>
      <c r="K8" t="s">
        <v>109</v>
      </c>
      <c r="L8" s="108">
        <v>1</v>
      </c>
    </row>
    <row r="9" spans="1:12" x14ac:dyDescent="0.25">
      <c r="C9" t="s">
        <v>2042</v>
      </c>
      <c r="D9" t="s">
        <v>2041</v>
      </c>
      <c r="E9" t="s">
        <v>2041</v>
      </c>
      <c r="F9" t="s">
        <v>1671</v>
      </c>
      <c r="G9" t="s">
        <v>1672</v>
      </c>
      <c r="H9" t="s">
        <v>1890</v>
      </c>
      <c r="I9" t="s">
        <v>1901</v>
      </c>
      <c r="J9" t="s">
        <v>2035</v>
      </c>
      <c r="K9" t="s">
        <v>109</v>
      </c>
      <c r="L9" s="108">
        <v>1</v>
      </c>
    </row>
    <row r="10" spans="1:12" x14ac:dyDescent="0.25">
      <c r="B10" t="s">
        <v>593</v>
      </c>
      <c r="C10" t="s">
        <v>593</v>
      </c>
      <c r="D10" t="s">
        <v>593</v>
      </c>
      <c r="E10" t="s">
        <v>593</v>
      </c>
      <c r="F10" t="s">
        <v>1671</v>
      </c>
      <c r="G10" t="s">
        <v>1672</v>
      </c>
      <c r="H10" t="s">
        <v>1890</v>
      </c>
      <c r="I10" t="s">
        <v>1899</v>
      </c>
      <c r="J10" t="s">
        <v>1560</v>
      </c>
      <c r="K10" t="s">
        <v>176</v>
      </c>
      <c r="L10" s="108">
        <v>1</v>
      </c>
    </row>
    <row r="11" spans="1:12" x14ac:dyDescent="0.25">
      <c r="I11" t="s">
        <v>1902</v>
      </c>
      <c r="J11" t="s">
        <v>1560</v>
      </c>
      <c r="K11" t="s">
        <v>176</v>
      </c>
      <c r="L11" s="108">
        <v>1</v>
      </c>
    </row>
    <row r="12" spans="1:12" x14ac:dyDescent="0.25">
      <c r="A12" t="s">
        <v>1360</v>
      </c>
      <c r="L12" s="108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7AA06-11EB-464A-B6A6-AB5BED0E34AE}">
  <sheetPr codeName="Hoja5"/>
  <dimension ref="B4:AK30"/>
  <sheetViews>
    <sheetView topLeftCell="C1" workbookViewId="0">
      <selection activeCell="W17" sqref="W17"/>
    </sheetView>
  </sheetViews>
  <sheetFormatPr baseColWidth="10" defaultColWidth="11.42578125" defaultRowHeight="15" x14ac:dyDescent="0.25"/>
  <cols>
    <col min="17" max="17" width="13.7109375" bestFit="1" customWidth="1"/>
    <col min="23" max="23" width="18.28515625" customWidth="1"/>
    <col min="25" max="25" width="16.5703125" bestFit="1" customWidth="1"/>
    <col min="31" max="31" width="23.140625" customWidth="1"/>
  </cols>
  <sheetData>
    <row r="4" spans="2:37" ht="40.5" x14ac:dyDescent="0.25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12</v>
      </c>
      <c r="I4" s="3" t="s">
        <v>13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14</v>
      </c>
      <c r="P4" s="3" t="s">
        <v>66</v>
      </c>
      <c r="Q4" s="3" t="s">
        <v>115</v>
      </c>
      <c r="R4" s="3" t="s">
        <v>15</v>
      </c>
      <c r="S4" s="3" t="s">
        <v>16</v>
      </c>
      <c r="T4" s="3" t="s">
        <v>17</v>
      </c>
      <c r="U4" s="3" t="s">
        <v>18</v>
      </c>
      <c r="V4" s="3" t="s">
        <v>19</v>
      </c>
      <c r="W4" s="3" t="s">
        <v>20</v>
      </c>
      <c r="X4" s="3" t="s">
        <v>168</v>
      </c>
      <c r="Y4" s="3" t="s">
        <v>173</v>
      </c>
      <c r="Z4" s="3" t="s">
        <v>21</v>
      </c>
      <c r="AA4" s="3" t="s">
        <v>22</v>
      </c>
      <c r="AB4" s="3" t="s">
        <v>23</v>
      </c>
      <c r="AC4" s="3" t="s">
        <v>24</v>
      </c>
      <c r="AD4" s="3" t="s">
        <v>25</v>
      </c>
      <c r="AE4" s="3" t="s">
        <v>26</v>
      </c>
      <c r="AF4" s="3" t="s">
        <v>27</v>
      </c>
      <c r="AG4" s="3" t="s">
        <v>28</v>
      </c>
      <c r="AH4" s="3" t="s">
        <v>29</v>
      </c>
      <c r="AI4" s="3" t="s">
        <v>30</v>
      </c>
      <c r="AJ4" s="3" t="s">
        <v>31</v>
      </c>
      <c r="AK4" s="3" t="s">
        <v>32</v>
      </c>
    </row>
    <row r="5" spans="2:37" x14ac:dyDescent="0.25">
      <c r="B5" t="s">
        <v>33</v>
      </c>
      <c r="C5" t="s">
        <v>29</v>
      </c>
      <c r="D5" t="s">
        <v>46</v>
      </c>
      <c r="H5" t="s">
        <v>50</v>
      </c>
      <c r="O5" t="s">
        <v>53</v>
      </c>
      <c r="P5" t="s">
        <v>131</v>
      </c>
      <c r="Q5" t="s">
        <v>117</v>
      </c>
      <c r="R5" t="s">
        <v>57</v>
      </c>
      <c r="T5" t="s">
        <v>74</v>
      </c>
      <c r="U5" t="s">
        <v>80</v>
      </c>
      <c r="W5" t="s">
        <v>88</v>
      </c>
      <c r="X5" t="s">
        <v>169</v>
      </c>
      <c r="Y5" t="s">
        <v>174</v>
      </c>
      <c r="AD5" t="s">
        <v>107</v>
      </c>
      <c r="AE5" t="s">
        <v>109</v>
      </c>
    </row>
    <row r="6" spans="2:37" x14ac:dyDescent="0.25">
      <c r="B6" t="s">
        <v>34</v>
      </c>
      <c r="C6" t="s">
        <v>38</v>
      </c>
      <c r="D6" t="s">
        <v>47</v>
      </c>
      <c r="H6" t="s">
        <v>51</v>
      </c>
      <c r="O6" t="s">
        <v>54</v>
      </c>
      <c r="P6" t="s">
        <v>132</v>
      </c>
      <c r="Q6" t="s">
        <v>116</v>
      </c>
      <c r="R6" t="s">
        <v>58</v>
      </c>
      <c r="T6" t="s">
        <v>75</v>
      </c>
      <c r="U6" t="s">
        <v>81</v>
      </c>
      <c r="W6" t="s">
        <v>1896</v>
      </c>
      <c r="X6" t="s">
        <v>170</v>
      </c>
      <c r="Y6" t="s">
        <v>175</v>
      </c>
      <c r="AD6" t="s">
        <v>108</v>
      </c>
      <c r="AE6" t="s">
        <v>110</v>
      </c>
    </row>
    <row r="7" spans="2:37" x14ac:dyDescent="0.25">
      <c r="B7" t="s">
        <v>35</v>
      </c>
      <c r="D7" t="s">
        <v>48</v>
      </c>
      <c r="H7" t="s">
        <v>52</v>
      </c>
      <c r="O7" t="s">
        <v>55</v>
      </c>
      <c r="P7" t="s">
        <v>133</v>
      </c>
      <c r="Q7" t="s">
        <v>118</v>
      </c>
      <c r="R7" t="s">
        <v>59</v>
      </c>
      <c r="T7" t="s">
        <v>76</v>
      </c>
      <c r="U7" t="s">
        <v>228</v>
      </c>
      <c r="W7" t="s">
        <v>1210</v>
      </c>
      <c r="X7" t="s">
        <v>171</v>
      </c>
      <c r="AE7" t="s">
        <v>114</v>
      </c>
    </row>
    <row r="8" spans="2:37" x14ac:dyDescent="0.25">
      <c r="B8" t="s">
        <v>36</v>
      </c>
      <c r="D8" t="s">
        <v>49</v>
      </c>
      <c r="O8" t="s">
        <v>56</v>
      </c>
      <c r="P8" t="s">
        <v>89</v>
      </c>
      <c r="R8" t="s">
        <v>60</v>
      </c>
      <c r="T8" t="s">
        <v>77</v>
      </c>
      <c r="U8" t="s">
        <v>229</v>
      </c>
      <c r="W8" t="s">
        <v>158</v>
      </c>
      <c r="X8" t="s">
        <v>172</v>
      </c>
      <c r="AE8" t="s">
        <v>111</v>
      </c>
    </row>
    <row r="9" spans="2:37" x14ac:dyDescent="0.25">
      <c r="B9" t="s">
        <v>37</v>
      </c>
      <c r="D9" t="s">
        <v>125</v>
      </c>
      <c r="O9" t="s">
        <v>99</v>
      </c>
      <c r="P9" t="s">
        <v>90</v>
      </c>
      <c r="R9" t="s">
        <v>61</v>
      </c>
      <c r="T9" t="s">
        <v>234</v>
      </c>
      <c r="U9" t="s">
        <v>230</v>
      </c>
      <c r="W9" t="s">
        <v>159</v>
      </c>
      <c r="AE9" t="s">
        <v>112</v>
      </c>
    </row>
    <row r="10" spans="2:37" x14ac:dyDescent="0.25">
      <c r="B10" t="s">
        <v>38</v>
      </c>
      <c r="D10" t="s">
        <v>126</v>
      </c>
      <c r="O10" t="s">
        <v>100</v>
      </c>
      <c r="P10" t="s">
        <v>91</v>
      </c>
      <c r="R10" t="s">
        <v>62</v>
      </c>
      <c r="T10" t="s">
        <v>78</v>
      </c>
      <c r="U10" t="s">
        <v>82</v>
      </c>
      <c r="W10" t="s">
        <v>160</v>
      </c>
      <c r="AE10" t="s">
        <v>113</v>
      </c>
    </row>
    <row r="11" spans="2:37" x14ac:dyDescent="0.25">
      <c r="B11" t="s">
        <v>39</v>
      </c>
      <c r="D11" t="s">
        <v>137</v>
      </c>
      <c r="O11" t="s">
        <v>140</v>
      </c>
      <c r="P11" t="s">
        <v>92</v>
      </c>
      <c r="R11" t="s">
        <v>63</v>
      </c>
      <c r="T11" t="s">
        <v>79</v>
      </c>
      <c r="U11" t="s">
        <v>83</v>
      </c>
      <c r="W11" t="s">
        <v>161</v>
      </c>
      <c r="AE11" t="s">
        <v>176</v>
      </c>
    </row>
    <row r="12" spans="2:37" x14ac:dyDescent="0.25">
      <c r="B12" t="s">
        <v>40</v>
      </c>
      <c r="D12" t="s">
        <v>138</v>
      </c>
      <c r="O12" t="s">
        <v>1676</v>
      </c>
      <c r="P12" t="s">
        <v>93</v>
      </c>
      <c r="R12" t="s">
        <v>64</v>
      </c>
      <c r="T12" t="s">
        <v>211</v>
      </c>
      <c r="U12" t="s">
        <v>84</v>
      </c>
      <c r="W12" t="s">
        <v>162</v>
      </c>
      <c r="AE12" t="s">
        <v>177</v>
      </c>
    </row>
    <row r="13" spans="2:37" x14ac:dyDescent="0.25">
      <c r="B13" t="s">
        <v>41</v>
      </c>
      <c r="D13" t="s">
        <v>1797</v>
      </c>
      <c r="O13" t="s">
        <v>1812</v>
      </c>
      <c r="P13" t="s">
        <v>94</v>
      </c>
      <c r="R13" t="s">
        <v>65</v>
      </c>
      <c r="T13" t="s">
        <v>212</v>
      </c>
      <c r="U13" t="s">
        <v>85</v>
      </c>
      <c r="W13" t="s">
        <v>163</v>
      </c>
      <c r="AE13" t="s">
        <v>178</v>
      </c>
    </row>
    <row r="14" spans="2:37" x14ac:dyDescent="0.25">
      <c r="B14" t="s">
        <v>42</v>
      </c>
      <c r="D14" t="s">
        <v>139</v>
      </c>
      <c r="O14" t="s">
        <v>1895</v>
      </c>
      <c r="P14" t="s">
        <v>95</v>
      </c>
      <c r="R14" t="s">
        <v>67</v>
      </c>
      <c r="T14" t="s">
        <v>145</v>
      </c>
      <c r="U14" t="s">
        <v>86</v>
      </c>
      <c r="W14" t="s">
        <v>1174</v>
      </c>
      <c r="AE14" t="s">
        <v>179</v>
      </c>
    </row>
    <row r="15" spans="2:37" x14ac:dyDescent="0.25">
      <c r="B15" t="s">
        <v>43</v>
      </c>
      <c r="D15" t="s">
        <v>216</v>
      </c>
      <c r="P15" t="s">
        <v>96</v>
      </c>
      <c r="R15" t="s">
        <v>68</v>
      </c>
      <c r="T15" t="s">
        <v>146</v>
      </c>
      <c r="U15" t="s">
        <v>87</v>
      </c>
      <c r="W15" t="s">
        <v>1673</v>
      </c>
      <c r="AE15" t="s">
        <v>206</v>
      </c>
    </row>
    <row r="16" spans="2:37" x14ac:dyDescent="0.25">
      <c r="B16" t="s">
        <v>44</v>
      </c>
      <c r="D16" t="s">
        <v>1027</v>
      </c>
      <c r="P16" t="s">
        <v>97</v>
      </c>
      <c r="R16" t="s">
        <v>103</v>
      </c>
      <c r="T16" t="s">
        <v>147</v>
      </c>
      <c r="U16" t="s">
        <v>156</v>
      </c>
      <c r="W16" t="s">
        <v>1814</v>
      </c>
      <c r="AE16" t="s">
        <v>180</v>
      </c>
    </row>
    <row r="17" spans="2:23" x14ac:dyDescent="0.25">
      <c r="B17" t="s">
        <v>45</v>
      </c>
      <c r="D17" t="s">
        <v>1058</v>
      </c>
      <c r="P17" t="s">
        <v>98</v>
      </c>
      <c r="R17" t="s">
        <v>104</v>
      </c>
      <c r="T17" t="s">
        <v>1345</v>
      </c>
      <c r="U17" t="s">
        <v>154</v>
      </c>
      <c r="W17" t="s">
        <v>2027</v>
      </c>
    </row>
    <row r="18" spans="2:23" x14ac:dyDescent="0.25">
      <c r="B18" t="s">
        <v>127</v>
      </c>
      <c r="D18" t="s">
        <v>1672</v>
      </c>
      <c r="P18" t="s">
        <v>101</v>
      </c>
      <c r="R18" t="s">
        <v>69</v>
      </c>
      <c r="T18" t="s">
        <v>1364</v>
      </c>
      <c r="U18" t="s">
        <v>157</v>
      </c>
    </row>
    <row r="19" spans="2:23" x14ac:dyDescent="0.25">
      <c r="B19" t="s">
        <v>1671</v>
      </c>
      <c r="D19" t="s">
        <v>1724</v>
      </c>
      <c r="P19" t="s">
        <v>102</v>
      </c>
      <c r="R19" t="s">
        <v>70</v>
      </c>
      <c r="T19" t="s">
        <v>1813</v>
      </c>
      <c r="U19" t="s">
        <v>148</v>
      </c>
    </row>
    <row r="20" spans="2:23" x14ac:dyDescent="0.25">
      <c r="D20" t="s">
        <v>1805</v>
      </c>
      <c r="R20" t="s">
        <v>71</v>
      </c>
      <c r="T20" t="s">
        <v>1973</v>
      </c>
      <c r="U20" t="s">
        <v>155</v>
      </c>
    </row>
    <row r="21" spans="2:23" x14ac:dyDescent="0.25">
      <c r="D21" t="s">
        <v>1820</v>
      </c>
      <c r="R21" t="s">
        <v>72</v>
      </c>
      <c r="T21" t="s">
        <v>2008</v>
      </c>
      <c r="U21" t="s">
        <v>149</v>
      </c>
    </row>
    <row r="22" spans="2:23" x14ac:dyDescent="0.25">
      <c r="D22" t="s">
        <v>1972</v>
      </c>
      <c r="R22" t="s">
        <v>73</v>
      </c>
      <c r="T22" t="s">
        <v>2009</v>
      </c>
      <c r="U22" t="s">
        <v>150</v>
      </c>
    </row>
    <row r="23" spans="2:23" x14ac:dyDescent="0.25">
      <c r="R23" t="s">
        <v>105</v>
      </c>
      <c r="T23" t="s">
        <v>2010</v>
      </c>
      <c r="U23" t="s">
        <v>151</v>
      </c>
    </row>
    <row r="24" spans="2:23" x14ac:dyDescent="0.25">
      <c r="R24" t="s">
        <v>106</v>
      </c>
      <c r="U24" t="s">
        <v>152</v>
      </c>
    </row>
    <row r="25" spans="2:23" x14ac:dyDescent="0.25">
      <c r="R25" t="s">
        <v>141</v>
      </c>
      <c r="U25" t="s">
        <v>153</v>
      </c>
    </row>
    <row r="26" spans="2:23" x14ac:dyDescent="0.25">
      <c r="R26" t="s">
        <v>1715</v>
      </c>
      <c r="U26" t="s">
        <v>210</v>
      </c>
    </row>
    <row r="27" spans="2:23" x14ac:dyDescent="0.25">
      <c r="R27" t="s">
        <v>214</v>
      </c>
    </row>
    <row r="28" spans="2:23" x14ac:dyDescent="0.25">
      <c r="R28" t="s">
        <v>142</v>
      </c>
    </row>
    <row r="29" spans="2:23" x14ac:dyDescent="0.25">
      <c r="R29" t="s">
        <v>143</v>
      </c>
    </row>
    <row r="30" spans="2:23" x14ac:dyDescent="0.25">
      <c r="R30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887E2-4270-47F5-9273-CC0D098E2D09}">
  <sheetPr codeName="Hoja8">
    <tabColor theme="4" tint="0.39997558519241921"/>
  </sheetPr>
  <dimension ref="B3:D35"/>
  <sheetViews>
    <sheetView zoomScaleNormal="100" workbookViewId="0">
      <selection activeCell="F35" sqref="F35"/>
    </sheetView>
  </sheetViews>
  <sheetFormatPr baseColWidth="10" defaultColWidth="11.42578125" defaultRowHeight="13.5" x14ac:dyDescent="0.25"/>
  <cols>
    <col min="1" max="1" width="11.42578125" style="51"/>
    <col min="2" max="2" width="26.140625" style="51" bestFit="1" customWidth="1"/>
    <col min="3" max="3" width="11.140625" style="51" bestFit="1" customWidth="1"/>
    <col min="4" max="4" width="13.140625" style="51" bestFit="1" customWidth="1"/>
    <col min="5" max="5" width="15.140625" style="51" bestFit="1" customWidth="1"/>
    <col min="6" max="16384" width="11.42578125" style="51"/>
  </cols>
  <sheetData>
    <row r="3" spans="2:4" x14ac:dyDescent="0.25">
      <c r="B3" s="135" t="s">
        <v>1610</v>
      </c>
      <c r="C3" s="136"/>
      <c r="D3" s="137"/>
    </row>
    <row r="4" spans="2:4" x14ac:dyDescent="0.25">
      <c r="B4" s="49" t="s">
        <v>1604</v>
      </c>
      <c r="C4" s="49" t="s">
        <v>28</v>
      </c>
      <c r="D4" s="49" t="s">
        <v>1603</v>
      </c>
    </row>
    <row r="5" spans="2:4" x14ac:dyDescent="0.25">
      <c r="B5" s="49" t="s">
        <v>1600</v>
      </c>
      <c r="C5" s="49" t="s">
        <v>1611</v>
      </c>
      <c r="D5" s="66">
        <v>1</v>
      </c>
    </row>
    <row r="6" spans="2:4" x14ac:dyDescent="0.25">
      <c r="B6" s="49" t="s">
        <v>1612</v>
      </c>
      <c r="C6" s="49" t="s">
        <v>1613</v>
      </c>
      <c r="D6" s="66">
        <v>3</v>
      </c>
    </row>
    <row r="7" spans="2:4" x14ac:dyDescent="0.25">
      <c r="B7" s="49" t="s">
        <v>1601</v>
      </c>
      <c r="C7" s="49" t="s">
        <v>1614</v>
      </c>
      <c r="D7" s="66">
        <v>3</v>
      </c>
    </row>
    <row r="8" spans="2:4" x14ac:dyDescent="0.25">
      <c r="B8" s="49" t="s">
        <v>1607</v>
      </c>
      <c r="C8" s="49" t="s">
        <v>1615</v>
      </c>
      <c r="D8" s="66">
        <v>2</v>
      </c>
    </row>
    <row r="9" spans="2:4" x14ac:dyDescent="0.25">
      <c r="B9" s="49" t="s">
        <v>1608</v>
      </c>
      <c r="C9" s="58" t="s">
        <v>1616</v>
      </c>
      <c r="D9" s="66">
        <v>1</v>
      </c>
    </row>
    <row r="12" spans="2:4" x14ac:dyDescent="0.25">
      <c r="B12" s="138" t="s">
        <v>1605</v>
      </c>
      <c r="C12" s="138"/>
      <c r="D12" s="138"/>
    </row>
    <row r="13" spans="2:4" x14ac:dyDescent="0.25">
      <c r="B13" s="49" t="s">
        <v>1604</v>
      </c>
      <c r="C13" s="49" t="s">
        <v>28</v>
      </c>
      <c r="D13" s="49" t="s">
        <v>1603</v>
      </c>
    </row>
    <row r="14" spans="2:4" x14ac:dyDescent="0.25">
      <c r="B14" s="49" t="s">
        <v>1600</v>
      </c>
      <c r="C14" s="49" t="s">
        <v>1606</v>
      </c>
      <c r="D14" s="66">
        <v>6</v>
      </c>
    </row>
    <row r="15" spans="2:4" x14ac:dyDescent="0.25">
      <c r="B15" s="49" t="s">
        <v>1612</v>
      </c>
      <c r="C15" s="49" t="s">
        <v>1602</v>
      </c>
      <c r="D15" s="66">
        <v>8</v>
      </c>
    </row>
    <row r="16" spans="2:4" x14ac:dyDescent="0.25">
      <c r="B16" s="49" t="s">
        <v>1601</v>
      </c>
      <c r="C16" s="49" t="s">
        <v>1602</v>
      </c>
      <c r="D16" s="66">
        <v>3</v>
      </c>
    </row>
    <row r="17" spans="2:4" x14ac:dyDescent="0.25">
      <c r="B17" s="49" t="s">
        <v>1607</v>
      </c>
      <c r="C17" s="49" t="s">
        <v>1602</v>
      </c>
      <c r="D17" s="66">
        <v>11</v>
      </c>
    </row>
    <row r="18" spans="2:4" x14ac:dyDescent="0.25">
      <c r="B18" s="49" t="s">
        <v>1608</v>
      </c>
      <c r="C18" s="49" t="s">
        <v>1609</v>
      </c>
      <c r="D18" s="66">
        <v>5</v>
      </c>
    </row>
    <row r="21" spans="2:4" x14ac:dyDescent="0.25">
      <c r="B21" s="138" t="s">
        <v>1637</v>
      </c>
      <c r="C21" s="138"/>
      <c r="D21" s="138"/>
    </row>
    <row r="22" spans="2:4" x14ac:dyDescent="0.25">
      <c r="B22" s="49" t="s">
        <v>1604</v>
      </c>
      <c r="C22" s="49" t="s">
        <v>28</v>
      </c>
      <c r="D22" s="49" t="s">
        <v>1603</v>
      </c>
    </row>
    <row r="23" spans="2:4" x14ac:dyDescent="0.25">
      <c r="B23" s="49" t="s">
        <v>1600</v>
      </c>
      <c r="C23" s="49" t="s">
        <v>1638</v>
      </c>
      <c r="D23" s="66">
        <v>0</v>
      </c>
    </row>
    <row r="24" spans="2:4" x14ac:dyDescent="0.25">
      <c r="B24" s="49" t="s">
        <v>1612</v>
      </c>
      <c r="C24" s="49" t="s">
        <v>1639</v>
      </c>
      <c r="D24" s="66">
        <v>0</v>
      </c>
    </row>
    <row r="25" spans="2:4" x14ac:dyDescent="0.25">
      <c r="B25" s="49" t="s">
        <v>1601</v>
      </c>
      <c r="C25" s="49" t="s">
        <v>1640</v>
      </c>
      <c r="D25" s="66">
        <v>0</v>
      </c>
    </row>
    <row r="26" spans="2:4" x14ac:dyDescent="0.25">
      <c r="B26" s="49" t="s">
        <v>1607</v>
      </c>
      <c r="C26" s="49" t="s">
        <v>1641</v>
      </c>
      <c r="D26" s="66">
        <v>0</v>
      </c>
    </row>
    <row r="27" spans="2:4" x14ac:dyDescent="0.25">
      <c r="B27" s="49" t="s">
        <v>1608</v>
      </c>
      <c r="C27" s="49" t="s">
        <v>1642</v>
      </c>
      <c r="D27" s="66">
        <v>0</v>
      </c>
    </row>
    <row r="28" spans="2:4" x14ac:dyDescent="0.25">
      <c r="B28" s="49" t="s">
        <v>1608</v>
      </c>
      <c r="C28" s="49" t="s">
        <v>1667</v>
      </c>
      <c r="D28" s="66">
        <v>1</v>
      </c>
    </row>
    <row r="33" spans="2:4" x14ac:dyDescent="0.25">
      <c r="B33" s="138" t="s">
        <v>1626</v>
      </c>
      <c r="C33" s="138"/>
      <c r="D33" s="138"/>
    </row>
    <row r="34" spans="2:4" x14ac:dyDescent="0.25">
      <c r="B34" s="49" t="s">
        <v>1627</v>
      </c>
      <c r="C34" s="49" t="s">
        <v>28</v>
      </c>
      <c r="D34" s="49" t="s">
        <v>1603</v>
      </c>
    </row>
    <row r="35" spans="2:4" x14ac:dyDescent="0.25">
      <c r="B35" s="49" t="s">
        <v>1600</v>
      </c>
      <c r="C35" s="49" t="s">
        <v>1628</v>
      </c>
      <c r="D35" s="66">
        <v>5</v>
      </c>
    </row>
  </sheetData>
  <mergeCells count="4">
    <mergeCell ref="B3:D3"/>
    <mergeCell ref="B12:D12"/>
    <mergeCell ref="B33:D33"/>
    <mergeCell ref="B21:D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4C21-0B75-4DAE-B78A-224AE94471EE}">
  <sheetPr codeName="Hoja9"/>
  <dimension ref="B4:D14"/>
  <sheetViews>
    <sheetView workbookViewId="0">
      <selection activeCell="F35" sqref="F35"/>
    </sheetView>
  </sheetViews>
  <sheetFormatPr baseColWidth="10" defaultColWidth="11.42578125" defaultRowHeight="15" x14ac:dyDescent="0.25"/>
  <cols>
    <col min="2" max="2" width="5" bestFit="1" customWidth="1"/>
    <col min="3" max="3" width="46.140625" bestFit="1" customWidth="1"/>
    <col min="4" max="4" width="57.7109375" bestFit="1" customWidth="1"/>
  </cols>
  <sheetData>
    <row r="4" spans="2:4" x14ac:dyDescent="0.25">
      <c r="B4" t="s">
        <v>0</v>
      </c>
      <c r="C4" t="s">
        <v>1196</v>
      </c>
      <c r="D4" t="s">
        <v>130</v>
      </c>
    </row>
    <row r="5" spans="2:4" x14ac:dyDescent="0.25">
      <c r="B5">
        <v>1</v>
      </c>
      <c r="C5" t="s">
        <v>1191</v>
      </c>
      <c r="D5" t="s">
        <v>1197</v>
      </c>
    </row>
    <row r="6" spans="2:4" x14ac:dyDescent="0.25">
      <c r="B6">
        <v>2</v>
      </c>
      <c r="C6" t="s">
        <v>1192</v>
      </c>
      <c r="D6" s="55" t="s">
        <v>1198</v>
      </c>
    </row>
    <row r="7" spans="2:4" x14ac:dyDescent="0.25">
      <c r="B7">
        <v>3</v>
      </c>
      <c r="C7" t="s">
        <v>1193</v>
      </c>
      <c r="D7" t="s">
        <v>1199</v>
      </c>
    </row>
    <row r="8" spans="2:4" x14ac:dyDescent="0.25">
      <c r="B8">
        <v>4</v>
      </c>
      <c r="C8" t="s">
        <v>1194</v>
      </c>
      <c r="D8" t="s">
        <v>1199</v>
      </c>
    </row>
    <row r="9" spans="2:4" x14ac:dyDescent="0.25">
      <c r="B9">
        <v>5</v>
      </c>
      <c r="C9" t="s">
        <v>1195</v>
      </c>
      <c r="D9" t="s">
        <v>1199</v>
      </c>
    </row>
    <row r="10" spans="2:4" x14ac:dyDescent="0.25">
      <c r="B10">
        <v>6</v>
      </c>
      <c r="C10" t="s">
        <v>1374</v>
      </c>
    </row>
    <row r="11" spans="2:4" x14ac:dyDescent="0.25">
      <c r="B11">
        <v>7</v>
      </c>
    </row>
    <row r="12" spans="2:4" x14ac:dyDescent="0.25">
      <c r="B12">
        <v>8</v>
      </c>
    </row>
    <row r="13" spans="2:4" x14ac:dyDescent="0.25">
      <c r="B13">
        <v>9</v>
      </c>
    </row>
    <row r="14" spans="2:4" x14ac:dyDescent="0.25">
      <c r="B14">
        <v>10</v>
      </c>
    </row>
  </sheetData>
  <hyperlinks>
    <hyperlink ref="D6" r:id="rId1" xr:uid="{18AB1F0C-1EDA-4050-A03F-75F8AFEA32F7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C2DCB-EFC0-4F57-AC1C-58026C5AEDFE}">
  <sheetPr codeName="Hoja10" filterMode="1">
    <tabColor rgb="FFFF0000"/>
  </sheetPr>
  <dimension ref="B6:J88"/>
  <sheetViews>
    <sheetView showGridLines="0" topLeftCell="A13" workbookViewId="0">
      <selection activeCell="F35" sqref="F35"/>
    </sheetView>
  </sheetViews>
  <sheetFormatPr baseColWidth="10" defaultColWidth="11.42578125" defaultRowHeight="13.5" x14ac:dyDescent="0.25"/>
  <cols>
    <col min="1" max="1" width="11.42578125" style="51"/>
    <col min="2" max="2" width="18.42578125" style="51" bestFit="1" customWidth="1"/>
    <col min="3" max="3" width="12" style="51" bestFit="1" customWidth="1"/>
    <col min="4" max="4" width="11.7109375" style="51" bestFit="1" customWidth="1"/>
    <col min="5" max="5" width="19.7109375" style="51" bestFit="1" customWidth="1"/>
    <col min="6" max="6" width="12.7109375" style="51" bestFit="1" customWidth="1"/>
    <col min="7" max="7" width="12.5703125" style="51" bestFit="1" customWidth="1"/>
    <col min="8" max="8" width="34.5703125" style="51" bestFit="1" customWidth="1"/>
    <col min="9" max="9" width="10" style="51" bestFit="1" customWidth="1"/>
    <col min="10" max="10" width="39.140625" style="51" customWidth="1"/>
    <col min="11" max="16384" width="11.42578125" style="51"/>
  </cols>
  <sheetData>
    <row r="6" spans="2:9" s="74" customFormat="1" ht="38.25" x14ac:dyDescent="0.25">
      <c r="B6" s="77" t="s">
        <v>25</v>
      </c>
      <c r="C6" s="77" t="s">
        <v>1</v>
      </c>
      <c r="D6" s="77" t="s">
        <v>3</v>
      </c>
      <c r="E6" s="77" t="s">
        <v>4</v>
      </c>
      <c r="F6" s="77" t="s">
        <v>5</v>
      </c>
      <c r="G6" s="77" t="s">
        <v>19</v>
      </c>
      <c r="H6" s="77" t="s">
        <v>130</v>
      </c>
      <c r="I6" s="77" t="s">
        <v>1668</v>
      </c>
    </row>
    <row r="7" spans="2:9" customFormat="1" ht="15" x14ac:dyDescent="0.25">
      <c r="B7" s="62" t="s">
        <v>108</v>
      </c>
      <c r="C7" s="62" t="s">
        <v>37</v>
      </c>
      <c r="D7" s="62" t="s">
        <v>1058</v>
      </c>
      <c r="E7" s="62" t="s">
        <v>1059</v>
      </c>
      <c r="F7" s="62" t="s">
        <v>1063</v>
      </c>
      <c r="G7" s="62" t="s">
        <v>1062</v>
      </c>
      <c r="H7" s="62" t="s">
        <v>1107</v>
      </c>
      <c r="I7" s="62">
        <v>1</v>
      </c>
    </row>
    <row r="8" spans="2:9" customFormat="1" ht="15" x14ac:dyDescent="0.25">
      <c r="B8" s="62" t="s">
        <v>108</v>
      </c>
      <c r="C8" s="62" t="s">
        <v>37</v>
      </c>
      <c r="D8" s="62" t="s">
        <v>1058</v>
      </c>
      <c r="E8" s="62" t="s">
        <v>1059</v>
      </c>
      <c r="F8" s="62" t="s">
        <v>1064</v>
      </c>
      <c r="G8" s="62" t="s">
        <v>1065</v>
      </c>
      <c r="H8" s="62" t="s">
        <v>1107</v>
      </c>
      <c r="I8" s="62">
        <v>1</v>
      </c>
    </row>
    <row r="9" spans="2:9" customFormat="1" ht="15" x14ac:dyDescent="0.25">
      <c r="B9" s="62" t="s">
        <v>108</v>
      </c>
      <c r="C9" s="62" t="s">
        <v>37</v>
      </c>
      <c r="D9" s="62" t="s">
        <v>1058</v>
      </c>
      <c r="E9" s="62" t="s">
        <v>1059</v>
      </c>
      <c r="F9" s="62" t="s">
        <v>1060</v>
      </c>
      <c r="G9" s="62" t="s">
        <v>1057</v>
      </c>
      <c r="H9" s="62" t="s">
        <v>1470</v>
      </c>
      <c r="I9" s="62">
        <v>1</v>
      </c>
    </row>
    <row r="10" spans="2:9" customFormat="1" ht="15" x14ac:dyDescent="0.25">
      <c r="B10" s="62" t="s">
        <v>108</v>
      </c>
      <c r="C10" s="62" t="s">
        <v>37</v>
      </c>
      <c r="D10" s="62" t="s">
        <v>1058</v>
      </c>
      <c r="E10" s="62" t="s">
        <v>1059</v>
      </c>
      <c r="F10" s="62" t="s">
        <v>1486</v>
      </c>
      <c r="G10" s="62" t="s">
        <v>1090</v>
      </c>
      <c r="H10" s="62" t="s">
        <v>1471</v>
      </c>
      <c r="I10" s="62">
        <v>1</v>
      </c>
    </row>
    <row r="11" spans="2:9" x14ac:dyDescent="0.25">
      <c r="B11" s="49" t="s">
        <v>108</v>
      </c>
      <c r="C11" s="49" t="s">
        <v>37</v>
      </c>
      <c r="D11" s="49" t="s">
        <v>1027</v>
      </c>
      <c r="E11" s="49" t="s">
        <v>1034</v>
      </c>
      <c r="F11" s="49" t="s">
        <v>1094</v>
      </c>
      <c r="G11" s="49" t="s">
        <v>1051</v>
      </c>
      <c r="H11" s="75" t="s">
        <v>1106</v>
      </c>
      <c r="I11" s="76">
        <v>1</v>
      </c>
    </row>
    <row r="12" spans="2:9" customFormat="1" ht="15" x14ac:dyDescent="0.25">
      <c r="B12" s="62" t="s">
        <v>108</v>
      </c>
      <c r="C12" s="62" t="s">
        <v>37</v>
      </c>
      <c r="D12" s="62" t="s">
        <v>1027</v>
      </c>
      <c r="E12" s="62" t="s">
        <v>1034</v>
      </c>
      <c r="F12" s="62" t="s">
        <v>1092</v>
      </c>
      <c r="G12" s="62" t="s">
        <v>1045</v>
      </c>
      <c r="H12" s="62" t="s">
        <v>1432</v>
      </c>
      <c r="I12" s="62">
        <v>1</v>
      </c>
    </row>
    <row r="13" spans="2:9" x14ac:dyDescent="0.25">
      <c r="B13" s="49" t="s">
        <v>108</v>
      </c>
      <c r="C13" s="49" t="s">
        <v>37</v>
      </c>
      <c r="D13" s="49" t="s">
        <v>1027</v>
      </c>
      <c r="E13" s="49" t="s">
        <v>1034</v>
      </c>
      <c r="F13" s="49" t="s">
        <v>1080</v>
      </c>
      <c r="G13" s="49" t="s">
        <v>1069</v>
      </c>
      <c r="H13" s="75" t="s">
        <v>1109</v>
      </c>
      <c r="I13" s="76">
        <v>1</v>
      </c>
    </row>
    <row r="14" spans="2:9" customFormat="1" ht="15" x14ac:dyDescent="0.25">
      <c r="B14" s="62" t="s">
        <v>108</v>
      </c>
      <c r="C14" s="62" t="s">
        <v>37</v>
      </c>
      <c r="D14" s="62" t="s">
        <v>1027</v>
      </c>
      <c r="E14" s="62" t="s">
        <v>1034</v>
      </c>
      <c r="F14" s="62" t="s">
        <v>1037</v>
      </c>
      <c r="G14" s="62" t="s">
        <v>1033</v>
      </c>
      <c r="H14" s="62" t="s">
        <v>1104</v>
      </c>
      <c r="I14" s="62">
        <v>1</v>
      </c>
    </row>
    <row r="15" spans="2:9" customFormat="1" ht="15" x14ac:dyDescent="0.25">
      <c r="B15" s="62" t="s">
        <v>108</v>
      </c>
      <c r="C15" s="62" t="s">
        <v>37</v>
      </c>
      <c r="D15" s="62" t="s">
        <v>1027</v>
      </c>
      <c r="E15" s="62" t="s">
        <v>1034</v>
      </c>
      <c r="F15" s="62" t="s">
        <v>1097</v>
      </c>
      <c r="G15" s="62" t="s">
        <v>1067</v>
      </c>
      <c r="H15" s="62" t="s">
        <v>1479</v>
      </c>
      <c r="I15" s="62">
        <v>1</v>
      </c>
    </row>
    <row r="16" spans="2:9" customFormat="1" ht="15" x14ac:dyDescent="0.25">
      <c r="B16" s="62" t="s">
        <v>108</v>
      </c>
      <c r="C16" s="62" t="s">
        <v>37</v>
      </c>
      <c r="D16" s="62" t="s">
        <v>1027</v>
      </c>
      <c r="E16" s="62" t="s">
        <v>1034</v>
      </c>
      <c r="F16" s="62" t="s">
        <v>1093</v>
      </c>
      <c r="G16" s="62" t="s">
        <v>1048</v>
      </c>
      <c r="H16" s="62" t="s">
        <v>1480</v>
      </c>
      <c r="I16" s="62">
        <v>1</v>
      </c>
    </row>
    <row r="17" spans="2:10" customFormat="1" ht="15" x14ac:dyDescent="0.25">
      <c r="B17" s="62" t="s">
        <v>108</v>
      </c>
      <c r="C17" s="62" t="s">
        <v>37</v>
      </c>
      <c r="D17" s="62" t="s">
        <v>1027</v>
      </c>
      <c r="E17" s="62" t="s">
        <v>1034</v>
      </c>
      <c r="F17" s="62" t="s">
        <v>1095</v>
      </c>
      <c r="G17" s="62" t="s">
        <v>1061</v>
      </c>
      <c r="H17" s="62" t="s">
        <v>1472</v>
      </c>
      <c r="I17" s="62">
        <v>1</v>
      </c>
    </row>
    <row r="18" spans="2:10" customFormat="1" ht="15" x14ac:dyDescent="0.25">
      <c r="B18" s="62" t="s">
        <v>108</v>
      </c>
      <c r="C18" s="62" t="s">
        <v>37</v>
      </c>
      <c r="D18" s="62" t="s">
        <v>1027</v>
      </c>
      <c r="E18" s="62" t="s">
        <v>1034</v>
      </c>
      <c r="F18" s="62" t="s">
        <v>1077</v>
      </c>
      <c r="G18" s="62" t="s">
        <v>1074</v>
      </c>
      <c r="H18" s="62" t="s">
        <v>1476</v>
      </c>
      <c r="I18" s="62">
        <v>1</v>
      </c>
    </row>
    <row r="19" spans="2:10" customFormat="1" ht="15" x14ac:dyDescent="0.25">
      <c r="B19" s="62" t="s">
        <v>108</v>
      </c>
      <c r="C19" s="62" t="s">
        <v>37</v>
      </c>
      <c r="D19" s="62" t="s">
        <v>1027</v>
      </c>
      <c r="E19" s="62" t="s">
        <v>1034</v>
      </c>
      <c r="F19" s="62" t="s">
        <v>1099</v>
      </c>
      <c r="G19" s="62" t="s">
        <v>1071</v>
      </c>
      <c r="H19" s="62" t="s">
        <v>1439</v>
      </c>
      <c r="I19" s="62">
        <v>1</v>
      </c>
    </row>
    <row r="20" spans="2:10" customFormat="1" ht="15" x14ac:dyDescent="0.25">
      <c r="B20" s="62" t="s">
        <v>108</v>
      </c>
      <c r="C20" s="62" t="s">
        <v>37</v>
      </c>
      <c r="D20" s="62" t="s">
        <v>1027</v>
      </c>
      <c r="E20" s="62" t="s">
        <v>1034</v>
      </c>
      <c r="F20" s="62" t="s">
        <v>1098</v>
      </c>
      <c r="G20" s="62" t="s">
        <v>1070</v>
      </c>
      <c r="H20" s="62" t="s">
        <v>1110</v>
      </c>
      <c r="I20" s="62">
        <v>1</v>
      </c>
    </row>
    <row r="21" spans="2:10" x14ac:dyDescent="0.25">
      <c r="B21" s="49" t="s">
        <v>108</v>
      </c>
      <c r="C21" s="49" t="s">
        <v>37</v>
      </c>
      <c r="D21" s="49" t="s">
        <v>1027</v>
      </c>
      <c r="E21" s="49" t="s">
        <v>1032</v>
      </c>
      <c r="F21" s="49" t="s">
        <v>1089</v>
      </c>
      <c r="G21" s="49" t="s">
        <v>1038</v>
      </c>
      <c r="H21" s="75" t="s">
        <v>1105</v>
      </c>
      <c r="I21" s="76">
        <v>1</v>
      </c>
    </row>
    <row r="22" spans="2:10" x14ac:dyDescent="0.25">
      <c r="B22" s="49" t="s">
        <v>108</v>
      </c>
      <c r="C22" s="49" t="s">
        <v>37</v>
      </c>
      <c r="D22" s="49" t="s">
        <v>1027</v>
      </c>
      <c r="E22" s="49" t="s">
        <v>1032</v>
      </c>
      <c r="F22" s="49" t="s">
        <v>1028</v>
      </c>
      <c r="G22" s="49" t="s">
        <v>1029</v>
      </c>
      <c r="H22" s="75" t="s">
        <v>1103</v>
      </c>
      <c r="I22" s="76">
        <v>1</v>
      </c>
    </row>
    <row r="23" spans="2:10" x14ac:dyDescent="0.25">
      <c r="B23" s="49" t="s">
        <v>108</v>
      </c>
      <c r="C23" s="49" t="s">
        <v>37</v>
      </c>
      <c r="D23" s="49" t="s">
        <v>1027</v>
      </c>
      <c r="E23" s="49" t="s">
        <v>1032</v>
      </c>
      <c r="F23" s="49" t="s">
        <v>1096</v>
      </c>
      <c r="G23" s="49" t="s">
        <v>1066</v>
      </c>
      <c r="H23" s="75" t="s">
        <v>1477</v>
      </c>
      <c r="I23" s="76">
        <v>1</v>
      </c>
    </row>
    <row r="24" spans="2:10" x14ac:dyDescent="0.25">
      <c r="B24" s="49" t="s">
        <v>108</v>
      </c>
      <c r="C24" s="49" t="s">
        <v>37</v>
      </c>
      <c r="D24" s="49" t="s">
        <v>1027</v>
      </c>
      <c r="E24" s="49" t="s">
        <v>1032</v>
      </c>
      <c r="F24" s="49" t="s">
        <v>1485</v>
      </c>
      <c r="G24" s="49" t="s">
        <v>1068</v>
      </c>
      <c r="H24" s="75" t="s">
        <v>1108</v>
      </c>
      <c r="I24" s="76">
        <v>1</v>
      </c>
    </row>
    <row r="25" spans="2:10" customFormat="1" ht="15" x14ac:dyDescent="0.25">
      <c r="B25" s="62" t="s">
        <v>108</v>
      </c>
      <c r="C25" s="62" t="s">
        <v>37</v>
      </c>
      <c r="D25" s="62" t="s">
        <v>1027</v>
      </c>
      <c r="E25" s="62" t="s">
        <v>1032</v>
      </c>
      <c r="F25" s="62" t="s">
        <v>1487</v>
      </c>
      <c r="G25" s="62" t="s">
        <v>1041</v>
      </c>
      <c r="H25" s="62" t="s">
        <v>1475</v>
      </c>
      <c r="I25" s="62">
        <v>1</v>
      </c>
    </row>
    <row r="26" spans="2:10" x14ac:dyDescent="0.25">
      <c r="B26" s="49" t="s">
        <v>108</v>
      </c>
      <c r="C26" s="49" t="s">
        <v>37</v>
      </c>
      <c r="D26" s="49" t="s">
        <v>1027</v>
      </c>
      <c r="E26" s="49" t="s">
        <v>1032</v>
      </c>
      <c r="F26" s="49" t="s">
        <v>1091</v>
      </c>
      <c r="G26" s="49" t="s">
        <v>1043</v>
      </c>
      <c r="H26" s="75" t="s">
        <v>1474</v>
      </c>
      <c r="I26" s="76">
        <v>1</v>
      </c>
    </row>
    <row r="27" spans="2:10" customFormat="1" ht="15" x14ac:dyDescent="0.25">
      <c r="B27" s="62" t="s">
        <v>108</v>
      </c>
      <c r="C27" s="62" t="s">
        <v>37</v>
      </c>
      <c r="D27" s="62" t="s">
        <v>1027</v>
      </c>
      <c r="E27" s="62" t="s">
        <v>1055</v>
      </c>
      <c r="F27" s="62" t="s">
        <v>1706</v>
      </c>
      <c r="G27" s="62" t="s">
        <v>1054</v>
      </c>
      <c r="H27" s="62" t="s">
        <v>1478</v>
      </c>
      <c r="I27" s="62">
        <v>1</v>
      </c>
    </row>
    <row r="28" spans="2:10" customFormat="1" ht="15" x14ac:dyDescent="0.25">
      <c r="B28" s="62" t="s">
        <v>1360</v>
      </c>
      <c r="C28" s="62"/>
      <c r="D28" s="62"/>
      <c r="E28" s="62"/>
      <c r="F28" s="62"/>
      <c r="G28" s="62"/>
      <c r="H28" s="62"/>
      <c r="I28" s="62">
        <v>21</v>
      </c>
    </row>
    <row r="31" spans="2:10" ht="15" x14ac:dyDescent="0.25">
      <c r="B31" s="93" t="s">
        <v>25</v>
      </c>
      <c r="C31" s="93" t="s">
        <v>1</v>
      </c>
      <c r="D31" s="93" t="s">
        <v>3</v>
      </c>
      <c r="E31" s="93" t="s">
        <v>4</v>
      </c>
      <c r="F31" s="93" t="s">
        <v>5</v>
      </c>
      <c r="G31" s="93" t="s">
        <v>19</v>
      </c>
      <c r="H31" s="93" t="s">
        <v>130</v>
      </c>
      <c r="I31" s="93" t="s">
        <v>1668</v>
      </c>
      <c r="J31" s="93" t="s">
        <v>130</v>
      </c>
    </row>
    <row r="32" spans="2:10" ht="16.5" hidden="1" x14ac:dyDescent="0.3">
      <c r="B32" s="92" t="s">
        <v>108</v>
      </c>
      <c r="C32" s="92" t="s">
        <v>37</v>
      </c>
      <c r="D32" s="92" t="s">
        <v>1058</v>
      </c>
      <c r="E32" s="92" t="s">
        <v>1801</v>
      </c>
      <c r="F32" s="91" t="s">
        <v>1804</v>
      </c>
      <c r="G32" s="91" t="s">
        <v>1054</v>
      </c>
      <c r="H32" s="91" t="s">
        <v>1478</v>
      </c>
      <c r="I32" s="91">
        <v>1</v>
      </c>
    </row>
    <row r="33" spans="2:10" ht="16.5" hidden="1" x14ac:dyDescent="0.3">
      <c r="B33" s="92"/>
      <c r="C33" s="92"/>
      <c r="D33" s="92"/>
      <c r="E33" s="92" t="s">
        <v>1802</v>
      </c>
      <c r="F33" s="91" t="s">
        <v>1060</v>
      </c>
      <c r="G33" s="91" t="s">
        <v>1057</v>
      </c>
      <c r="H33" s="91" t="s">
        <v>1470</v>
      </c>
      <c r="I33" s="91">
        <v>1</v>
      </c>
    </row>
    <row r="34" spans="2:10" ht="16.5" hidden="1" x14ac:dyDescent="0.3">
      <c r="B34" s="92"/>
      <c r="C34" s="92"/>
      <c r="D34" s="92"/>
      <c r="E34" s="92" t="s">
        <v>1803</v>
      </c>
      <c r="F34" s="91" t="s">
        <v>1726</v>
      </c>
      <c r="G34" s="91" t="s">
        <v>1062</v>
      </c>
      <c r="H34" s="91" t="s">
        <v>1107</v>
      </c>
      <c r="I34" s="91">
        <v>1</v>
      </c>
    </row>
    <row r="35" spans="2:10" ht="16.5" hidden="1" x14ac:dyDescent="0.3">
      <c r="B35" s="92"/>
      <c r="C35" s="92"/>
      <c r="D35" s="92"/>
      <c r="E35" s="92"/>
      <c r="F35" s="91" t="s">
        <v>1727</v>
      </c>
      <c r="G35" s="91" t="s">
        <v>1065</v>
      </c>
      <c r="H35" s="91" t="s">
        <v>1107</v>
      </c>
      <c r="I35" s="91">
        <v>1</v>
      </c>
    </row>
    <row r="36" spans="2:10" ht="16.5" hidden="1" x14ac:dyDescent="0.3">
      <c r="B36" s="92"/>
      <c r="C36" s="92"/>
      <c r="D36" s="92" t="s">
        <v>1027</v>
      </c>
      <c r="E36" s="92" t="s">
        <v>1034</v>
      </c>
      <c r="F36" s="91" t="s">
        <v>1094</v>
      </c>
      <c r="G36" s="91" t="s">
        <v>1051</v>
      </c>
      <c r="H36" s="91" t="s">
        <v>1106</v>
      </c>
      <c r="I36" s="91">
        <v>1</v>
      </c>
    </row>
    <row r="37" spans="2:10" ht="16.5" hidden="1" x14ac:dyDescent="0.3">
      <c r="B37" s="92"/>
      <c r="C37" s="92"/>
      <c r="D37" s="92"/>
      <c r="E37" s="92"/>
      <c r="F37" s="91" t="s">
        <v>1092</v>
      </c>
      <c r="G37" s="91" t="s">
        <v>1045</v>
      </c>
      <c r="H37" s="91" t="s">
        <v>1432</v>
      </c>
      <c r="I37" s="91">
        <v>1</v>
      </c>
    </row>
    <row r="38" spans="2:10" ht="16.5" hidden="1" x14ac:dyDescent="0.3">
      <c r="B38" s="92"/>
      <c r="C38" s="92"/>
      <c r="D38" s="92"/>
      <c r="E38" s="92"/>
      <c r="F38" s="91" t="s">
        <v>1080</v>
      </c>
      <c r="G38" s="91" t="s">
        <v>1069</v>
      </c>
      <c r="H38" s="91" t="s">
        <v>1109</v>
      </c>
      <c r="I38" s="91">
        <v>1</v>
      </c>
    </row>
    <row r="39" spans="2:10" ht="16.5" hidden="1" x14ac:dyDescent="0.3">
      <c r="B39" s="92"/>
      <c r="C39" s="92"/>
      <c r="D39" s="92"/>
      <c r="E39" s="92"/>
      <c r="F39" s="91" t="s">
        <v>1037</v>
      </c>
      <c r="G39" s="91" t="s">
        <v>1033</v>
      </c>
      <c r="H39" s="91" t="s">
        <v>1104</v>
      </c>
      <c r="I39" s="91">
        <v>1</v>
      </c>
    </row>
    <row r="40" spans="2:10" ht="16.5" hidden="1" x14ac:dyDescent="0.3">
      <c r="B40" s="92"/>
      <c r="C40" s="92"/>
      <c r="D40" s="92"/>
      <c r="E40" s="92"/>
      <c r="F40" s="91" t="s">
        <v>1097</v>
      </c>
      <c r="G40" s="91" t="s">
        <v>1067</v>
      </c>
      <c r="H40" s="91" t="s">
        <v>1479</v>
      </c>
      <c r="I40" s="91">
        <v>1</v>
      </c>
    </row>
    <row r="41" spans="2:10" ht="16.5" hidden="1" x14ac:dyDescent="0.3">
      <c r="B41" s="92"/>
      <c r="C41" s="92"/>
      <c r="D41" s="92"/>
      <c r="E41" s="92"/>
      <c r="F41" s="91" t="s">
        <v>1093</v>
      </c>
      <c r="G41" s="91" t="s">
        <v>1048</v>
      </c>
      <c r="H41" s="91" t="s">
        <v>1480</v>
      </c>
      <c r="I41" s="91">
        <v>1</v>
      </c>
    </row>
    <row r="42" spans="2:10" ht="16.5" hidden="1" x14ac:dyDescent="0.3">
      <c r="B42" s="92"/>
      <c r="C42" s="92"/>
      <c r="D42" s="92"/>
      <c r="E42" s="92"/>
      <c r="F42" s="91" t="s">
        <v>1095</v>
      </c>
      <c r="G42" s="91" t="s">
        <v>1061</v>
      </c>
      <c r="H42" s="91" t="s">
        <v>1472</v>
      </c>
      <c r="I42" s="91">
        <v>1</v>
      </c>
    </row>
    <row r="43" spans="2:10" ht="16.5" hidden="1" x14ac:dyDescent="0.3">
      <c r="B43" s="92"/>
      <c r="C43" s="92"/>
      <c r="D43" s="92"/>
      <c r="E43" s="92"/>
      <c r="F43" s="91" t="s">
        <v>1099</v>
      </c>
      <c r="G43" s="91" t="s">
        <v>1071</v>
      </c>
      <c r="H43" s="91" t="s">
        <v>1439</v>
      </c>
      <c r="I43" s="91">
        <v>1</v>
      </c>
    </row>
    <row r="44" spans="2:10" ht="16.5" x14ac:dyDescent="0.3">
      <c r="B44" s="92" t="s">
        <v>108</v>
      </c>
      <c r="C44" s="92" t="s">
        <v>37</v>
      </c>
      <c r="D44" s="92" t="s">
        <v>1027</v>
      </c>
      <c r="E44" s="92" t="s">
        <v>1034</v>
      </c>
      <c r="F44" s="91" t="s">
        <v>1098</v>
      </c>
      <c r="G44" s="91" t="s">
        <v>1070</v>
      </c>
      <c r="H44" s="115" t="s">
        <v>1110</v>
      </c>
      <c r="I44" s="91">
        <v>1</v>
      </c>
      <c r="J44" s="49" t="s">
        <v>1941</v>
      </c>
    </row>
    <row r="45" spans="2:10" ht="16.5" x14ac:dyDescent="0.3">
      <c r="B45" s="92" t="s">
        <v>108</v>
      </c>
      <c r="C45" s="92" t="s">
        <v>37</v>
      </c>
      <c r="D45" s="92" t="s">
        <v>1027</v>
      </c>
      <c r="E45" s="92" t="s">
        <v>1032</v>
      </c>
      <c r="F45" s="91" t="s">
        <v>1089</v>
      </c>
      <c r="G45" s="91" t="s">
        <v>1038</v>
      </c>
      <c r="H45" s="115" t="s">
        <v>1105</v>
      </c>
      <c r="I45" s="91">
        <v>1</v>
      </c>
      <c r="J45" s="49" t="s">
        <v>1938</v>
      </c>
    </row>
    <row r="46" spans="2:10" ht="16.5" x14ac:dyDescent="0.3">
      <c r="B46" s="92" t="s">
        <v>108</v>
      </c>
      <c r="C46" s="92" t="s">
        <v>37</v>
      </c>
      <c r="D46" s="92" t="s">
        <v>1027</v>
      </c>
      <c r="E46" s="92" t="s">
        <v>1032</v>
      </c>
      <c r="F46" s="91" t="s">
        <v>1028</v>
      </c>
      <c r="G46" s="91" t="s">
        <v>1074</v>
      </c>
      <c r="H46" s="115" t="s">
        <v>1476</v>
      </c>
      <c r="I46" s="91">
        <v>1</v>
      </c>
      <c r="J46" s="49" t="s">
        <v>1940</v>
      </c>
    </row>
    <row r="47" spans="2:10" ht="16.5" hidden="1" x14ac:dyDescent="0.3">
      <c r="B47" s="92"/>
      <c r="C47" s="92"/>
      <c r="D47" s="92"/>
      <c r="E47" s="92"/>
      <c r="F47" s="91" t="s">
        <v>1096</v>
      </c>
      <c r="G47" s="91" t="s">
        <v>1066</v>
      </c>
      <c r="H47" s="91" t="s">
        <v>1477</v>
      </c>
      <c r="I47" s="91">
        <v>1</v>
      </c>
    </row>
    <row r="48" spans="2:10" ht="16.5" x14ac:dyDescent="0.3">
      <c r="B48" s="92" t="s">
        <v>108</v>
      </c>
      <c r="C48" s="92" t="s">
        <v>37</v>
      </c>
      <c r="D48" s="92" t="s">
        <v>1027</v>
      </c>
      <c r="E48" s="92" t="s">
        <v>1032</v>
      </c>
      <c r="F48" s="91" t="s">
        <v>1485</v>
      </c>
      <c r="G48" s="91" t="s">
        <v>1068</v>
      </c>
      <c r="H48" s="115" t="s">
        <v>1108</v>
      </c>
      <c r="I48" s="91">
        <v>1</v>
      </c>
      <c r="J48" s="49" t="s">
        <v>1939</v>
      </c>
    </row>
    <row r="49" spans="2:10" ht="16.5" hidden="1" x14ac:dyDescent="0.3">
      <c r="B49" s="92"/>
      <c r="C49" s="92"/>
      <c r="D49" s="92"/>
      <c r="E49" s="92"/>
      <c r="F49" s="91" t="s">
        <v>1487</v>
      </c>
      <c r="G49" s="91" t="s">
        <v>1041</v>
      </c>
      <c r="H49" s="91" t="s">
        <v>1475</v>
      </c>
      <c r="I49" s="91">
        <v>1</v>
      </c>
    </row>
    <row r="50" spans="2:10" ht="16.5" hidden="1" x14ac:dyDescent="0.3">
      <c r="B50" s="92"/>
      <c r="C50" s="92"/>
      <c r="D50" s="92"/>
      <c r="E50" s="92"/>
      <c r="F50" s="91" t="s">
        <v>1091</v>
      </c>
      <c r="G50" s="91" t="s">
        <v>1043</v>
      </c>
      <c r="H50" s="91" t="s">
        <v>1474</v>
      </c>
      <c r="I50" s="91">
        <v>1</v>
      </c>
    </row>
    <row r="51" spans="2:10" ht="16.5" hidden="1" x14ac:dyDescent="0.3">
      <c r="B51" s="92"/>
      <c r="C51" s="92"/>
      <c r="D51" s="92" t="s">
        <v>1724</v>
      </c>
      <c r="E51" s="92" t="s">
        <v>1725</v>
      </c>
      <c r="F51" s="91">
        <v>3500930400</v>
      </c>
      <c r="G51" s="91" t="s">
        <v>1029</v>
      </c>
      <c r="H51" s="91" t="s">
        <v>1103</v>
      </c>
      <c r="I51" s="91">
        <v>1</v>
      </c>
    </row>
    <row r="52" spans="2:10" ht="16.5" hidden="1" x14ac:dyDescent="0.3">
      <c r="B52" s="92"/>
      <c r="C52" s="92"/>
      <c r="D52" s="92"/>
      <c r="E52" s="92" t="s">
        <v>1729</v>
      </c>
      <c r="F52" s="91" t="s">
        <v>1728</v>
      </c>
      <c r="G52" s="91" t="s">
        <v>1090</v>
      </c>
      <c r="H52" s="91" t="s">
        <v>1471</v>
      </c>
      <c r="I52" s="91">
        <v>1</v>
      </c>
    </row>
    <row r="53" spans="2:10" ht="16.5" hidden="1" x14ac:dyDescent="0.3">
      <c r="B53" s="92" t="s">
        <v>1360</v>
      </c>
      <c r="C53" s="92"/>
      <c r="D53" s="92"/>
      <c r="E53" s="92"/>
      <c r="F53" s="91"/>
      <c r="G53" s="91"/>
      <c r="H53" s="91"/>
      <c r="I53" s="91">
        <v>21</v>
      </c>
    </row>
    <row r="56" spans="2:10" ht="45" x14ac:dyDescent="0.25">
      <c r="B56" s="68" t="s">
        <v>25</v>
      </c>
      <c r="C56" s="68" t="s">
        <v>1</v>
      </c>
      <c r="D56" s="68" t="s">
        <v>3</v>
      </c>
      <c r="E56" s="68" t="s">
        <v>4</v>
      </c>
      <c r="F56" s="68" t="s">
        <v>5</v>
      </c>
      <c r="G56" s="68" t="s">
        <v>19</v>
      </c>
      <c r="H56" s="68" t="s">
        <v>130</v>
      </c>
      <c r="I56" s="69" t="s">
        <v>1668</v>
      </c>
      <c r="J56" s="117" t="s">
        <v>130</v>
      </c>
    </row>
    <row r="57" spans="2:10" ht="15" x14ac:dyDescent="0.25">
      <c r="B57" t="s">
        <v>108</v>
      </c>
      <c r="C57" t="s">
        <v>37</v>
      </c>
      <c r="D57" t="s">
        <v>1058</v>
      </c>
      <c r="E57" t="s">
        <v>1802</v>
      </c>
      <c r="F57" t="s">
        <v>1060</v>
      </c>
      <c r="G57" t="s">
        <v>1057</v>
      </c>
      <c r="H57" t="s">
        <v>1470</v>
      </c>
      <c r="I57" s="108">
        <v>1</v>
      </c>
      <c r="J57"/>
    </row>
    <row r="58" spans="2:10" ht="15" x14ac:dyDescent="0.25">
      <c r="B58"/>
      <c r="C58"/>
      <c r="D58"/>
      <c r="E58" t="s">
        <v>1803</v>
      </c>
      <c r="F58" t="s">
        <v>1726</v>
      </c>
      <c r="G58" s="106" t="s">
        <v>1062</v>
      </c>
      <c r="H58" t="s">
        <v>1107</v>
      </c>
      <c r="I58" s="108">
        <v>1</v>
      </c>
      <c r="J58"/>
    </row>
    <row r="59" spans="2:10" ht="15" x14ac:dyDescent="0.25">
      <c r="B59"/>
      <c r="C59"/>
      <c r="D59"/>
      <c r="E59"/>
      <c r="F59" t="s">
        <v>1727</v>
      </c>
      <c r="G59" s="106" t="s">
        <v>1065</v>
      </c>
      <c r="H59" s="109" t="s">
        <v>1107</v>
      </c>
      <c r="I59" s="108">
        <v>1</v>
      </c>
      <c r="J59" s="108" t="s">
        <v>1960</v>
      </c>
    </row>
    <row r="60" spans="2:10" ht="15" x14ac:dyDescent="0.25">
      <c r="B60"/>
      <c r="C60"/>
      <c r="D60" t="s">
        <v>1027</v>
      </c>
      <c r="E60" s="109" t="s">
        <v>1034</v>
      </c>
      <c r="F60" s="109" t="s">
        <v>1094</v>
      </c>
      <c r="G60" s="106" t="s">
        <v>1051</v>
      </c>
      <c r="H60" s="109" t="s">
        <v>1106</v>
      </c>
      <c r="I60" s="108">
        <v>1</v>
      </c>
      <c r="J60" s="108" t="s">
        <v>1960</v>
      </c>
    </row>
    <row r="61" spans="2:10" ht="15" x14ac:dyDescent="0.25">
      <c r="B61"/>
      <c r="C61"/>
      <c r="D61"/>
      <c r="E61" s="109"/>
      <c r="F61" s="109" t="s">
        <v>1092</v>
      </c>
      <c r="G61" s="109" t="s">
        <v>1045</v>
      </c>
      <c r="H61" s="109" t="s">
        <v>1432</v>
      </c>
      <c r="I61" s="108">
        <v>1</v>
      </c>
      <c r="J61" s="108" t="s">
        <v>1957</v>
      </c>
    </row>
    <row r="62" spans="2:10" ht="15" x14ac:dyDescent="0.25">
      <c r="B62"/>
      <c r="C62"/>
      <c r="D62"/>
      <c r="E62" s="109"/>
      <c r="F62" s="109" t="s">
        <v>1080</v>
      </c>
      <c r="G62" s="106" t="s">
        <v>1069</v>
      </c>
      <c r="H62" s="109" t="s">
        <v>1109</v>
      </c>
      <c r="I62" s="108">
        <v>1</v>
      </c>
      <c r="J62"/>
    </row>
    <row r="63" spans="2:10" ht="15" x14ac:dyDescent="0.25">
      <c r="B63"/>
      <c r="C63"/>
      <c r="D63"/>
      <c r="E63" s="109"/>
      <c r="F63" s="109" t="s">
        <v>1037</v>
      </c>
      <c r="G63" s="106" t="s">
        <v>1033</v>
      </c>
      <c r="H63" s="109" t="s">
        <v>1104</v>
      </c>
      <c r="I63" s="108">
        <v>1</v>
      </c>
      <c r="J63" s="108" t="s">
        <v>1959</v>
      </c>
    </row>
    <row r="64" spans="2:10" ht="15" x14ac:dyDescent="0.25">
      <c r="B64"/>
      <c r="C64"/>
      <c r="D64"/>
      <c r="E64" s="109"/>
      <c r="F64" s="109" t="s">
        <v>1097</v>
      </c>
      <c r="G64" s="109" t="s">
        <v>1067</v>
      </c>
      <c r="H64" s="109" t="s">
        <v>1479</v>
      </c>
      <c r="I64" s="108">
        <v>1</v>
      </c>
      <c r="J64" s="108" t="s">
        <v>1958</v>
      </c>
    </row>
    <row r="65" spans="2:10" ht="15" x14ac:dyDescent="0.25">
      <c r="B65"/>
      <c r="C65"/>
      <c r="D65"/>
      <c r="E65" s="109"/>
      <c r="F65" s="109" t="s">
        <v>1093</v>
      </c>
      <c r="G65" s="109" t="s">
        <v>1048</v>
      </c>
      <c r="H65" s="109" t="s">
        <v>1480</v>
      </c>
      <c r="I65" s="108">
        <v>1</v>
      </c>
      <c r="J65"/>
    </row>
    <row r="66" spans="2:10" ht="15" x14ac:dyDescent="0.25">
      <c r="B66"/>
      <c r="C66"/>
      <c r="D66"/>
      <c r="E66" s="109"/>
      <c r="F66" s="109" t="s">
        <v>1095</v>
      </c>
      <c r="G66" s="109" t="s">
        <v>1061</v>
      </c>
      <c r="H66" s="109" t="s">
        <v>1472</v>
      </c>
      <c r="I66" s="108">
        <v>1</v>
      </c>
      <c r="J66"/>
    </row>
    <row r="67" spans="2:10" ht="15" x14ac:dyDescent="0.25">
      <c r="B67"/>
      <c r="C67"/>
      <c r="D67"/>
      <c r="E67" s="109"/>
      <c r="F67" s="109" t="s">
        <v>1099</v>
      </c>
      <c r="G67" s="109" t="s">
        <v>1071</v>
      </c>
      <c r="H67" s="109" t="s">
        <v>1439</v>
      </c>
      <c r="I67" s="108">
        <v>1</v>
      </c>
      <c r="J67"/>
    </row>
    <row r="68" spans="2:10" ht="15" x14ac:dyDescent="0.25">
      <c r="B68"/>
      <c r="C68"/>
      <c r="D68"/>
      <c r="E68" s="109"/>
      <c r="F68" s="109" t="s">
        <v>1098</v>
      </c>
      <c r="G68" s="118" t="s">
        <v>1070</v>
      </c>
      <c r="H68" s="109" t="s">
        <v>1110</v>
      </c>
      <c r="I68" s="108">
        <v>1</v>
      </c>
      <c r="J68"/>
    </row>
    <row r="69" spans="2:10" ht="15" x14ac:dyDescent="0.25">
      <c r="B69"/>
      <c r="C69"/>
      <c r="D69"/>
      <c r="E69" s="109" t="s">
        <v>1032</v>
      </c>
      <c r="F69" s="109" t="s">
        <v>1089</v>
      </c>
      <c r="G69" s="109" t="s">
        <v>1038</v>
      </c>
      <c r="H69" s="109" t="s">
        <v>1105</v>
      </c>
      <c r="I69" s="108">
        <v>1</v>
      </c>
      <c r="J69" s="108" t="s">
        <v>1956</v>
      </c>
    </row>
    <row r="70" spans="2:10" ht="15" x14ac:dyDescent="0.25">
      <c r="B70"/>
      <c r="C70"/>
      <c r="D70"/>
      <c r="E70" s="109"/>
      <c r="F70" s="109" t="s">
        <v>1028</v>
      </c>
      <c r="G70" t="s">
        <v>1074</v>
      </c>
      <c r="H70" s="109" t="s">
        <v>1476</v>
      </c>
      <c r="I70" s="108">
        <v>1</v>
      </c>
      <c r="J70"/>
    </row>
    <row r="71" spans="2:10" ht="15" x14ac:dyDescent="0.25">
      <c r="B71"/>
      <c r="C71"/>
      <c r="D71"/>
      <c r="E71" s="109"/>
      <c r="F71" s="109" t="s">
        <v>1096</v>
      </c>
      <c r="G71" s="109" t="s">
        <v>1066</v>
      </c>
      <c r="H71" s="109" t="s">
        <v>1477</v>
      </c>
      <c r="I71" s="108">
        <v>1</v>
      </c>
      <c r="J71"/>
    </row>
    <row r="72" spans="2:10" ht="15" x14ac:dyDescent="0.25">
      <c r="B72"/>
      <c r="C72"/>
      <c r="D72"/>
      <c r="E72" s="109"/>
      <c r="F72" s="109" t="s">
        <v>1485</v>
      </c>
      <c r="G72" s="109" t="s">
        <v>1068</v>
      </c>
      <c r="H72" s="109" t="s">
        <v>1108</v>
      </c>
      <c r="I72" s="108">
        <v>1</v>
      </c>
      <c r="J72"/>
    </row>
    <row r="73" spans="2:10" ht="15" x14ac:dyDescent="0.25">
      <c r="B73"/>
      <c r="C73"/>
      <c r="D73"/>
      <c r="E73" s="109"/>
      <c r="F73" s="109" t="s">
        <v>1487</v>
      </c>
      <c r="G73" s="109" t="s">
        <v>1041</v>
      </c>
      <c r="H73" s="109" t="s">
        <v>1475</v>
      </c>
      <c r="I73" s="108">
        <v>1</v>
      </c>
      <c r="J73"/>
    </row>
    <row r="74" spans="2:10" ht="15" x14ac:dyDescent="0.25">
      <c r="B74"/>
      <c r="C74"/>
      <c r="D74"/>
      <c r="E74" s="109"/>
      <c r="F74" s="109" t="s">
        <v>1091</v>
      </c>
      <c r="G74" s="109" t="s">
        <v>1043</v>
      </c>
      <c r="H74" s="109" t="s">
        <v>1474</v>
      </c>
      <c r="I74" s="108">
        <v>1</v>
      </c>
      <c r="J74"/>
    </row>
    <row r="75" spans="2:10" ht="15" x14ac:dyDescent="0.25">
      <c r="B75"/>
      <c r="C75"/>
      <c r="D75" t="s">
        <v>1724</v>
      </c>
      <c r="E75" t="s">
        <v>1725</v>
      </c>
      <c r="F75" s="84">
        <v>3500930400</v>
      </c>
      <c r="G75" t="s">
        <v>1029</v>
      </c>
      <c r="H75" s="109" t="s">
        <v>1103</v>
      </c>
      <c r="I75" s="108">
        <v>1</v>
      </c>
      <c r="J75"/>
    </row>
    <row r="76" spans="2:10" ht="15" x14ac:dyDescent="0.25">
      <c r="B76"/>
      <c r="C76"/>
      <c r="D76"/>
      <c r="E76" t="s">
        <v>1729</v>
      </c>
      <c r="F76" t="s">
        <v>1728</v>
      </c>
      <c r="G76" t="s">
        <v>1090</v>
      </c>
      <c r="H76" t="s">
        <v>1471</v>
      </c>
      <c r="I76" s="108">
        <v>1</v>
      </c>
      <c r="J76"/>
    </row>
    <row r="77" spans="2:10" ht="15" x14ac:dyDescent="0.25">
      <c r="B77"/>
      <c r="C77"/>
      <c r="D77"/>
      <c r="E77"/>
      <c r="F77">
        <v>15064216</v>
      </c>
      <c r="G77" t="s">
        <v>1054</v>
      </c>
      <c r="H77" t="s">
        <v>1478</v>
      </c>
      <c r="I77" s="108">
        <v>1</v>
      </c>
      <c r="J77"/>
    </row>
    <row r="78" spans="2:10" ht="15" x14ac:dyDescent="0.25">
      <c r="B78" t="s">
        <v>1360</v>
      </c>
      <c r="C78"/>
      <c r="D78"/>
      <c r="E78"/>
      <c r="F78"/>
      <c r="G78"/>
      <c r="H78"/>
      <c r="I78" s="108">
        <v>21</v>
      </c>
      <c r="J78"/>
    </row>
    <row r="82" spans="2:10" x14ac:dyDescent="0.25">
      <c r="B82" s="49" t="s">
        <v>25</v>
      </c>
      <c r="C82" s="49" t="s">
        <v>1</v>
      </c>
      <c r="D82" s="49" t="s">
        <v>3</v>
      </c>
      <c r="E82" s="49" t="s">
        <v>4</v>
      </c>
      <c r="F82" s="49" t="s">
        <v>5</v>
      </c>
      <c r="G82" s="49" t="s">
        <v>19</v>
      </c>
      <c r="H82" s="49" t="s">
        <v>130</v>
      </c>
      <c r="I82" s="49" t="s">
        <v>1668</v>
      </c>
      <c r="J82" s="49" t="s">
        <v>130</v>
      </c>
    </row>
    <row r="83" spans="2:10" x14ac:dyDescent="0.25">
      <c r="B83" s="49" t="s">
        <v>108</v>
      </c>
      <c r="C83" s="49" t="s">
        <v>37</v>
      </c>
      <c r="D83" s="49" t="s">
        <v>1058</v>
      </c>
      <c r="E83" s="49" t="s">
        <v>1803</v>
      </c>
      <c r="F83" s="49" t="s">
        <v>1726</v>
      </c>
      <c r="G83" s="49" t="s">
        <v>1062</v>
      </c>
      <c r="H83" s="119" t="s">
        <v>1107</v>
      </c>
      <c r="I83" s="49">
        <v>1</v>
      </c>
      <c r="J83" s="49" t="s">
        <v>1960</v>
      </c>
    </row>
    <row r="84" spans="2:10" x14ac:dyDescent="0.25">
      <c r="B84" s="49" t="s">
        <v>108</v>
      </c>
      <c r="C84" s="49" t="s">
        <v>37</v>
      </c>
      <c r="D84" s="49" t="s">
        <v>1058</v>
      </c>
      <c r="E84" s="49" t="s">
        <v>1803</v>
      </c>
      <c r="F84" s="49" t="s">
        <v>1727</v>
      </c>
      <c r="G84" s="49" t="s">
        <v>1065</v>
      </c>
      <c r="H84" s="119" t="s">
        <v>1107</v>
      </c>
      <c r="I84" s="49">
        <v>1</v>
      </c>
      <c r="J84" s="49" t="s">
        <v>1960</v>
      </c>
    </row>
    <row r="85" spans="2:10" x14ac:dyDescent="0.25">
      <c r="B85" s="49" t="s">
        <v>108</v>
      </c>
      <c r="C85" s="49" t="s">
        <v>37</v>
      </c>
      <c r="D85" s="49" t="s">
        <v>1027</v>
      </c>
      <c r="E85" s="49" t="s">
        <v>1034</v>
      </c>
      <c r="F85" s="49" t="s">
        <v>1094</v>
      </c>
      <c r="G85" s="49" t="s">
        <v>1051</v>
      </c>
      <c r="H85" s="119" t="s">
        <v>1106</v>
      </c>
      <c r="I85" s="49">
        <v>1</v>
      </c>
      <c r="J85" s="49" t="s">
        <v>1957</v>
      </c>
    </row>
    <row r="86" spans="2:10" x14ac:dyDescent="0.25">
      <c r="B86" s="49" t="s">
        <v>108</v>
      </c>
      <c r="C86" s="49" t="s">
        <v>37</v>
      </c>
      <c r="D86" s="49" t="s">
        <v>1027</v>
      </c>
      <c r="E86" s="49" t="s">
        <v>1034</v>
      </c>
      <c r="F86" s="49" t="s">
        <v>1080</v>
      </c>
      <c r="G86" s="49" t="s">
        <v>1069</v>
      </c>
      <c r="H86" s="119" t="s">
        <v>1109</v>
      </c>
      <c r="I86" s="49">
        <v>1</v>
      </c>
      <c r="J86" s="49" t="s">
        <v>1959</v>
      </c>
    </row>
    <row r="87" spans="2:10" x14ac:dyDescent="0.25">
      <c r="B87" s="49" t="s">
        <v>108</v>
      </c>
      <c r="C87" s="49" t="s">
        <v>37</v>
      </c>
      <c r="D87" s="49" t="s">
        <v>1027</v>
      </c>
      <c r="E87" s="49" t="s">
        <v>1034</v>
      </c>
      <c r="F87" s="49" t="s">
        <v>1037</v>
      </c>
      <c r="G87" s="49" t="s">
        <v>1033</v>
      </c>
      <c r="H87" s="119" t="s">
        <v>1104</v>
      </c>
      <c r="I87" s="49">
        <v>1</v>
      </c>
      <c r="J87" s="49" t="s">
        <v>1958</v>
      </c>
    </row>
    <row r="88" spans="2:10" x14ac:dyDescent="0.25">
      <c r="B88" s="49" t="s">
        <v>108</v>
      </c>
      <c r="C88" s="49" t="s">
        <v>37</v>
      </c>
      <c r="D88" s="49" t="s">
        <v>1027</v>
      </c>
      <c r="E88" s="49" t="s">
        <v>1034</v>
      </c>
      <c r="F88" s="49" t="s">
        <v>1098</v>
      </c>
      <c r="G88" s="49" t="s">
        <v>1070</v>
      </c>
      <c r="H88" s="119" t="s">
        <v>1110</v>
      </c>
      <c r="I88" s="49">
        <v>1</v>
      </c>
      <c r="J88" s="49" t="s">
        <v>1956</v>
      </c>
    </row>
  </sheetData>
  <autoFilter ref="B31:J53" xr:uid="{A7AC2DCB-EFC0-4F57-AC1C-58026C5AEDFE}">
    <filterColumn colId="6">
      <colorFilter dxfId="63"/>
    </filterColumn>
  </autoFilter>
  <pageMargins left="0" right="0" top="0.74803149606299213" bottom="0.74803149606299213" header="0.31496062992125984" footer="0.31496062992125984"/>
  <pageSetup paperSize="9" scale="75" orientation="portrait" horizontalDpi="4294967293" verticalDpi="4294967293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1C237-4C70-49BE-B1E0-F3B176D0CAE3}">
  <sheetPr codeName="Hoja6"/>
  <dimension ref="B3:H32"/>
  <sheetViews>
    <sheetView workbookViewId="0">
      <selection activeCell="F35" sqref="F35"/>
    </sheetView>
  </sheetViews>
  <sheetFormatPr baseColWidth="10" defaultColWidth="8.85546875" defaultRowHeight="13.5" x14ac:dyDescent="0.25"/>
  <cols>
    <col min="1" max="1" width="8.85546875" style="51"/>
    <col min="2" max="2" width="13.42578125" style="51" bestFit="1" customWidth="1"/>
    <col min="3" max="3" width="14.42578125" style="51" bestFit="1" customWidth="1"/>
    <col min="4" max="4" width="21.28515625" style="53" bestFit="1" customWidth="1"/>
    <col min="5" max="5" width="5.5703125" style="51" bestFit="1" customWidth="1"/>
    <col min="6" max="6" width="34" style="51" bestFit="1" customWidth="1"/>
    <col min="7" max="7" width="16.5703125" style="51" customWidth="1"/>
    <col min="8" max="8" width="18.5703125" style="51" bestFit="1" customWidth="1"/>
    <col min="9" max="16384" width="8.85546875" style="51"/>
  </cols>
  <sheetData>
    <row r="3" spans="2:8" x14ac:dyDescent="0.25">
      <c r="B3" s="49" t="s">
        <v>1139</v>
      </c>
      <c r="C3" s="49" t="s">
        <v>1140</v>
      </c>
      <c r="D3" s="50" t="s">
        <v>1141</v>
      </c>
      <c r="E3" s="49"/>
      <c r="F3" s="49"/>
      <c r="G3" s="49"/>
      <c r="H3" s="49"/>
    </row>
    <row r="4" spans="2:8" x14ac:dyDescent="0.25">
      <c r="B4" s="49" t="s">
        <v>1118</v>
      </c>
      <c r="C4" s="49" t="s">
        <v>1138</v>
      </c>
      <c r="D4" s="50" t="s">
        <v>1142</v>
      </c>
      <c r="E4" s="49" t="s">
        <v>1142</v>
      </c>
      <c r="F4" s="49" t="s">
        <v>1143</v>
      </c>
      <c r="G4" s="49"/>
      <c r="H4" s="49"/>
    </row>
    <row r="5" spans="2:8" x14ac:dyDescent="0.25">
      <c r="B5" s="49" t="s">
        <v>1118</v>
      </c>
      <c r="C5" s="49" t="s">
        <v>1138</v>
      </c>
      <c r="D5" s="50">
        <v>1</v>
      </c>
      <c r="E5" s="49" t="s">
        <v>1138</v>
      </c>
      <c r="F5" s="49" t="s">
        <v>1137</v>
      </c>
      <c r="G5" s="49"/>
      <c r="H5" s="49"/>
    </row>
    <row r="6" spans="2:8" x14ac:dyDescent="0.25">
      <c r="B6" s="49" t="s">
        <v>1118</v>
      </c>
      <c r="C6" s="49" t="s">
        <v>1127</v>
      </c>
      <c r="D6" s="50">
        <v>1</v>
      </c>
      <c r="E6" s="49" t="s">
        <v>1127</v>
      </c>
      <c r="F6" s="49" t="s">
        <v>1126</v>
      </c>
      <c r="G6" s="49"/>
      <c r="H6" s="49"/>
    </row>
    <row r="7" spans="2:8" x14ac:dyDescent="0.25">
      <c r="B7" s="49" t="s">
        <v>1118</v>
      </c>
      <c r="C7" s="49" t="s">
        <v>1119</v>
      </c>
      <c r="D7" s="50" t="s">
        <v>1144</v>
      </c>
      <c r="E7" s="49" t="s">
        <v>1119</v>
      </c>
      <c r="F7" s="49" t="s">
        <v>1145</v>
      </c>
      <c r="G7" s="49" t="s">
        <v>1144</v>
      </c>
      <c r="H7" s="49" t="s">
        <v>1146</v>
      </c>
    </row>
    <row r="8" spans="2:8" x14ac:dyDescent="0.25">
      <c r="B8" s="49" t="s">
        <v>1118</v>
      </c>
      <c r="C8" s="49" t="s">
        <v>1119</v>
      </c>
      <c r="D8" s="50" t="s">
        <v>1147</v>
      </c>
      <c r="E8" s="49" t="s">
        <v>1147</v>
      </c>
      <c r="F8" s="49" t="s">
        <v>1120</v>
      </c>
      <c r="G8" s="49"/>
      <c r="H8" s="49"/>
    </row>
    <row r="9" spans="2:8" x14ac:dyDescent="0.25">
      <c r="B9" s="49" t="s">
        <v>1118</v>
      </c>
      <c r="C9" s="49" t="s">
        <v>1119</v>
      </c>
      <c r="D9" s="50" t="s">
        <v>1148</v>
      </c>
      <c r="E9" s="49" t="s">
        <v>1148</v>
      </c>
      <c r="F9" s="49" t="s">
        <v>1121</v>
      </c>
      <c r="G9" s="49"/>
      <c r="H9" s="49"/>
    </row>
    <row r="10" spans="2:8" x14ac:dyDescent="0.25">
      <c r="B10" s="49" t="s">
        <v>1118</v>
      </c>
      <c r="C10" s="49" t="s">
        <v>1119</v>
      </c>
      <c r="D10" s="50" t="s">
        <v>1149</v>
      </c>
      <c r="E10" s="49" t="s">
        <v>1149</v>
      </c>
      <c r="F10" s="49" t="s">
        <v>950</v>
      </c>
      <c r="G10" s="49"/>
      <c r="H10" s="49"/>
    </row>
    <row r="11" spans="2:8" x14ac:dyDescent="0.25">
      <c r="B11" s="49" t="s">
        <v>1118</v>
      </c>
      <c r="C11" s="49" t="s">
        <v>1119</v>
      </c>
      <c r="D11" s="50" t="s">
        <v>1150</v>
      </c>
      <c r="E11" s="49" t="s">
        <v>1150</v>
      </c>
      <c r="F11" s="49" t="s">
        <v>1122</v>
      </c>
      <c r="G11" s="49"/>
      <c r="H11" s="49"/>
    </row>
    <row r="12" spans="2:8" x14ac:dyDescent="0.25">
      <c r="B12" s="49" t="s">
        <v>1118</v>
      </c>
      <c r="C12" s="49" t="s">
        <v>1119</v>
      </c>
      <c r="D12" s="50" t="s">
        <v>1151</v>
      </c>
      <c r="E12" s="49" t="s">
        <v>1151</v>
      </c>
      <c r="F12" s="49" t="s">
        <v>419</v>
      </c>
      <c r="G12" s="49"/>
      <c r="H12" s="49"/>
    </row>
    <row r="13" spans="2:8" x14ac:dyDescent="0.25">
      <c r="B13" s="49" t="s">
        <v>1118</v>
      </c>
      <c r="C13" s="49" t="s">
        <v>1119</v>
      </c>
      <c r="D13" s="50" t="s">
        <v>1152</v>
      </c>
      <c r="E13" s="49" t="s">
        <v>1152</v>
      </c>
      <c r="F13" s="49" t="s">
        <v>1153</v>
      </c>
      <c r="G13" s="49"/>
      <c r="H13" s="49"/>
    </row>
    <row r="14" spans="2:8" x14ac:dyDescent="0.25">
      <c r="B14" s="49" t="s">
        <v>1118</v>
      </c>
      <c r="C14" s="49" t="s">
        <v>1119</v>
      </c>
      <c r="D14" s="50" t="s">
        <v>1154</v>
      </c>
      <c r="E14" s="49" t="s">
        <v>1154</v>
      </c>
      <c r="F14" s="49" t="s">
        <v>383</v>
      </c>
      <c r="G14" s="49"/>
      <c r="H14" s="49"/>
    </row>
    <row r="15" spans="2:8" x14ac:dyDescent="0.25">
      <c r="B15" s="49" t="s">
        <v>1118</v>
      </c>
      <c r="C15" s="49" t="s">
        <v>1119</v>
      </c>
      <c r="D15" s="50" t="s">
        <v>1155</v>
      </c>
      <c r="E15" s="49" t="s">
        <v>1155</v>
      </c>
      <c r="F15" s="49" t="s">
        <v>568</v>
      </c>
      <c r="G15" s="49"/>
      <c r="H15" s="49"/>
    </row>
    <row r="16" spans="2:8" x14ac:dyDescent="0.25">
      <c r="B16" s="49" t="s">
        <v>1118</v>
      </c>
      <c r="C16" s="49" t="s">
        <v>1124</v>
      </c>
      <c r="D16" s="50">
        <v>1</v>
      </c>
      <c r="E16" s="49" t="s">
        <v>1124</v>
      </c>
      <c r="F16" s="49" t="s">
        <v>1123</v>
      </c>
      <c r="G16" s="49"/>
      <c r="H16" s="49"/>
    </row>
    <row r="17" spans="2:8" x14ac:dyDescent="0.25">
      <c r="B17" s="49" t="s">
        <v>1118</v>
      </c>
      <c r="C17" s="49" t="s">
        <v>1125</v>
      </c>
      <c r="D17" s="50"/>
      <c r="E17" s="49" t="s">
        <v>1125</v>
      </c>
      <c r="F17" s="49" t="s">
        <v>396</v>
      </c>
      <c r="G17" s="49"/>
      <c r="H17" s="49"/>
    </row>
    <row r="18" spans="2:8" x14ac:dyDescent="0.25">
      <c r="B18" s="49" t="s">
        <v>1118</v>
      </c>
      <c r="C18" s="49" t="s">
        <v>1129</v>
      </c>
      <c r="D18" s="50">
        <v>1</v>
      </c>
      <c r="E18" s="49" t="s">
        <v>1129</v>
      </c>
      <c r="F18" s="49" t="s">
        <v>1128</v>
      </c>
      <c r="G18" s="49"/>
      <c r="H18" s="49"/>
    </row>
    <row r="19" spans="2:8" x14ac:dyDescent="0.25">
      <c r="B19" s="49" t="s">
        <v>1118</v>
      </c>
      <c r="C19" s="49" t="s">
        <v>1130</v>
      </c>
      <c r="D19" s="50">
        <v>1</v>
      </c>
      <c r="E19" s="49" t="s">
        <v>1130</v>
      </c>
      <c r="F19" s="49" t="s">
        <v>1156</v>
      </c>
      <c r="G19" s="49"/>
      <c r="H19" s="49"/>
    </row>
    <row r="20" spans="2:8" x14ac:dyDescent="0.25">
      <c r="B20" s="49" t="s">
        <v>1118</v>
      </c>
      <c r="C20" s="49" t="s">
        <v>1134</v>
      </c>
      <c r="D20" s="50">
        <v>1</v>
      </c>
      <c r="E20" s="49" t="s">
        <v>1134</v>
      </c>
      <c r="F20" s="49" t="s">
        <v>1133</v>
      </c>
      <c r="G20" s="49"/>
      <c r="H20" s="49"/>
    </row>
    <row r="21" spans="2:8" x14ac:dyDescent="0.25">
      <c r="B21" s="49" t="s">
        <v>1118</v>
      </c>
      <c r="C21" s="49" t="s">
        <v>1132</v>
      </c>
      <c r="D21" s="50">
        <v>1</v>
      </c>
      <c r="E21" s="49" t="s">
        <v>1132</v>
      </c>
      <c r="F21" s="49" t="s">
        <v>1131</v>
      </c>
      <c r="G21" s="49"/>
      <c r="H21" s="49"/>
    </row>
    <row r="22" spans="2:8" x14ac:dyDescent="0.25">
      <c r="B22" s="49" t="s">
        <v>1118</v>
      </c>
      <c r="C22" s="49" t="s">
        <v>1136</v>
      </c>
      <c r="D22" s="50"/>
      <c r="E22" s="49" t="s">
        <v>1136</v>
      </c>
      <c r="F22" s="49" t="s">
        <v>1135</v>
      </c>
      <c r="G22" s="49"/>
      <c r="H22" s="49"/>
    </row>
    <row r="23" spans="2:8" x14ac:dyDescent="0.25">
      <c r="B23" s="51" t="s">
        <v>1118</v>
      </c>
      <c r="C23" s="52" t="s">
        <v>1119</v>
      </c>
      <c r="D23" s="53" t="s">
        <v>1157</v>
      </c>
      <c r="F23" s="52" t="s">
        <v>1158</v>
      </c>
    </row>
    <row r="24" spans="2:8" x14ac:dyDescent="0.25">
      <c r="B24" s="51" t="s">
        <v>1118</v>
      </c>
      <c r="C24" s="52" t="s">
        <v>1127</v>
      </c>
      <c r="D24" s="53" t="s">
        <v>1159</v>
      </c>
      <c r="F24" s="49" t="s">
        <v>1126</v>
      </c>
      <c r="G24" s="51" t="s">
        <v>1159</v>
      </c>
      <c r="H24" s="51" t="s">
        <v>292</v>
      </c>
    </row>
    <row r="25" spans="2:8" x14ac:dyDescent="0.25">
      <c r="B25" s="51" t="s">
        <v>1118</v>
      </c>
      <c r="C25" s="51" t="s">
        <v>1161</v>
      </c>
      <c r="D25" s="53">
        <v>1</v>
      </c>
      <c r="F25" s="51" t="s">
        <v>1160</v>
      </c>
    </row>
    <row r="26" spans="2:8" x14ac:dyDescent="0.25">
      <c r="B26" s="51" t="s">
        <v>1118</v>
      </c>
      <c r="C26" s="51" t="s">
        <v>1119</v>
      </c>
      <c r="D26" s="53" t="s">
        <v>1181</v>
      </c>
      <c r="E26" s="51" t="s">
        <v>1182</v>
      </c>
      <c r="F26" s="51" t="s">
        <v>1183</v>
      </c>
    </row>
    <row r="27" spans="2:8" x14ac:dyDescent="0.25">
      <c r="B27" s="51" t="s">
        <v>1118</v>
      </c>
      <c r="C27" s="51" t="s">
        <v>1200</v>
      </c>
      <c r="D27" s="53">
        <v>1</v>
      </c>
      <c r="F27" s="51" t="s">
        <v>1201</v>
      </c>
    </row>
    <row r="28" spans="2:8" x14ac:dyDescent="0.25">
      <c r="B28" s="51" t="s">
        <v>1118</v>
      </c>
    </row>
    <row r="29" spans="2:8" x14ac:dyDescent="0.25">
      <c r="B29" s="51" t="s">
        <v>1118</v>
      </c>
    </row>
    <row r="30" spans="2:8" x14ac:dyDescent="0.25">
      <c r="B30" s="51" t="s">
        <v>1118</v>
      </c>
    </row>
    <row r="31" spans="2:8" x14ac:dyDescent="0.25">
      <c r="B31" s="51" t="s">
        <v>1118</v>
      </c>
    </row>
    <row r="32" spans="2:8" x14ac:dyDescent="0.25">
      <c r="B32" s="51" t="s">
        <v>1118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Personal</vt:lpstr>
      <vt:lpstr>InventarioSwiss</vt:lpstr>
      <vt:lpstr>Dinamica</vt:lpstr>
      <vt:lpstr>PC-Laptop</vt:lpstr>
      <vt:lpstr>ImpresoasDinamica</vt:lpstr>
      <vt:lpstr>Micros</vt:lpstr>
      <vt:lpstr>Datos</vt:lpstr>
      <vt:lpstr>Suministros Impresoras</vt:lpstr>
      <vt:lpstr>Pendientes</vt:lpstr>
      <vt:lpstr>Borrador</vt:lpstr>
      <vt:lpstr>Hostname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 Salinas - limh1it06</dc:creator>
  <cp:lastModifiedBy>Noe Salinas - limh1it06</cp:lastModifiedBy>
  <cp:lastPrinted>2026-08-27T19:14:53Z</cp:lastPrinted>
  <dcterms:created xsi:type="dcterms:W3CDTF">2015-06-05T18:19:34Z</dcterms:created>
  <dcterms:modified xsi:type="dcterms:W3CDTF">2026-09-22T13:40:39Z</dcterms:modified>
</cp:coreProperties>
</file>